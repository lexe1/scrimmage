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logan/Desktop/"/>
    </mc:Choice>
  </mc:AlternateContent>
  <xr:revisionPtr revIDLastSave="0" documentId="13_ncr:1_{D4B4DCDF-6F26-C74F-B958-957234A3E207}" xr6:coauthVersionLast="36" xr6:coauthVersionMax="47" xr10:uidLastSave="{00000000-0000-0000-0000-000000000000}"/>
  <bookViews>
    <workbookView xWindow="0" yWindow="0" windowWidth="38400" windowHeight="21600" tabRatio="500" activeTab="10" xr2:uid="{00000000-000D-0000-FFFF-FFFF00000000}"/>
  </bookViews>
  <sheets>
    <sheet name="BLANK" sheetId="107" r:id="rId1"/>
    <sheet name="Start" sheetId="12" r:id="rId2"/>
    <sheet name="Sep 6" sheetId="159" r:id="rId3"/>
    <sheet name="Sep 7" sheetId="160" r:id="rId4"/>
    <sheet name="Sep 12" sheetId="161" r:id="rId5"/>
    <sheet name="Sep 13" sheetId="162" r:id="rId6"/>
    <sheet name="Sep 15.1" sheetId="163" r:id="rId7"/>
    <sheet name="Sep 15.2" sheetId="164" r:id="rId8"/>
    <sheet name="Sep 19" sheetId="165" r:id="rId9"/>
    <sheet name="Stop" sheetId="13" r:id="rId10"/>
    <sheet name="TOTAL" sheetId="48" r:id="rId11"/>
  </sheets>
  <definedNames>
    <definedName name="_xlnm._FilterDatabase" localSheetId="10" hidden="1">TOTAL!$HD$3:$HE$3</definedName>
  </definedNames>
  <calcPr calcId="181029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H54" i="165" l="1"/>
  <c r="CF54" i="165"/>
  <c r="CD54" i="165"/>
  <c r="CB54" i="165"/>
  <c r="BZ54" i="165"/>
  <c r="BX54" i="165"/>
  <c r="BV54" i="165"/>
  <c r="BT54" i="165"/>
  <c r="BR54" i="165"/>
  <c r="BP54" i="165"/>
  <c r="BN54" i="165"/>
  <c r="BL54" i="165"/>
  <c r="BJ54" i="165"/>
  <c r="CH53" i="165"/>
  <c r="CF53" i="165"/>
  <c r="CD53" i="165"/>
  <c r="CB53" i="165"/>
  <c r="BZ53" i="165"/>
  <c r="BX53" i="165"/>
  <c r="BV53" i="165"/>
  <c r="BT53" i="165"/>
  <c r="BR53" i="165"/>
  <c r="BP53" i="165"/>
  <c r="BN53" i="165"/>
  <c r="BL53" i="165"/>
  <c r="BJ53" i="165"/>
  <c r="CH52" i="165"/>
  <c r="CF52" i="165"/>
  <c r="CD52" i="165"/>
  <c r="CB52" i="165"/>
  <c r="BZ52" i="165"/>
  <c r="BX52" i="165"/>
  <c r="BV52" i="165"/>
  <c r="BT52" i="165"/>
  <c r="BR52" i="165"/>
  <c r="BP52" i="165"/>
  <c r="BN52" i="165"/>
  <c r="BL52" i="165"/>
  <c r="BJ52" i="165"/>
  <c r="CH51" i="165"/>
  <c r="CF51" i="165"/>
  <c r="CD51" i="165"/>
  <c r="CB51" i="165"/>
  <c r="BZ51" i="165"/>
  <c r="BX51" i="165"/>
  <c r="BV51" i="165"/>
  <c r="BT51" i="165"/>
  <c r="BR51" i="165"/>
  <c r="BP51" i="165"/>
  <c r="BN51" i="165"/>
  <c r="BL51" i="165"/>
  <c r="BJ51" i="165"/>
  <c r="CH50" i="165"/>
  <c r="CF50" i="165"/>
  <c r="CD50" i="165"/>
  <c r="CB50" i="165"/>
  <c r="BZ50" i="165"/>
  <c r="BX50" i="165"/>
  <c r="BV50" i="165"/>
  <c r="BT50" i="165"/>
  <c r="BR50" i="165"/>
  <c r="BP50" i="165"/>
  <c r="BN50" i="165"/>
  <c r="BL50" i="165"/>
  <c r="BJ50" i="165"/>
  <c r="CH39" i="165"/>
  <c r="CF39" i="165"/>
  <c r="CD39" i="165"/>
  <c r="CB39" i="165"/>
  <c r="BZ39" i="165"/>
  <c r="BX39" i="165"/>
  <c r="BV39" i="165"/>
  <c r="BT39" i="165"/>
  <c r="BR39" i="165"/>
  <c r="BP39" i="165"/>
  <c r="BN39" i="165"/>
  <c r="BL39" i="165"/>
  <c r="BJ39" i="165"/>
  <c r="CH38" i="165"/>
  <c r="CF38" i="165"/>
  <c r="CD38" i="165"/>
  <c r="CB38" i="165"/>
  <c r="BZ38" i="165"/>
  <c r="BX38" i="165"/>
  <c r="BV38" i="165"/>
  <c r="BT38" i="165"/>
  <c r="BR38" i="165"/>
  <c r="BP38" i="165"/>
  <c r="BN38" i="165"/>
  <c r="BL38" i="165"/>
  <c r="BJ38" i="165"/>
  <c r="CH37" i="165"/>
  <c r="CF37" i="165"/>
  <c r="CD37" i="165"/>
  <c r="CB37" i="165"/>
  <c r="BZ37" i="165"/>
  <c r="BX37" i="165"/>
  <c r="BV37" i="165"/>
  <c r="BT37" i="165"/>
  <c r="BR37" i="165"/>
  <c r="BP37" i="165"/>
  <c r="BN37" i="165"/>
  <c r="BL37" i="165"/>
  <c r="BJ37" i="165"/>
  <c r="CH36" i="165"/>
  <c r="CF36" i="165"/>
  <c r="CD36" i="165"/>
  <c r="CB36" i="165"/>
  <c r="BZ36" i="165"/>
  <c r="BX36" i="165"/>
  <c r="BV36" i="165"/>
  <c r="BT36" i="165"/>
  <c r="BR36" i="165"/>
  <c r="BP36" i="165"/>
  <c r="BN36" i="165"/>
  <c r="BL36" i="165"/>
  <c r="BJ36" i="165"/>
  <c r="CH35" i="165"/>
  <c r="CF35" i="165"/>
  <c r="CD35" i="165"/>
  <c r="CB35" i="165"/>
  <c r="BZ35" i="165"/>
  <c r="BX35" i="165"/>
  <c r="BV35" i="165"/>
  <c r="BT35" i="165"/>
  <c r="BR35" i="165"/>
  <c r="BP35" i="165"/>
  <c r="BN35" i="165"/>
  <c r="BL35" i="165"/>
  <c r="BJ35" i="165"/>
  <c r="CU23" i="165"/>
  <c r="CU27" i="165" s="1"/>
  <c r="CT23" i="165"/>
  <c r="CS23" i="165"/>
  <c r="CR23" i="165"/>
  <c r="CQ23" i="165"/>
  <c r="CP23" i="165"/>
  <c r="CO23" i="165"/>
  <c r="CM23" i="165"/>
  <c r="CM34" i="165" s="1"/>
  <c r="CL23" i="165"/>
  <c r="CJ23" i="165"/>
  <c r="CI23" i="165"/>
  <c r="CI33" i="165" s="1"/>
  <c r="CG23" i="165"/>
  <c r="CE23" i="165"/>
  <c r="CC23" i="165"/>
  <c r="CA23" i="165"/>
  <c r="BY23" i="165"/>
  <c r="BY36" i="165" s="1"/>
  <c r="BW23" i="165"/>
  <c r="BU23" i="165"/>
  <c r="BS23" i="165"/>
  <c r="BQ23" i="165"/>
  <c r="BO23" i="165"/>
  <c r="BG23" i="165"/>
  <c r="BE23" i="165"/>
  <c r="BC23" i="165"/>
  <c r="BC28" i="165" s="1"/>
  <c r="BA23" i="165"/>
  <c r="AY23" i="165"/>
  <c r="AW23" i="165"/>
  <c r="AU23" i="165"/>
  <c r="AU31" i="165" s="1"/>
  <c r="AS23" i="165"/>
  <c r="AQ23" i="165"/>
  <c r="AO23" i="165"/>
  <c r="AM23" i="165"/>
  <c r="D23" i="165"/>
  <c r="FF23" i="165" s="1"/>
  <c r="FQ22" i="165"/>
  <c r="FO22" i="165"/>
  <c r="CU22" i="165"/>
  <c r="GB22" i="165" s="1"/>
  <c r="CT22" i="165"/>
  <c r="CS22" i="165"/>
  <c r="FZ22" i="165" s="1"/>
  <c r="CR22" i="165"/>
  <c r="CQ22" i="165"/>
  <c r="FX22" i="165" s="1"/>
  <c r="CP22" i="165"/>
  <c r="CO22" i="165"/>
  <c r="FV22" i="165" s="1"/>
  <c r="CM22" i="165"/>
  <c r="CL22" i="165"/>
  <c r="CJ22" i="165"/>
  <c r="CI22" i="165"/>
  <c r="CI44" i="165" s="1"/>
  <c r="CG22" i="165"/>
  <c r="CE22" i="165"/>
  <c r="CC22" i="165"/>
  <c r="CA22" i="165"/>
  <c r="BY22" i="165"/>
  <c r="BW22" i="165"/>
  <c r="BU22" i="165"/>
  <c r="BS22" i="165"/>
  <c r="BQ22" i="165"/>
  <c r="BO22" i="165"/>
  <c r="BG22" i="165"/>
  <c r="BE22" i="165"/>
  <c r="BC22" i="165"/>
  <c r="BA22" i="165"/>
  <c r="AY22" i="165"/>
  <c r="AW22" i="165"/>
  <c r="AU22" i="165"/>
  <c r="AS22" i="165"/>
  <c r="AQ22" i="165"/>
  <c r="AO22" i="165"/>
  <c r="AM22" i="165"/>
  <c r="U22" i="165"/>
  <c r="S22" i="165"/>
  <c r="Q22" i="165"/>
  <c r="D22" i="165"/>
  <c r="CU21" i="165"/>
  <c r="GB21" i="165" s="1"/>
  <c r="CT21" i="165"/>
  <c r="GA21" i="165" s="1"/>
  <c r="CS21" i="165"/>
  <c r="FZ21" i="165" s="1"/>
  <c r="CR21" i="165"/>
  <c r="FY21" i="165" s="1"/>
  <c r="CQ21" i="165"/>
  <c r="FX21" i="165" s="1"/>
  <c r="CP21" i="165"/>
  <c r="FW21" i="165" s="1"/>
  <c r="CO21" i="165"/>
  <c r="FV21" i="165" s="1"/>
  <c r="CM21" i="165"/>
  <c r="CL21" i="165"/>
  <c r="CJ21" i="165"/>
  <c r="FS21" i="165" s="1"/>
  <c r="CI21" i="165"/>
  <c r="CG21" i="165"/>
  <c r="CE21" i="165"/>
  <c r="CC21" i="165"/>
  <c r="CA21" i="165"/>
  <c r="BY21" i="165"/>
  <c r="BW21" i="165"/>
  <c r="BU21" i="165"/>
  <c r="BS21" i="165"/>
  <c r="BQ21" i="165"/>
  <c r="BO21" i="165"/>
  <c r="BG21" i="165"/>
  <c r="BE21" i="165"/>
  <c r="BC21" i="165"/>
  <c r="BA21" i="165"/>
  <c r="AY21" i="165"/>
  <c r="AW21" i="165"/>
  <c r="AU21" i="165"/>
  <c r="AS21" i="165"/>
  <c r="AQ21" i="165"/>
  <c r="AO21" i="165"/>
  <c r="AM21" i="165"/>
  <c r="D21" i="165"/>
  <c r="DD17" i="165" s="1"/>
  <c r="GA20" i="165"/>
  <c r="FU20" i="165"/>
  <c r="FT20" i="165"/>
  <c r="FS20" i="165"/>
  <c r="ET20" i="165"/>
  <c r="EN20" i="165"/>
  <c r="EF20" i="165"/>
  <c r="DY20" i="165"/>
  <c r="CN20" i="165"/>
  <c r="GA19" i="165"/>
  <c r="FT19" i="165"/>
  <c r="FS19" i="165"/>
  <c r="ET19" i="165"/>
  <c r="EN19" i="165"/>
  <c r="EF19" i="165"/>
  <c r="DY19" i="165"/>
  <c r="CN19" i="165"/>
  <c r="FU19" i="165" s="1"/>
  <c r="GB18" i="165"/>
  <c r="GA18" i="165"/>
  <c r="FZ18" i="165"/>
  <c r="FY18" i="165"/>
  <c r="FX18" i="165"/>
  <c r="FW18" i="165"/>
  <c r="FV18" i="165"/>
  <c r="FT18" i="165"/>
  <c r="FS18" i="165"/>
  <c r="FR18" i="165"/>
  <c r="FQ18" i="165"/>
  <c r="FO18" i="165"/>
  <c r="FM18" i="165"/>
  <c r="FF18" i="165"/>
  <c r="DQ18" i="165"/>
  <c r="DP18" i="165"/>
  <c r="DO18" i="165"/>
  <c r="CN18" i="165"/>
  <c r="FU18" i="165" s="1"/>
  <c r="CK18" i="165"/>
  <c r="BM18" i="165"/>
  <c r="I18" i="165" s="1"/>
  <c r="BK18" i="165"/>
  <c r="BK22" i="165" s="1"/>
  <c r="BI18" i="165"/>
  <c r="AK18" i="165"/>
  <c r="AI18" i="165"/>
  <c r="AG18" i="165"/>
  <c r="AE18" i="165"/>
  <c r="AC18" i="165" s="1"/>
  <c r="EX18" i="165" s="1"/>
  <c r="AA18" i="165"/>
  <c r="Y18" i="165"/>
  <c r="W18" i="165"/>
  <c r="U18" i="165"/>
  <c r="S18" i="165"/>
  <c r="Q18" i="165"/>
  <c r="O18" i="165"/>
  <c r="M18" i="165"/>
  <c r="K18" i="165"/>
  <c r="GB17" i="165"/>
  <c r="GA17" i="165"/>
  <c r="FZ17" i="165"/>
  <c r="FY17" i="165"/>
  <c r="FX17" i="165"/>
  <c r="FW17" i="165"/>
  <c r="FV17" i="165"/>
  <c r="FS17" i="165"/>
  <c r="FQ17" i="165"/>
  <c r="FO17" i="165"/>
  <c r="FF17" i="165"/>
  <c r="DQ17" i="165"/>
  <c r="DP17" i="165"/>
  <c r="DO17" i="165"/>
  <c r="CK17" i="165"/>
  <c r="BM17" i="165"/>
  <c r="BK17" i="165"/>
  <c r="BI17" i="165"/>
  <c r="AK17" i="165"/>
  <c r="I17" i="165" s="1"/>
  <c r="AI17" i="165"/>
  <c r="G17" i="165" s="1"/>
  <c r="FI17" i="165" s="1"/>
  <c r="AG17" i="165"/>
  <c r="AE17" i="165"/>
  <c r="EY17" i="165" s="1"/>
  <c r="AA17" i="165"/>
  <c r="Y17" i="165"/>
  <c r="FM17" i="165" s="1"/>
  <c r="W17" i="165"/>
  <c r="DF17" i="165" s="1"/>
  <c r="U17" i="165"/>
  <c r="S17" i="165"/>
  <c r="Q17" i="165"/>
  <c r="O17" i="165"/>
  <c r="M17" i="165"/>
  <c r="K17" i="165"/>
  <c r="GB16" i="165"/>
  <c r="GA16" i="165"/>
  <c r="FZ16" i="165"/>
  <c r="FY16" i="165"/>
  <c r="FX16" i="165"/>
  <c r="FW16" i="165"/>
  <c r="FV16" i="165"/>
  <c r="FS16" i="165"/>
  <c r="FQ16" i="165"/>
  <c r="FR16" i="165" s="1"/>
  <c r="FO16" i="165"/>
  <c r="FK16" i="165"/>
  <c r="FF16" i="165"/>
  <c r="DQ16" i="165"/>
  <c r="DP16" i="165"/>
  <c r="DO16" i="165"/>
  <c r="CK16" i="165"/>
  <c r="FT16" i="165" s="1"/>
  <c r="BM16" i="165"/>
  <c r="BK16" i="165"/>
  <c r="BI16" i="165"/>
  <c r="AK16" i="165"/>
  <c r="AI16" i="165"/>
  <c r="AG16" i="165"/>
  <c r="E16" i="165" s="1"/>
  <c r="AE16" i="165"/>
  <c r="EY16" i="165" s="1"/>
  <c r="AC16" i="165"/>
  <c r="EX16" i="165" s="1"/>
  <c r="EF16" i="165" s="1"/>
  <c r="AA16" i="165"/>
  <c r="Y16" i="165"/>
  <c r="FM16" i="165" s="1"/>
  <c r="W16" i="165"/>
  <c r="U16" i="165"/>
  <c r="S16" i="165"/>
  <c r="Q16" i="165"/>
  <c r="O16" i="165"/>
  <c r="M16" i="165"/>
  <c r="K16" i="165"/>
  <c r="I16" i="165"/>
  <c r="GB15" i="165"/>
  <c r="GA15" i="165"/>
  <c r="FZ15" i="165"/>
  <c r="FY15" i="165"/>
  <c r="FX15" i="165"/>
  <c r="FW15" i="165"/>
  <c r="FV15" i="165"/>
  <c r="FS15" i="165"/>
  <c r="FQ15" i="165"/>
  <c r="FO15" i="165"/>
  <c r="FR15" i="165" s="1"/>
  <c r="FF15" i="165"/>
  <c r="DQ15" i="165"/>
  <c r="DP15" i="165"/>
  <c r="DO15" i="165"/>
  <c r="CK15" i="165"/>
  <c r="CN15" i="165" s="1"/>
  <c r="FU15" i="165" s="1"/>
  <c r="BM15" i="165"/>
  <c r="I15" i="165" s="1"/>
  <c r="BK15" i="165"/>
  <c r="BI15" i="165"/>
  <c r="AK15" i="165"/>
  <c r="AI15" i="165"/>
  <c r="AG15" i="165"/>
  <c r="AE15" i="165"/>
  <c r="AC15" i="165" s="1"/>
  <c r="EX15" i="165" s="1"/>
  <c r="AA15" i="165"/>
  <c r="Y15" i="165"/>
  <c r="FM15" i="165" s="1"/>
  <c r="W15" i="165"/>
  <c r="U15" i="165"/>
  <c r="S15" i="165"/>
  <c r="Q15" i="165"/>
  <c r="O15" i="165"/>
  <c r="M15" i="165"/>
  <c r="K15" i="165"/>
  <c r="G15" i="165"/>
  <c r="GB14" i="165"/>
  <c r="GA14" i="165"/>
  <c r="FZ14" i="165"/>
  <c r="FY14" i="165"/>
  <c r="FX14" i="165"/>
  <c r="FW14" i="165"/>
  <c r="FV14" i="165"/>
  <c r="FS14" i="165"/>
  <c r="FQ14" i="165"/>
  <c r="FO14" i="165"/>
  <c r="FR14" i="165" s="1"/>
  <c r="FF14" i="165"/>
  <c r="DQ14" i="165"/>
  <c r="DP14" i="165"/>
  <c r="DO14" i="165"/>
  <c r="CK14" i="165"/>
  <c r="BM14" i="165"/>
  <c r="BK14" i="165"/>
  <c r="BI14" i="165"/>
  <c r="BI22" i="165" s="1"/>
  <c r="AK14" i="165"/>
  <c r="I14" i="165" s="1"/>
  <c r="AI14" i="165"/>
  <c r="AG14" i="165"/>
  <c r="AE14" i="165"/>
  <c r="EY14" i="165" s="1"/>
  <c r="AC14" i="165"/>
  <c r="EX14" i="165" s="1"/>
  <c r="AA14" i="165"/>
  <c r="Y14" i="165"/>
  <c r="FM14" i="165" s="1"/>
  <c r="W14" i="165"/>
  <c r="DF14" i="165" s="1"/>
  <c r="U14" i="165"/>
  <c r="S14" i="165"/>
  <c r="Q14" i="165"/>
  <c r="O14" i="165"/>
  <c r="M14" i="165"/>
  <c r="K14" i="165"/>
  <c r="GB13" i="165"/>
  <c r="GA13" i="165"/>
  <c r="FZ13" i="165"/>
  <c r="FY13" i="165"/>
  <c r="FX13" i="165"/>
  <c r="FW13" i="165"/>
  <c r="FV13" i="165"/>
  <c r="FT13" i="165"/>
  <c r="FS13" i="165"/>
  <c r="FR13" i="165"/>
  <c r="FQ13" i="165"/>
  <c r="FO13" i="165"/>
  <c r="FF13" i="165"/>
  <c r="DQ13" i="165"/>
  <c r="DP13" i="165"/>
  <c r="DO13" i="165"/>
  <c r="CN13" i="165"/>
  <c r="FU13" i="165" s="1"/>
  <c r="CK13" i="165"/>
  <c r="BM13" i="165"/>
  <c r="BK13" i="165"/>
  <c r="BI13" i="165"/>
  <c r="AK13" i="165"/>
  <c r="I13" i="165" s="1"/>
  <c r="AI13" i="165"/>
  <c r="AG13" i="165"/>
  <c r="AE13" i="165"/>
  <c r="EY13" i="165" s="1"/>
  <c r="AA13" i="165"/>
  <c r="Y13" i="165"/>
  <c r="FM13" i="165" s="1"/>
  <c r="W13" i="165"/>
  <c r="FK13" i="165" s="1"/>
  <c r="U13" i="165"/>
  <c r="S13" i="165"/>
  <c r="Q13" i="165"/>
  <c r="O13" i="165"/>
  <c r="M13" i="165"/>
  <c r="K13" i="165"/>
  <c r="GB12" i="165"/>
  <c r="GA12" i="165"/>
  <c r="FZ12" i="165"/>
  <c r="FY12" i="165"/>
  <c r="FX12" i="165"/>
  <c r="FW12" i="165"/>
  <c r="FV12" i="165"/>
  <c r="FS12" i="165"/>
  <c r="FQ12" i="165"/>
  <c r="FR12" i="165" s="1"/>
  <c r="FO12" i="165"/>
  <c r="FK12" i="165"/>
  <c r="FF12" i="165"/>
  <c r="DQ12" i="165"/>
  <c r="DP12" i="165"/>
  <c r="DO12" i="165"/>
  <c r="CK12" i="165"/>
  <c r="FT12" i="165" s="1"/>
  <c r="BM12" i="165"/>
  <c r="BK12" i="165"/>
  <c r="BI12" i="165"/>
  <c r="AK12" i="165"/>
  <c r="AI12" i="165"/>
  <c r="AG12" i="165"/>
  <c r="E12" i="165" s="1"/>
  <c r="AE12" i="165"/>
  <c r="EY12" i="165" s="1"/>
  <c r="AC12" i="165"/>
  <c r="EX12" i="165" s="1"/>
  <c r="EF12" i="165" s="1"/>
  <c r="AA12" i="165"/>
  <c r="Y12" i="165"/>
  <c r="FM12" i="165" s="1"/>
  <c r="W12" i="165"/>
  <c r="DF12" i="165" s="1"/>
  <c r="U12" i="165"/>
  <c r="S12" i="165"/>
  <c r="Q12" i="165"/>
  <c r="O12" i="165"/>
  <c r="M12" i="165"/>
  <c r="K12" i="165"/>
  <c r="I12" i="165"/>
  <c r="GB11" i="165"/>
  <c r="GA11" i="165"/>
  <c r="FZ11" i="165"/>
  <c r="FY11" i="165"/>
  <c r="FX11" i="165"/>
  <c r="FW11" i="165"/>
  <c r="FV11" i="165"/>
  <c r="FS11" i="165"/>
  <c r="FQ11" i="165"/>
  <c r="FO11" i="165"/>
  <c r="FR11" i="165" s="1"/>
  <c r="FF11" i="165"/>
  <c r="DQ11" i="165"/>
  <c r="DP11" i="165"/>
  <c r="DO11" i="165"/>
  <c r="DF11" i="165"/>
  <c r="CK11" i="165"/>
  <c r="CN11" i="165" s="1"/>
  <c r="FU11" i="165" s="1"/>
  <c r="BM11" i="165"/>
  <c r="BK11" i="165"/>
  <c r="BI11" i="165"/>
  <c r="E11" i="165" s="1"/>
  <c r="AK11" i="165"/>
  <c r="AI11" i="165"/>
  <c r="AG11" i="165"/>
  <c r="AE11" i="165"/>
  <c r="AC11" i="165" s="1"/>
  <c r="EX11" i="165" s="1"/>
  <c r="AA11" i="165"/>
  <c r="Y11" i="165"/>
  <c r="FM11" i="165" s="1"/>
  <c r="W11" i="165"/>
  <c r="U11" i="165"/>
  <c r="S11" i="165"/>
  <c r="Q11" i="165"/>
  <c r="O11" i="165"/>
  <c r="M11" i="165"/>
  <c r="K11" i="165"/>
  <c r="G11" i="165"/>
  <c r="GB10" i="165"/>
  <c r="GA10" i="165"/>
  <c r="FZ10" i="165"/>
  <c r="FY10" i="165"/>
  <c r="FX10" i="165"/>
  <c r="FW10" i="165"/>
  <c r="FV10" i="165"/>
  <c r="FS10" i="165"/>
  <c r="FQ10" i="165"/>
  <c r="FR10" i="165" s="1"/>
  <c r="FO10" i="165"/>
  <c r="FK10" i="165"/>
  <c r="FF10" i="165"/>
  <c r="DQ10" i="165"/>
  <c r="DP10" i="165"/>
  <c r="DO10" i="165"/>
  <c r="CK10" i="165"/>
  <c r="BM10" i="165"/>
  <c r="BK10" i="165"/>
  <c r="BI10" i="165"/>
  <c r="AK10" i="165"/>
  <c r="I10" i="165" s="1"/>
  <c r="AI10" i="165"/>
  <c r="G10" i="165" s="1"/>
  <c r="FI10" i="165" s="1"/>
  <c r="AG10" i="165"/>
  <c r="AE10" i="165"/>
  <c r="EY10" i="165" s="1"/>
  <c r="AC10" i="165"/>
  <c r="EX10" i="165" s="1"/>
  <c r="AA10" i="165"/>
  <c r="Y10" i="165"/>
  <c r="FM10" i="165" s="1"/>
  <c r="FN10" i="165" s="1"/>
  <c r="W10" i="165"/>
  <c r="U10" i="165"/>
  <c r="S10" i="165"/>
  <c r="Q10" i="165"/>
  <c r="O10" i="165"/>
  <c r="M10" i="165"/>
  <c r="K10" i="165"/>
  <c r="E10" i="165"/>
  <c r="GB9" i="165"/>
  <c r="GA9" i="165"/>
  <c r="FZ9" i="165"/>
  <c r="FY9" i="165"/>
  <c r="FX9" i="165"/>
  <c r="FW9" i="165"/>
  <c r="FV9" i="165"/>
  <c r="FS9" i="165"/>
  <c r="FR9" i="165"/>
  <c r="FQ9" i="165"/>
  <c r="FO9" i="165"/>
  <c r="FM9" i="165"/>
  <c r="FF9" i="165"/>
  <c r="DQ9" i="165"/>
  <c r="DP9" i="165"/>
  <c r="DO9" i="165"/>
  <c r="CK9" i="165"/>
  <c r="BM9" i="165"/>
  <c r="BK9" i="165"/>
  <c r="BI9" i="165"/>
  <c r="E9" i="165" s="1"/>
  <c r="AK9" i="165"/>
  <c r="AI9" i="165"/>
  <c r="G9" i="165" s="1"/>
  <c r="AG9" i="165"/>
  <c r="AE9" i="165"/>
  <c r="EY9" i="165" s="1"/>
  <c r="AC9" i="165"/>
  <c r="EX9" i="165" s="1"/>
  <c r="AA9" i="165"/>
  <c r="Y9" i="165"/>
  <c r="W9" i="165"/>
  <c r="FK9" i="165" s="1"/>
  <c r="FN9" i="165" s="1"/>
  <c r="U9" i="165"/>
  <c r="S9" i="165"/>
  <c r="Q9" i="165"/>
  <c r="O9" i="165"/>
  <c r="M9" i="165"/>
  <c r="K9" i="165"/>
  <c r="GB8" i="165"/>
  <c r="GA8" i="165"/>
  <c r="FZ8" i="165"/>
  <c r="FY8" i="165"/>
  <c r="FX8" i="165"/>
  <c r="FW8" i="165"/>
  <c r="FV8" i="165"/>
  <c r="FS8" i="165"/>
  <c r="FQ8" i="165"/>
  <c r="FR8" i="165" s="1"/>
  <c r="FO8" i="165"/>
  <c r="FK8" i="165"/>
  <c r="FF8" i="165"/>
  <c r="DQ8" i="165"/>
  <c r="DP8" i="165"/>
  <c r="DO8" i="165"/>
  <c r="CK8" i="165"/>
  <c r="FT8" i="165" s="1"/>
  <c r="BM8" i="165"/>
  <c r="BK8" i="165"/>
  <c r="BI8" i="165"/>
  <c r="AK8" i="165"/>
  <c r="AI8" i="165"/>
  <c r="G8" i="165" s="1"/>
  <c r="AG8" i="165"/>
  <c r="E8" i="165" s="1"/>
  <c r="FG8" i="165" s="1"/>
  <c r="AE8" i="165"/>
  <c r="EY8" i="165" s="1"/>
  <c r="AC8" i="165"/>
  <c r="EX8" i="165" s="1"/>
  <c r="EF8" i="165" s="1"/>
  <c r="AA8" i="165"/>
  <c r="AA22" i="165" s="1"/>
  <c r="Y8" i="165"/>
  <c r="FM8" i="165" s="1"/>
  <c r="W8" i="165"/>
  <c r="U8" i="165"/>
  <c r="S8" i="165"/>
  <c r="Q8" i="165"/>
  <c r="O8" i="165"/>
  <c r="M8" i="165"/>
  <c r="K8" i="165"/>
  <c r="GB7" i="165"/>
  <c r="GA7" i="165"/>
  <c r="FZ7" i="165"/>
  <c r="FY7" i="165"/>
  <c r="FX7" i="165"/>
  <c r="FW7" i="165"/>
  <c r="FV7" i="165"/>
  <c r="FS7" i="165"/>
  <c r="FQ7" i="165"/>
  <c r="FO7" i="165"/>
  <c r="FF7" i="165"/>
  <c r="DQ7" i="165"/>
  <c r="DP7" i="165"/>
  <c r="DO7" i="165"/>
  <c r="CK7" i="165"/>
  <c r="FT7" i="165" s="1"/>
  <c r="BM7" i="165"/>
  <c r="BK7" i="165"/>
  <c r="BI7" i="165"/>
  <c r="AK7" i="165"/>
  <c r="AI7" i="165"/>
  <c r="AG7" i="165"/>
  <c r="E7" i="165" s="1"/>
  <c r="AE7" i="165"/>
  <c r="AC7" i="165" s="1"/>
  <c r="EX7" i="165" s="1"/>
  <c r="AA7" i="165"/>
  <c r="Y7" i="165"/>
  <c r="FM7" i="165" s="1"/>
  <c r="W7" i="165"/>
  <c r="U7" i="165"/>
  <c r="S7" i="165"/>
  <c r="Q7" i="165"/>
  <c r="O7" i="165"/>
  <c r="M7" i="165"/>
  <c r="K7" i="165"/>
  <c r="I7" i="165"/>
  <c r="GB6" i="165"/>
  <c r="GA6" i="165"/>
  <c r="FZ6" i="165"/>
  <c r="FY6" i="165"/>
  <c r="FX6" i="165"/>
  <c r="FW6" i="165"/>
  <c r="FV6" i="165"/>
  <c r="FS6" i="165"/>
  <c r="FQ6" i="165"/>
  <c r="FO6" i="165"/>
  <c r="FR6" i="165" s="1"/>
  <c r="FN6" i="165"/>
  <c r="FF6" i="165"/>
  <c r="EY6" i="165"/>
  <c r="DQ6" i="165"/>
  <c r="DP6" i="165"/>
  <c r="DO6" i="165"/>
  <c r="DF6" i="165"/>
  <c r="CK6" i="165"/>
  <c r="BM6" i="165"/>
  <c r="BK6" i="165"/>
  <c r="BI6" i="165"/>
  <c r="AK6" i="165"/>
  <c r="I6" i="165" s="1"/>
  <c r="AI6" i="165"/>
  <c r="AG6" i="165"/>
  <c r="E6" i="165" s="1"/>
  <c r="AE6" i="165"/>
  <c r="AC6" i="165"/>
  <c r="EX6" i="165" s="1"/>
  <c r="AA6" i="165"/>
  <c r="Y6" i="165"/>
  <c r="FM6" i="165" s="1"/>
  <c r="W6" i="165"/>
  <c r="FK6" i="165" s="1"/>
  <c r="U6" i="165"/>
  <c r="S6" i="165"/>
  <c r="Q6" i="165"/>
  <c r="O6" i="165"/>
  <c r="M6" i="165"/>
  <c r="K6" i="165"/>
  <c r="GB5" i="165"/>
  <c r="GA5" i="165"/>
  <c r="FZ5" i="165"/>
  <c r="FY5" i="165"/>
  <c r="FX5" i="165"/>
  <c r="FW5" i="165"/>
  <c r="FV5" i="165"/>
  <c r="FS5" i="165"/>
  <c r="FR5" i="165"/>
  <c r="FQ5" i="165"/>
  <c r="FO5" i="165"/>
  <c r="FG5" i="165"/>
  <c r="FF5" i="165"/>
  <c r="EY5" i="165"/>
  <c r="DQ5" i="165"/>
  <c r="DP5" i="165"/>
  <c r="DO5" i="165"/>
  <c r="CK5" i="165"/>
  <c r="FT5" i="165" s="1"/>
  <c r="BM5" i="165"/>
  <c r="BK5" i="165"/>
  <c r="BI5" i="165"/>
  <c r="AK5" i="165"/>
  <c r="AI5" i="165"/>
  <c r="G5" i="165" s="1"/>
  <c r="AG5" i="165"/>
  <c r="AE5" i="165"/>
  <c r="AC5" i="165"/>
  <c r="EX5" i="165" s="1"/>
  <c r="AA5" i="165"/>
  <c r="Y5" i="165"/>
  <c r="DF5" i="165" s="1"/>
  <c r="W5" i="165"/>
  <c r="U5" i="165"/>
  <c r="S5" i="165"/>
  <c r="Q5" i="165"/>
  <c r="O5" i="165"/>
  <c r="M5" i="165"/>
  <c r="K5" i="165"/>
  <c r="E5" i="165"/>
  <c r="GB4" i="165"/>
  <c r="GA4" i="165"/>
  <c r="FZ4" i="165"/>
  <c r="FY4" i="165"/>
  <c r="FX4" i="165"/>
  <c r="FW4" i="165"/>
  <c r="FV4" i="165"/>
  <c r="FS4" i="165"/>
  <c r="FQ4" i="165"/>
  <c r="FO4" i="165"/>
  <c r="FK4" i="165"/>
  <c r="FF4" i="165"/>
  <c r="DQ4" i="165"/>
  <c r="DP4" i="165"/>
  <c r="DO4" i="165"/>
  <c r="CK4" i="165"/>
  <c r="BM4" i="165"/>
  <c r="BK4" i="165"/>
  <c r="BI4" i="165"/>
  <c r="AK4" i="165"/>
  <c r="AI4" i="165"/>
  <c r="AG4" i="165"/>
  <c r="AE4" i="165"/>
  <c r="AC4" i="165"/>
  <c r="EX4" i="165" s="1"/>
  <c r="AA4" i="165"/>
  <c r="Y4" i="165"/>
  <c r="FM4" i="165" s="1"/>
  <c r="W4" i="165"/>
  <c r="U4" i="165"/>
  <c r="S4" i="165"/>
  <c r="Q4" i="165"/>
  <c r="O4" i="165"/>
  <c r="M4" i="165"/>
  <c r="K4" i="165"/>
  <c r="E4" i="165"/>
  <c r="FG4" i="165" s="1"/>
  <c r="E18" i="165" l="1"/>
  <c r="G16" i="165"/>
  <c r="DG16" i="165" s="1"/>
  <c r="G7" i="165"/>
  <c r="DG7" i="165" s="1"/>
  <c r="DF16" i="165"/>
  <c r="FN13" i="165"/>
  <c r="EF18" i="165"/>
  <c r="EY18" i="165"/>
  <c r="G18" i="165"/>
  <c r="FI18" i="165" s="1"/>
  <c r="BM22" i="165"/>
  <c r="DF10" i="165"/>
  <c r="CV7" i="165"/>
  <c r="GC7" i="165" s="1"/>
  <c r="FN16" i="165"/>
  <c r="E17" i="165"/>
  <c r="FG17" i="165" s="1"/>
  <c r="FJ17" i="165" s="1"/>
  <c r="E13" i="165"/>
  <c r="G13" i="165"/>
  <c r="DG13" i="165" s="1"/>
  <c r="I8" i="165"/>
  <c r="G6" i="165"/>
  <c r="DT6" i="165" s="1"/>
  <c r="I11" i="165"/>
  <c r="FT11" i="165"/>
  <c r="DF15" i="165"/>
  <c r="FN12" i="165"/>
  <c r="G12" i="165"/>
  <c r="DG12" i="165" s="1"/>
  <c r="FT15" i="165"/>
  <c r="I22" i="165"/>
  <c r="I41" i="165" s="1"/>
  <c r="G14" i="165"/>
  <c r="FI14" i="165" s="1"/>
  <c r="W22" i="165"/>
  <c r="FK22" i="165" s="1"/>
  <c r="M22" i="165"/>
  <c r="M51" i="165" s="1"/>
  <c r="DJ15" i="165" s="1"/>
  <c r="AK22" i="165"/>
  <c r="AK48" i="165" s="1"/>
  <c r="O22" i="165"/>
  <c r="K22" i="165"/>
  <c r="K35" i="165" s="1"/>
  <c r="FM5" i="165"/>
  <c r="BA32" i="165"/>
  <c r="Y22" i="165"/>
  <c r="FM22" i="165" s="1"/>
  <c r="E14" i="165"/>
  <c r="FK14" i="165"/>
  <c r="FN14" i="165" s="1"/>
  <c r="AG22" i="165"/>
  <c r="AG40" i="165" s="1"/>
  <c r="EX22" i="165"/>
  <c r="AC22" i="165"/>
  <c r="AC51" i="165" s="1"/>
  <c r="AE22" i="165"/>
  <c r="AE46" i="165" s="1"/>
  <c r="AE21" i="165"/>
  <c r="CK22" i="165"/>
  <c r="FT22" i="165" s="1"/>
  <c r="FN4" i="165"/>
  <c r="CN7" i="165"/>
  <c r="FU7" i="165" s="1"/>
  <c r="AI22" i="165"/>
  <c r="AI48" i="165" s="1"/>
  <c r="O21" i="165"/>
  <c r="K23" i="165"/>
  <c r="K33" i="165" s="1"/>
  <c r="DD7" i="165"/>
  <c r="DD16" i="165"/>
  <c r="FF21" i="165"/>
  <c r="DD4" i="165"/>
  <c r="DD5" i="165"/>
  <c r="DD6" i="165"/>
  <c r="DD8" i="165"/>
  <c r="DD9" i="165"/>
  <c r="DD10" i="165"/>
  <c r="DD11" i="165"/>
  <c r="DD13" i="165"/>
  <c r="DD12" i="165"/>
  <c r="DD14" i="165"/>
  <c r="DD15" i="165"/>
  <c r="DD18" i="165"/>
  <c r="FR22" i="165"/>
  <c r="CA32" i="165"/>
  <c r="AM35" i="165"/>
  <c r="CQ30" i="165"/>
  <c r="BS30" i="165"/>
  <c r="DE5" i="165"/>
  <c r="FI5" i="165"/>
  <c r="DY5" i="165"/>
  <c r="EF5" i="165"/>
  <c r="DY6" i="165"/>
  <c r="EF6" i="165"/>
  <c r="DY10" i="165"/>
  <c r="EF10" i="165"/>
  <c r="DY14" i="165"/>
  <c r="EF14" i="165"/>
  <c r="FJ5" i="165"/>
  <c r="DG9" i="165"/>
  <c r="DT9" i="165"/>
  <c r="W21" i="165"/>
  <c r="FK21" i="165" s="1"/>
  <c r="CV4" i="165"/>
  <c r="DG6" i="165"/>
  <c r="FK7" i="165"/>
  <c r="FN7" i="165" s="1"/>
  <c r="FI9" i="165"/>
  <c r="FG10" i="165"/>
  <c r="FJ10" i="165" s="1"/>
  <c r="DG10" i="165"/>
  <c r="CV10" i="165"/>
  <c r="GC10" i="165" s="1"/>
  <c r="DT10" i="165"/>
  <c r="DE11" i="165"/>
  <c r="FG11" i="165"/>
  <c r="DG11" i="165"/>
  <c r="M23" i="165"/>
  <c r="M54" i="165" s="1"/>
  <c r="DJ18" i="165" s="1"/>
  <c r="M21" i="165"/>
  <c r="U23" i="165"/>
  <c r="U44" i="165" s="1"/>
  <c r="U21" i="165"/>
  <c r="AK23" i="165"/>
  <c r="AK52" i="165" s="1"/>
  <c r="AK21" i="165"/>
  <c r="FQ23" i="165"/>
  <c r="FQ21" i="165"/>
  <c r="FT6" i="165"/>
  <c r="FG7" i="165"/>
  <c r="DF7" i="165"/>
  <c r="FI8" i="165"/>
  <c r="FJ8" i="165" s="1"/>
  <c r="CT54" i="165"/>
  <c r="CT53" i="165"/>
  <c r="CT49" i="165"/>
  <c r="CT48" i="165"/>
  <c r="CT45" i="165"/>
  <c r="CT47" i="165"/>
  <c r="CT52" i="165"/>
  <c r="CT51" i="165"/>
  <c r="CT44" i="165"/>
  <c r="CT42" i="165"/>
  <c r="CT40" i="165"/>
  <c r="CT50" i="165"/>
  <c r="CT46" i="165"/>
  <c r="CT41" i="165"/>
  <c r="CT43" i="165"/>
  <c r="GA22" i="165"/>
  <c r="I5" i="165"/>
  <c r="CN6" i="165"/>
  <c r="FU6" i="165" s="1"/>
  <c r="EY11" i="165"/>
  <c r="EY22" i="165" s="1"/>
  <c r="DE13" i="165"/>
  <c r="FG13" i="165"/>
  <c r="CV16" i="165"/>
  <c r="DE17" i="165"/>
  <c r="FK18" i="165"/>
  <c r="FN18" i="165" s="1"/>
  <c r="CV18" i="165"/>
  <c r="DF18" i="165"/>
  <c r="U49" i="165"/>
  <c r="U46" i="165"/>
  <c r="U48" i="165"/>
  <c r="U51" i="165"/>
  <c r="U47" i="165"/>
  <c r="U41" i="165"/>
  <c r="U40" i="165"/>
  <c r="U45" i="165"/>
  <c r="U43" i="165"/>
  <c r="U42" i="165"/>
  <c r="AS54" i="165"/>
  <c r="AS50" i="165"/>
  <c r="AS52" i="165"/>
  <c r="AS48" i="165"/>
  <c r="AS46" i="165"/>
  <c r="AS47" i="165"/>
  <c r="AS45" i="165"/>
  <c r="AS49" i="165"/>
  <c r="AS53" i="165"/>
  <c r="AS43" i="165"/>
  <c r="AS40" i="165"/>
  <c r="AS51" i="165"/>
  <c r="AS41" i="165"/>
  <c r="AS44" i="165"/>
  <c r="AS42" i="165"/>
  <c r="BA54" i="165"/>
  <c r="BA50" i="165"/>
  <c r="BA49" i="165"/>
  <c r="BA46" i="165"/>
  <c r="BA52" i="165"/>
  <c r="BA51" i="165"/>
  <c r="BA48" i="165"/>
  <c r="BA53" i="165"/>
  <c r="BA47" i="165"/>
  <c r="BA42" i="165"/>
  <c r="BA44" i="165"/>
  <c r="BA41" i="165"/>
  <c r="BA40" i="165"/>
  <c r="BA45" i="165"/>
  <c r="BA43" i="165"/>
  <c r="BI46" i="165"/>
  <c r="BI49" i="165"/>
  <c r="BI48" i="165"/>
  <c r="BI43" i="165"/>
  <c r="BI42" i="165"/>
  <c r="BI41" i="165"/>
  <c r="BI40" i="165"/>
  <c r="BI51" i="165"/>
  <c r="BQ52" i="165"/>
  <c r="BQ54" i="165"/>
  <c r="BQ50" i="165"/>
  <c r="BQ49" i="165"/>
  <c r="BQ53" i="165"/>
  <c r="BQ47" i="165"/>
  <c r="BQ46" i="165"/>
  <c r="BQ45" i="165"/>
  <c r="BQ51" i="165"/>
  <c r="BQ44" i="165"/>
  <c r="BQ43" i="165"/>
  <c r="BQ48" i="165"/>
  <c r="BQ42" i="165"/>
  <c r="BQ40" i="165"/>
  <c r="BQ41" i="165"/>
  <c r="BY52" i="165"/>
  <c r="BY54" i="165"/>
  <c r="BY50" i="165"/>
  <c r="BY49" i="165"/>
  <c r="BY53" i="165"/>
  <c r="BY48" i="165"/>
  <c r="BY46" i="165"/>
  <c r="BY45" i="165"/>
  <c r="BY47" i="165"/>
  <c r="BY51" i="165"/>
  <c r="BY40" i="165"/>
  <c r="BY44" i="165"/>
  <c r="BY42" i="165"/>
  <c r="BY43" i="165"/>
  <c r="BY41" i="165"/>
  <c r="CG52" i="165"/>
  <c r="CG54" i="165"/>
  <c r="CG50" i="165"/>
  <c r="CG49" i="165"/>
  <c r="CG53" i="165"/>
  <c r="CG46" i="165"/>
  <c r="CG45" i="165"/>
  <c r="CG48" i="165"/>
  <c r="CG47" i="165"/>
  <c r="CG51" i="165"/>
  <c r="CG42" i="165"/>
  <c r="CG41" i="165"/>
  <c r="CG43" i="165"/>
  <c r="CG40" i="165"/>
  <c r="CG44" i="165"/>
  <c r="CL54" i="165"/>
  <c r="CL53" i="165"/>
  <c r="CL49" i="165"/>
  <c r="CL50" i="165"/>
  <c r="CL51" i="165"/>
  <c r="CL46" i="165"/>
  <c r="CL45" i="165"/>
  <c r="CL52" i="165"/>
  <c r="CL48" i="165"/>
  <c r="CL43" i="165"/>
  <c r="CL42" i="165"/>
  <c r="CL44" i="165"/>
  <c r="CL41" i="165"/>
  <c r="CL40" i="165"/>
  <c r="CL47" i="165"/>
  <c r="I4" i="165"/>
  <c r="Q21" i="165"/>
  <c r="Q23" i="165"/>
  <c r="Q45" i="165" s="1"/>
  <c r="Y21" i="165"/>
  <c r="FM21" i="165" s="1"/>
  <c r="Y23" i="165"/>
  <c r="Y52" i="165" s="1"/>
  <c r="AG21" i="165"/>
  <c r="AG23" i="165"/>
  <c r="AG45" i="165" s="1"/>
  <c r="BK23" i="165"/>
  <c r="BK44" i="165" s="1"/>
  <c r="BK21" i="165"/>
  <c r="DE4" i="165"/>
  <c r="DG5" i="165"/>
  <c r="FK5" i="165"/>
  <c r="CV5" i="165"/>
  <c r="CN5" i="165"/>
  <c r="FU5" i="165" s="1"/>
  <c r="DT5" i="165"/>
  <c r="CV6" i="165"/>
  <c r="GC6" i="165" s="1"/>
  <c r="EY7" i="165"/>
  <c r="DY7" i="165" s="1"/>
  <c r="FR7" i="165"/>
  <c r="DF8" i="165"/>
  <c r="CV8" i="165"/>
  <c r="GC8" i="165" s="1"/>
  <c r="DG8" i="165"/>
  <c r="DY9" i="165"/>
  <c r="EF9" i="165"/>
  <c r="I9" i="165"/>
  <c r="FT9" i="165"/>
  <c r="CN9" i="165"/>
  <c r="FU9" i="165" s="1"/>
  <c r="DE9" i="165"/>
  <c r="FG9" i="165"/>
  <c r="DE10" i="165"/>
  <c r="FK11" i="165"/>
  <c r="FN11" i="165" s="1"/>
  <c r="CV11" i="165"/>
  <c r="GC11" i="165" s="1"/>
  <c r="DT11" i="165"/>
  <c r="DE12" i="165"/>
  <c r="FG12" i="165"/>
  <c r="DY12" i="165"/>
  <c r="FK15" i="165"/>
  <c r="FN15" i="165" s="1"/>
  <c r="E15" i="165"/>
  <c r="E23" i="165" s="1"/>
  <c r="E44" i="165" s="1"/>
  <c r="DT16" i="165"/>
  <c r="DE16" i="165"/>
  <c r="FG16" i="165"/>
  <c r="DY16" i="165"/>
  <c r="CK23" i="165"/>
  <c r="DH22" i="165" s="1"/>
  <c r="CZ22" i="165" s="1"/>
  <c r="GF22" i="165" s="1"/>
  <c r="FT4" i="165"/>
  <c r="CN4" i="165"/>
  <c r="CK21" i="165"/>
  <c r="FT21" i="165" s="1"/>
  <c r="FG6" i="165"/>
  <c r="CP54" i="165"/>
  <c r="CP53" i="165"/>
  <c r="CP49" i="165"/>
  <c r="CP51" i="165"/>
  <c r="CP47" i="165"/>
  <c r="CP45" i="165"/>
  <c r="CP50" i="165"/>
  <c r="CP46" i="165"/>
  <c r="CP44" i="165"/>
  <c r="CP43" i="165"/>
  <c r="CP52" i="165"/>
  <c r="CP48" i="165"/>
  <c r="CP40" i="165"/>
  <c r="CP41" i="165"/>
  <c r="FW22" i="165"/>
  <c r="CP42" i="165"/>
  <c r="FR4" i="165"/>
  <c r="FN8" i="165"/>
  <c r="CV12" i="165"/>
  <c r="GC12" i="165" s="1"/>
  <c r="FG14" i="165"/>
  <c r="FJ14" i="165" s="1"/>
  <c r="CV14" i="165"/>
  <c r="GC14" i="165" s="1"/>
  <c r="DT14" i="165"/>
  <c r="EY15" i="165"/>
  <c r="DY15" i="165" s="1"/>
  <c r="K21" i="165"/>
  <c r="S23" i="165"/>
  <c r="S45" i="165" s="1"/>
  <c r="S21" i="165"/>
  <c r="AA21" i="165"/>
  <c r="AA23" i="165"/>
  <c r="AA44" i="165" s="1"/>
  <c r="AI23" i="165"/>
  <c r="AI45" i="165" s="1"/>
  <c r="G4" i="165"/>
  <c r="AI21" i="165"/>
  <c r="BM21" i="165"/>
  <c r="BM23" i="165"/>
  <c r="BM50" i="165" s="1"/>
  <c r="DG4" i="165"/>
  <c r="DE6" i="165"/>
  <c r="DT8" i="165"/>
  <c r="DE8" i="165"/>
  <c r="DY8" i="165"/>
  <c r="FT10" i="165"/>
  <c r="CN10" i="165"/>
  <c r="FU10" i="165" s="1"/>
  <c r="FI11" i="165"/>
  <c r="FT14" i="165"/>
  <c r="CN14" i="165"/>
  <c r="FU14" i="165" s="1"/>
  <c r="FI15" i="165"/>
  <c r="FI16" i="165"/>
  <c r="AC13" i="165"/>
  <c r="EX13" i="165" s="1"/>
  <c r="EX23" i="165" s="1"/>
  <c r="EX54" i="165" s="1"/>
  <c r="AC17" i="165"/>
  <c r="EX17" i="165" s="1"/>
  <c r="DT17" i="165" s="1"/>
  <c r="FT17" i="165"/>
  <c r="CN17" i="165"/>
  <c r="FU17" i="165" s="1"/>
  <c r="FK17" i="165"/>
  <c r="FN17" i="165" s="1"/>
  <c r="DF13" i="165"/>
  <c r="Q54" i="165"/>
  <c r="Q49" i="165"/>
  <c r="Q48" i="165"/>
  <c r="Q43" i="165"/>
  <c r="Q51" i="165"/>
  <c r="Q42" i="165"/>
  <c r="Q50" i="165"/>
  <c r="Q41" i="165"/>
  <c r="Q47" i="165"/>
  <c r="Q40" i="165"/>
  <c r="Q46" i="165"/>
  <c r="AO54" i="165"/>
  <c r="AO52" i="165"/>
  <c r="AO53" i="165"/>
  <c r="AO51" i="165"/>
  <c r="AO50" i="165"/>
  <c r="AO49" i="165"/>
  <c r="AO48" i="165"/>
  <c r="AO47" i="165"/>
  <c r="AO41" i="165"/>
  <c r="AO46" i="165"/>
  <c r="AO45" i="165"/>
  <c r="AO43" i="165"/>
  <c r="AO40" i="165"/>
  <c r="AO44" i="165"/>
  <c r="AO42" i="165"/>
  <c r="AW54" i="165"/>
  <c r="AW52" i="165"/>
  <c r="AW53" i="165"/>
  <c r="AW49" i="165"/>
  <c r="AW51" i="165"/>
  <c r="AW50" i="165"/>
  <c r="AW48" i="165"/>
  <c r="AW43" i="165"/>
  <c r="AW46" i="165"/>
  <c r="AW42" i="165"/>
  <c r="AW47" i="165"/>
  <c r="AW44" i="165"/>
  <c r="AW41" i="165"/>
  <c r="AW45" i="165"/>
  <c r="AW40" i="165"/>
  <c r="BE54" i="165"/>
  <c r="BE52" i="165"/>
  <c r="BE51" i="165"/>
  <c r="BE50" i="165"/>
  <c r="BE47" i="165"/>
  <c r="BE53" i="165"/>
  <c r="BE49" i="165"/>
  <c r="BE44" i="165"/>
  <c r="BE48" i="165"/>
  <c r="BE43" i="165"/>
  <c r="BE45" i="165"/>
  <c r="BE40" i="165"/>
  <c r="BE41" i="165"/>
  <c r="BE42" i="165"/>
  <c r="BE46" i="165"/>
  <c r="BM52" i="165"/>
  <c r="BM48" i="165"/>
  <c r="BM49" i="165"/>
  <c r="BM42" i="165"/>
  <c r="BM40" i="165"/>
  <c r="BM46" i="165"/>
  <c r="BM51" i="165"/>
  <c r="BM45" i="165"/>
  <c r="BM41" i="165"/>
  <c r="BM43" i="165"/>
  <c r="BU52" i="165"/>
  <c r="BU54" i="165"/>
  <c r="BU50" i="165"/>
  <c r="BU53" i="165"/>
  <c r="BU49" i="165"/>
  <c r="BU48" i="165"/>
  <c r="BU47" i="165"/>
  <c r="BU42" i="165"/>
  <c r="BU51" i="165"/>
  <c r="BU43" i="165"/>
  <c r="BU41" i="165"/>
  <c r="BU40" i="165"/>
  <c r="BU46" i="165"/>
  <c r="BU45" i="165"/>
  <c r="BU44" i="165"/>
  <c r="CC52" i="165"/>
  <c r="CC54" i="165"/>
  <c r="CC50" i="165"/>
  <c r="CC53" i="165"/>
  <c r="CC48" i="165"/>
  <c r="CC47" i="165"/>
  <c r="CC43" i="165"/>
  <c r="CC45" i="165"/>
  <c r="CC44" i="165"/>
  <c r="CC51" i="165"/>
  <c r="CC41" i="165"/>
  <c r="CC49" i="165"/>
  <c r="CC42" i="165"/>
  <c r="CC46" i="165"/>
  <c r="CC40" i="165"/>
  <c r="CJ53" i="165"/>
  <c r="CJ51" i="165"/>
  <c r="CJ52" i="165"/>
  <c r="CJ49" i="165"/>
  <c r="CJ54" i="165"/>
  <c r="CJ50" i="165"/>
  <c r="CJ47" i="165"/>
  <c r="CJ48" i="165"/>
  <c r="CJ44" i="165"/>
  <c r="CJ46" i="165"/>
  <c r="CJ42" i="165"/>
  <c r="CJ45" i="165"/>
  <c r="CJ43" i="165"/>
  <c r="CJ40" i="165"/>
  <c r="CJ41" i="165"/>
  <c r="FS22" i="165"/>
  <c r="CR53" i="165"/>
  <c r="CR51" i="165"/>
  <c r="CR54" i="165"/>
  <c r="CR52" i="165"/>
  <c r="CR50" i="165"/>
  <c r="CR49" i="165"/>
  <c r="CR48" i="165"/>
  <c r="CR47" i="165"/>
  <c r="CR42" i="165"/>
  <c r="CR45" i="165"/>
  <c r="CR41" i="165"/>
  <c r="CR44" i="165"/>
  <c r="CR40" i="165"/>
  <c r="CR43" i="165"/>
  <c r="CR46" i="165"/>
  <c r="FY22" i="165"/>
  <c r="AQ36" i="165"/>
  <c r="AQ37" i="165"/>
  <c r="AQ38" i="165"/>
  <c r="AQ35" i="165"/>
  <c r="AQ34" i="165"/>
  <c r="AQ33" i="165"/>
  <c r="AQ32" i="165"/>
  <c r="AQ39" i="165"/>
  <c r="AQ31" i="165"/>
  <c r="AQ30" i="165"/>
  <c r="AQ29" i="165"/>
  <c r="AQ28" i="165"/>
  <c r="AQ26" i="165"/>
  <c r="AQ25" i="165"/>
  <c r="AQ27" i="165"/>
  <c r="AY36" i="165"/>
  <c r="AY39" i="165"/>
  <c r="AY37" i="165"/>
  <c r="AY35" i="165"/>
  <c r="AY34" i="165"/>
  <c r="AY33" i="165"/>
  <c r="AY32" i="165"/>
  <c r="AY38" i="165"/>
  <c r="AY31" i="165"/>
  <c r="AY30" i="165"/>
  <c r="AY29" i="165"/>
  <c r="AY26" i="165"/>
  <c r="AY25" i="165"/>
  <c r="AY28" i="165"/>
  <c r="AY27" i="165"/>
  <c r="BG36" i="165"/>
  <c r="BG39" i="165"/>
  <c r="BG35" i="165"/>
  <c r="BG34" i="165"/>
  <c r="BG33" i="165"/>
  <c r="BG32" i="165"/>
  <c r="BG38" i="165"/>
  <c r="BG31" i="165"/>
  <c r="BG30" i="165"/>
  <c r="BG29" i="165"/>
  <c r="BG27" i="165"/>
  <c r="BG26" i="165"/>
  <c r="BG25" i="165"/>
  <c r="BG37" i="165"/>
  <c r="BG28" i="165"/>
  <c r="CO39" i="165"/>
  <c r="CO35" i="165"/>
  <c r="CO36" i="165"/>
  <c r="CO37" i="165"/>
  <c r="CO34" i="165"/>
  <c r="CO33" i="165"/>
  <c r="CO32" i="165"/>
  <c r="CO38" i="165"/>
  <c r="CO31" i="165"/>
  <c r="CO30" i="165"/>
  <c r="CO29" i="165"/>
  <c r="CO28" i="165"/>
  <c r="CO27" i="165"/>
  <c r="CO26" i="165"/>
  <c r="CO25" i="165"/>
  <c r="FV23" i="165"/>
  <c r="CS39" i="165"/>
  <c r="CS35" i="165"/>
  <c r="CS38" i="165"/>
  <c r="CS36" i="165"/>
  <c r="CS34" i="165"/>
  <c r="CS33" i="165"/>
  <c r="CS32" i="165"/>
  <c r="CS31" i="165"/>
  <c r="CS30" i="165"/>
  <c r="CS29" i="165"/>
  <c r="CS37" i="165"/>
  <c r="CS28" i="165"/>
  <c r="CS26" i="165"/>
  <c r="CS25" i="165"/>
  <c r="FZ23" i="165"/>
  <c r="CS27" i="165"/>
  <c r="DF9" i="165"/>
  <c r="O23" i="165"/>
  <c r="O44" i="165" s="1"/>
  <c r="W23" i="165"/>
  <c r="W45" i="165" s="1"/>
  <c r="AE23" i="165"/>
  <c r="AE44" i="165" s="1"/>
  <c r="BI23" i="165"/>
  <c r="BI45" i="165" s="1"/>
  <c r="BI21" i="165"/>
  <c r="DF4" i="165"/>
  <c r="EY4" i="165"/>
  <c r="DY4" i="165" s="1"/>
  <c r="FO21" i="165"/>
  <c r="FR21" i="165" s="1"/>
  <c r="FO23" i="165"/>
  <c r="FR23" i="165" s="1"/>
  <c r="CN8" i="165"/>
  <c r="FU8" i="165" s="1"/>
  <c r="CV9" i="165"/>
  <c r="GC9" i="165" s="1"/>
  <c r="CN12" i="165"/>
  <c r="FU12" i="165" s="1"/>
  <c r="CN16" i="165"/>
  <c r="FU16" i="165" s="1"/>
  <c r="FR17" i="165"/>
  <c r="DY18" i="165"/>
  <c r="DE18" i="165"/>
  <c r="DG18" i="165"/>
  <c r="DT18" i="165"/>
  <c r="FG18" i="165"/>
  <c r="D36" i="165"/>
  <c r="D38" i="165"/>
  <c r="D35" i="165"/>
  <c r="D34" i="165"/>
  <c r="D33" i="165"/>
  <c r="D32" i="165"/>
  <c r="D37" i="165"/>
  <c r="D39" i="165"/>
  <c r="D31" i="165"/>
  <c r="D30" i="165"/>
  <c r="D29" i="165"/>
  <c r="D28" i="165"/>
  <c r="D27" i="165"/>
  <c r="D26" i="165"/>
  <c r="D25" i="165"/>
  <c r="BO37" i="165"/>
  <c r="BO39" i="165"/>
  <c r="BO38" i="165"/>
  <c r="BO36" i="165"/>
  <c r="BO35" i="165"/>
  <c r="BO34" i="165"/>
  <c r="BO33" i="165"/>
  <c r="BO32" i="165"/>
  <c r="BO31" i="165"/>
  <c r="BO30" i="165"/>
  <c r="BO29" i="165"/>
  <c r="BO28" i="165"/>
  <c r="BO27" i="165"/>
  <c r="BO26" i="165"/>
  <c r="BO25" i="165"/>
  <c r="BW37" i="165"/>
  <c r="BW38" i="165"/>
  <c r="BW36" i="165"/>
  <c r="BW34" i="165"/>
  <c r="BW33" i="165"/>
  <c r="BW32" i="165"/>
  <c r="BW35" i="165"/>
  <c r="BW31" i="165"/>
  <c r="BW30" i="165"/>
  <c r="BW29" i="165"/>
  <c r="BW39" i="165"/>
  <c r="BW28" i="165"/>
  <c r="BW26" i="165"/>
  <c r="BW25" i="165"/>
  <c r="BW27" i="165"/>
  <c r="CE37" i="165"/>
  <c r="CE39" i="165"/>
  <c r="CE38" i="165"/>
  <c r="CE36" i="165"/>
  <c r="CE35" i="165"/>
  <c r="CE34" i="165"/>
  <c r="CE33" i="165"/>
  <c r="CE32" i="165"/>
  <c r="CE31" i="165"/>
  <c r="CE30" i="165"/>
  <c r="CE29" i="165"/>
  <c r="CE26" i="165"/>
  <c r="CE25" i="165"/>
  <c r="CE28" i="165"/>
  <c r="CE27" i="165"/>
  <c r="D53" i="165"/>
  <c r="D51" i="165"/>
  <c r="D52" i="165"/>
  <c r="D49" i="165"/>
  <c r="D48" i="165"/>
  <c r="D47" i="165"/>
  <c r="D54" i="165"/>
  <c r="D46" i="165"/>
  <c r="D45" i="165"/>
  <c r="D44" i="165"/>
  <c r="D43" i="165"/>
  <c r="D42" i="165"/>
  <c r="D41" i="165"/>
  <c r="D40" i="165"/>
  <c r="S51" i="165"/>
  <c r="S49" i="165"/>
  <c r="S48" i="165"/>
  <c r="S46" i="165"/>
  <c r="S43" i="165"/>
  <c r="S42" i="165"/>
  <c r="S41" i="165"/>
  <c r="S40" i="165"/>
  <c r="AA51" i="165"/>
  <c r="AA49" i="165"/>
  <c r="AA48" i="165"/>
  <c r="AA47" i="165"/>
  <c r="AA46" i="165"/>
  <c r="AA43" i="165"/>
  <c r="AA42" i="165"/>
  <c r="AA41" i="165"/>
  <c r="AA40" i="165"/>
  <c r="AQ53" i="165"/>
  <c r="AQ51" i="165"/>
  <c r="AQ54" i="165"/>
  <c r="AQ50" i="165"/>
  <c r="AQ49" i="165"/>
  <c r="AQ48" i="165"/>
  <c r="AQ47" i="165"/>
  <c r="AQ52" i="165"/>
  <c r="AQ46" i="165"/>
  <c r="AQ45" i="165"/>
  <c r="AQ44" i="165"/>
  <c r="AQ43" i="165"/>
  <c r="AQ42" i="165"/>
  <c r="AQ41" i="165"/>
  <c r="AQ40" i="165"/>
  <c r="AY53" i="165"/>
  <c r="AY51" i="165"/>
  <c r="AY49" i="165"/>
  <c r="AY48" i="165"/>
  <c r="AY47" i="165"/>
  <c r="AY50" i="165"/>
  <c r="AY46" i="165"/>
  <c r="AY45" i="165"/>
  <c r="AY44" i="165"/>
  <c r="AY43" i="165"/>
  <c r="AY42" i="165"/>
  <c r="AY54" i="165"/>
  <c r="AY52" i="165"/>
  <c r="AY41" i="165"/>
  <c r="AY40" i="165"/>
  <c r="BG53" i="165"/>
  <c r="BG51" i="165"/>
  <c r="BG54" i="165"/>
  <c r="BG49" i="165"/>
  <c r="BG48" i="165"/>
  <c r="BG47" i="165"/>
  <c r="BG52" i="165"/>
  <c r="BG46" i="165"/>
  <c r="BG45" i="165"/>
  <c r="BG44" i="165"/>
  <c r="BG43" i="165"/>
  <c r="BG42" i="165"/>
  <c r="BG41" i="165"/>
  <c r="BG40" i="165"/>
  <c r="BG50" i="165"/>
  <c r="BO54" i="165"/>
  <c r="BO52" i="165"/>
  <c r="BO49" i="165"/>
  <c r="BO48" i="165"/>
  <c r="BO47" i="165"/>
  <c r="BO53" i="165"/>
  <c r="BO51" i="165"/>
  <c r="BO46" i="165"/>
  <c r="BO45" i="165"/>
  <c r="BO44" i="165"/>
  <c r="BO43" i="165"/>
  <c r="BO42" i="165"/>
  <c r="BO41" i="165"/>
  <c r="BO40" i="165"/>
  <c r="BO50" i="165"/>
  <c r="BW54" i="165"/>
  <c r="BW52" i="165"/>
  <c r="BW48" i="165"/>
  <c r="BW47" i="165"/>
  <c r="BW49" i="165"/>
  <c r="BW51" i="165"/>
  <c r="BW50" i="165"/>
  <c r="BW46" i="165"/>
  <c r="BW45" i="165"/>
  <c r="BW44" i="165"/>
  <c r="BW43" i="165"/>
  <c r="BW42" i="165"/>
  <c r="BW53" i="165"/>
  <c r="BW41" i="165"/>
  <c r="BW40" i="165"/>
  <c r="CE54" i="165"/>
  <c r="CE52" i="165"/>
  <c r="CE48" i="165"/>
  <c r="CE47" i="165"/>
  <c r="CE53" i="165"/>
  <c r="CE50" i="165"/>
  <c r="CE51" i="165"/>
  <c r="CE46" i="165"/>
  <c r="CE45" i="165"/>
  <c r="CE44" i="165"/>
  <c r="CE43" i="165"/>
  <c r="CE42" i="165"/>
  <c r="CE49" i="165"/>
  <c r="CE41" i="165"/>
  <c r="CE40" i="165"/>
  <c r="CO52" i="165"/>
  <c r="CO54" i="165"/>
  <c r="CO50" i="165"/>
  <c r="CO53" i="165"/>
  <c r="CO49" i="165"/>
  <c r="CO48" i="165"/>
  <c r="CO47" i="165"/>
  <c r="CO46" i="165"/>
  <c r="CO45" i="165"/>
  <c r="CO44" i="165"/>
  <c r="CO43" i="165"/>
  <c r="CO42" i="165"/>
  <c r="CO51" i="165"/>
  <c r="CO41" i="165"/>
  <c r="CO40" i="165"/>
  <c r="CS52" i="165"/>
  <c r="CS54" i="165"/>
  <c r="CS50" i="165"/>
  <c r="CS48" i="165"/>
  <c r="CS47" i="165"/>
  <c r="CS46" i="165"/>
  <c r="CS51" i="165"/>
  <c r="CS45" i="165"/>
  <c r="CS44" i="165"/>
  <c r="CS43" i="165"/>
  <c r="CS42" i="165"/>
  <c r="CS53" i="165"/>
  <c r="CS49" i="165"/>
  <c r="CS41" i="165"/>
  <c r="CS40" i="165"/>
  <c r="EX49" i="165"/>
  <c r="EX51" i="165"/>
  <c r="EX46" i="165"/>
  <c r="EX42" i="165"/>
  <c r="EX41" i="165"/>
  <c r="EX40" i="165"/>
  <c r="FF22" i="165"/>
  <c r="AO37" i="165"/>
  <c r="AO39" i="165"/>
  <c r="AO36" i="165"/>
  <c r="AO34" i="165"/>
  <c r="AO38" i="165"/>
  <c r="AO35" i="165"/>
  <c r="AO33" i="165"/>
  <c r="AO31" i="165"/>
  <c r="AO30" i="165"/>
  <c r="AW37" i="165"/>
  <c r="AW39" i="165"/>
  <c r="AW38" i="165"/>
  <c r="AW36" i="165"/>
  <c r="AW35" i="165"/>
  <c r="AW33" i="165"/>
  <c r="AW32" i="165"/>
  <c r="AW34" i="165"/>
  <c r="AW31" i="165"/>
  <c r="AW30" i="165"/>
  <c r="BE37" i="165"/>
  <c r="BE38" i="165"/>
  <c r="BE36" i="165"/>
  <c r="BE34" i="165"/>
  <c r="BE32" i="165"/>
  <c r="BE35" i="165"/>
  <c r="BE33" i="165"/>
  <c r="BE31" i="165"/>
  <c r="BE30" i="165"/>
  <c r="BU39" i="165"/>
  <c r="BU35" i="165"/>
  <c r="BU37" i="165"/>
  <c r="BU34" i="165"/>
  <c r="BU32" i="165"/>
  <c r="BU38" i="165"/>
  <c r="BU36" i="165"/>
  <c r="BU33" i="165"/>
  <c r="BU31" i="165"/>
  <c r="BU30" i="165"/>
  <c r="CC39" i="165"/>
  <c r="CC35" i="165"/>
  <c r="CC38" i="165"/>
  <c r="CC36" i="165"/>
  <c r="CC33" i="165"/>
  <c r="CC34" i="165"/>
  <c r="CC32" i="165"/>
  <c r="CC31" i="165"/>
  <c r="CC30" i="165"/>
  <c r="CJ36" i="165"/>
  <c r="CJ39" i="165"/>
  <c r="CJ35" i="165"/>
  <c r="CJ37" i="165"/>
  <c r="CJ38" i="165"/>
  <c r="CJ34" i="165"/>
  <c r="CJ32" i="165"/>
  <c r="CJ33" i="165"/>
  <c r="CJ31" i="165"/>
  <c r="CJ30" i="165"/>
  <c r="CR36" i="165"/>
  <c r="CR38" i="165"/>
  <c r="CR37" i="165"/>
  <c r="CR34" i="165"/>
  <c r="CR32" i="165"/>
  <c r="CR35" i="165"/>
  <c r="CR33" i="165"/>
  <c r="CR31" i="165"/>
  <c r="CR30" i="165"/>
  <c r="FX23" i="165"/>
  <c r="GB23" i="165"/>
  <c r="AM25" i="165"/>
  <c r="AU25" i="165"/>
  <c r="BC25" i="165"/>
  <c r="BS25" i="165"/>
  <c r="CA25" i="165"/>
  <c r="CI25" i="165"/>
  <c r="CM25" i="165"/>
  <c r="CQ25" i="165"/>
  <c r="CU25" i="165"/>
  <c r="AM26" i="165"/>
  <c r="AU26" i="165"/>
  <c r="BC26" i="165"/>
  <c r="BS26" i="165"/>
  <c r="CA26" i="165"/>
  <c r="CI26" i="165"/>
  <c r="CM26" i="165"/>
  <c r="CQ26" i="165"/>
  <c r="CU26" i="165"/>
  <c r="AO27" i="165"/>
  <c r="BU27" i="165"/>
  <c r="CM27" i="165"/>
  <c r="CR27" i="165"/>
  <c r="AM28" i="165"/>
  <c r="AW28" i="165"/>
  <c r="BS28" i="165"/>
  <c r="CC28" i="165"/>
  <c r="CQ28" i="165"/>
  <c r="AO29" i="165"/>
  <c r="BE29" i="165"/>
  <c r="BU29" i="165"/>
  <c r="CJ29" i="165"/>
  <c r="CR29" i="165"/>
  <c r="BC30" i="165"/>
  <c r="CI30" i="165"/>
  <c r="CM31" i="165"/>
  <c r="CU32" i="165"/>
  <c r="BC33" i="165"/>
  <c r="FY23" i="165"/>
  <c r="AO25" i="165"/>
  <c r="AW25" i="165"/>
  <c r="BE25" i="165"/>
  <c r="BU25" i="165"/>
  <c r="CC25" i="165"/>
  <c r="CJ25" i="165"/>
  <c r="CR25" i="165"/>
  <c r="AO26" i="165"/>
  <c r="AW26" i="165"/>
  <c r="BE26" i="165"/>
  <c r="BU26" i="165"/>
  <c r="CC26" i="165"/>
  <c r="CJ26" i="165"/>
  <c r="CR26" i="165"/>
  <c r="BC27" i="165"/>
  <c r="CI27" i="165"/>
  <c r="AO28" i="165"/>
  <c r="BU28" i="165"/>
  <c r="CM28" i="165"/>
  <c r="CR28" i="165"/>
  <c r="AU29" i="165"/>
  <c r="CA29" i="165"/>
  <c r="CM29" i="165"/>
  <c r="CU29" i="165"/>
  <c r="CM30" i="165"/>
  <c r="AM31" i="165"/>
  <c r="BS31" i="165"/>
  <c r="CQ31" i="165"/>
  <c r="BS33" i="165"/>
  <c r="CA34" i="165"/>
  <c r="CQ35" i="165"/>
  <c r="CR39" i="165"/>
  <c r="O51" i="165"/>
  <c r="O50" i="165"/>
  <c r="O49" i="165"/>
  <c r="O46" i="165"/>
  <c r="O43" i="165"/>
  <c r="O45" i="165"/>
  <c r="O42" i="165"/>
  <c r="O48" i="165"/>
  <c r="O40" i="165"/>
  <c r="O41" i="165"/>
  <c r="W43" i="165"/>
  <c r="AM53" i="165"/>
  <c r="AM54" i="165"/>
  <c r="AM52" i="165"/>
  <c r="AM51" i="165"/>
  <c r="AM50" i="165"/>
  <c r="AM49" i="165"/>
  <c r="AM48" i="165"/>
  <c r="AM47" i="165"/>
  <c r="AM43" i="165"/>
  <c r="AM44" i="165"/>
  <c r="AM42" i="165"/>
  <c r="AM41" i="165"/>
  <c r="AM46" i="165"/>
  <c r="AM45" i="165"/>
  <c r="AM40" i="165"/>
  <c r="AU53" i="165"/>
  <c r="AU51" i="165"/>
  <c r="AU47" i="165"/>
  <c r="AU49" i="165"/>
  <c r="AU50" i="165"/>
  <c r="AU48" i="165"/>
  <c r="AU46" i="165"/>
  <c r="AU44" i="165"/>
  <c r="AU54" i="165"/>
  <c r="AU52" i="165"/>
  <c r="AU45" i="165"/>
  <c r="AU42" i="165"/>
  <c r="AU43" i="165"/>
  <c r="AU40" i="165"/>
  <c r="AU41" i="165"/>
  <c r="BC53" i="165"/>
  <c r="BC52" i="165"/>
  <c r="BC50" i="165"/>
  <c r="BC54" i="165"/>
  <c r="BC51" i="165"/>
  <c r="BC48" i="165"/>
  <c r="BC47" i="165"/>
  <c r="BC49" i="165"/>
  <c r="BC45" i="165"/>
  <c r="BC40" i="165"/>
  <c r="BC43" i="165"/>
  <c r="BC46" i="165"/>
  <c r="BC44" i="165"/>
  <c r="BC42" i="165"/>
  <c r="BC41" i="165"/>
  <c r="BK49" i="165"/>
  <c r="BK51" i="165"/>
  <c r="BK48" i="165"/>
  <c r="BK46" i="165"/>
  <c r="BK42" i="165"/>
  <c r="BK41" i="165"/>
  <c r="BK40" i="165"/>
  <c r="BK43" i="165"/>
  <c r="BS54" i="165"/>
  <c r="BS52" i="165"/>
  <c r="BS50" i="165"/>
  <c r="BS53" i="165"/>
  <c r="BS51" i="165"/>
  <c r="BS49" i="165"/>
  <c r="BS48" i="165"/>
  <c r="BS45" i="165"/>
  <c r="BS43" i="165"/>
  <c r="BS46" i="165"/>
  <c r="BS41" i="165"/>
  <c r="BS47" i="165"/>
  <c r="BS44" i="165"/>
  <c r="BS42" i="165"/>
  <c r="CA54" i="165"/>
  <c r="CA52" i="165"/>
  <c r="CA50" i="165"/>
  <c r="CA49" i="165"/>
  <c r="CA47" i="165"/>
  <c r="CA51" i="165"/>
  <c r="CA53" i="165"/>
  <c r="CA46" i="165"/>
  <c r="CA44" i="165"/>
  <c r="CA42" i="165"/>
  <c r="CA45" i="165"/>
  <c r="CA40" i="165"/>
  <c r="CA43" i="165"/>
  <c r="CA48" i="165"/>
  <c r="CI54" i="165"/>
  <c r="CI52" i="165"/>
  <c r="CI48" i="165"/>
  <c r="CI53" i="165"/>
  <c r="CI51" i="165"/>
  <c r="CI50" i="165"/>
  <c r="CI49" i="165"/>
  <c r="CI47" i="165"/>
  <c r="CI45" i="165"/>
  <c r="CI43" i="165"/>
  <c r="CI40" i="165"/>
  <c r="CI46" i="165"/>
  <c r="CI41" i="165"/>
  <c r="CI42" i="165"/>
  <c r="CM54" i="165"/>
  <c r="CM52" i="165"/>
  <c r="CM53" i="165"/>
  <c r="CM48" i="165"/>
  <c r="CM47" i="165"/>
  <c r="CM50" i="165"/>
  <c r="CM46" i="165"/>
  <c r="CM42" i="165"/>
  <c r="CM49" i="165"/>
  <c r="CM44" i="165"/>
  <c r="CM41" i="165"/>
  <c r="CM51" i="165"/>
  <c r="CM40" i="165"/>
  <c r="CQ54" i="165"/>
  <c r="CQ52" i="165"/>
  <c r="CQ50" i="165"/>
  <c r="CQ46" i="165"/>
  <c r="CQ51" i="165"/>
  <c r="CQ49" i="165"/>
  <c r="CQ48" i="165"/>
  <c r="CQ45" i="165"/>
  <c r="CQ43" i="165"/>
  <c r="CQ47" i="165"/>
  <c r="CQ42" i="165"/>
  <c r="CQ41" i="165"/>
  <c r="CQ40" i="165"/>
  <c r="CQ53" i="165"/>
  <c r="CQ44" i="165"/>
  <c r="CU54" i="165"/>
  <c r="CU52" i="165"/>
  <c r="CU51" i="165"/>
  <c r="CU49" i="165"/>
  <c r="CU53" i="165"/>
  <c r="CU47" i="165"/>
  <c r="CU46" i="165"/>
  <c r="CU50" i="165"/>
  <c r="CU44" i="165"/>
  <c r="CU48" i="165"/>
  <c r="CU43" i="165"/>
  <c r="CU45" i="165"/>
  <c r="CU42" i="165"/>
  <c r="CU40" i="165"/>
  <c r="CU41" i="165"/>
  <c r="AS39" i="165"/>
  <c r="AS38" i="165"/>
  <c r="AS36" i="165"/>
  <c r="AS35" i="165"/>
  <c r="AS34" i="165"/>
  <c r="AS33" i="165"/>
  <c r="AS37" i="165"/>
  <c r="AS31" i="165"/>
  <c r="AS30" i="165"/>
  <c r="AS29" i="165"/>
  <c r="AS28" i="165"/>
  <c r="AS27" i="165"/>
  <c r="AS32" i="165"/>
  <c r="BA39" i="165"/>
  <c r="BA37" i="165"/>
  <c r="BA35" i="165"/>
  <c r="BA34" i="165"/>
  <c r="BA33" i="165"/>
  <c r="BA38" i="165"/>
  <c r="BA36" i="165"/>
  <c r="BA31" i="165"/>
  <c r="BA30" i="165"/>
  <c r="BA29" i="165"/>
  <c r="BA28" i="165"/>
  <c r="BA27" i="165"/>
  <c r="BQ39" i="165"/>
  <c r="BQ35" i="165"/>
  <c r="BQ34" i="165"/>
  <c r="BQ33" i="165"/>
  <c r="BQ32" i="165"/>
  <c r="BQ37" i="165"/>
  <c r="BQ31" i="165"/>
  <c r="BQ30" i="165"/>
  <c r="BQ29" i="165"/>
  <c r="BQ28" i="165"/>
  <c r="BQ27" i="165"/>
  <c r="BQ38" i="165"/>
  <c r="BQ36" i="165"/>
  <c r="BY39" i="165"/>
  <c r="BY35" i="165"/>
  <c r="BY34" i="165"/>
  <c r="BY33" i="165"/>
  <c r="BY32" i="165"/>
  <c r="BY37" i="165"/>
  <c r="BY31" i="165"/>
  <c r="BY30" i="165"/>
  <c r="BY29" i="165"/>
  <c r="BY28" i="165"/>
  <c r="BY27" i="165"/>
  <c r="CG39" i="165"/>
  <c r="CG35" i="165"/>
  <c r="CG34" i="165"/>
  <c r="CG33" i="165"/>
  <c r="CG32" i="165"/>
  <c r="CG37" i="165"/>
  <c r="CG31" i="165"/>
  <c r="CG30" i="165"/>
  <c r="CG29" i="165"/>
  <c r="CG28" i="165"/>
  <c r="CG27" i="165"/>
  <c r="CG38" i="165"/>
  <c r="CG36" i="165"/>
  <c r="CL38" i="165"/>
  <c r="CL34" i="165"/>
  <c r="CL33" i="165"/>
  <c r="CL32" i="165"/>
  <c r="CL39" i="165"/>
  <c r="CL37" i="165"/>
  <c r="CL31" i="165"/>
  <c r="CL30" i="165"/>
  <c r="CL29" i="165"/>
  <c r="CL28" i="165"/>
  <c r="CL27" i="165"/>
  <c r="CL35" i="165"/>
  <c r="CP38" i="165"/>
  <c r="CP39" i="165"/>
  <c r="CP37" i="165"/>
  <c r="CP35" i="165"/>
  <c r="CP34" i="165"/>
  <c r="CP33" i="165"/>
  <c r="CP32" i="165"/>
  <c r="CP36" i="165"/>
  <c r="CP31" i="165"/>
  <c r="CP30" i="165"/>
  <c r="CP29" i="165"/>
  <c r="CP28" i="165"/>
  <c r="CP27" i="165"/>
  <c r="CT38" i="165"/>
  <c r="CT36" i="165"/>
  <c r="CT34" i="165"/>
  <c r="CT33" i="165"/>
  <c r="CT32" i="165"/>
  <c r="CT39" i="165"/>
  <c r="CT37" i="165"/>
  <c r="CT35" i="165"/>
  <c r="CT31" i="165"/>
  <c r="CT30" i="165"/>
  <c r="CT29" i="165"/>
  <c r="CT28" i="165"/>
  <c r="CT27" i="165"/>
  <c r="AU27" i="165"/>
  <c r="BE27" i="165"/>
  <c r="CA27" i="165"/>
  <c r="CJ27" i="165"/>
  <c r="CI28" i="165"/>
  <c r="AW29" i="165"/>
  <c r="CC29" i="165"/>
  <c r="AM30" i="165"/>
  <c r="CA31" i="165"/>
  <c r="CL36" i="165"/>
  <c r="BY38" i="165"/>
  <c r="BE39" i="165"/>
  <c r="CA41" i="165"/>
  <c r="D50" i="165"/>
  <c r="AM38" i="165"/>
  <c r="AM39" i="165"/>
  <c r="AM37" i="165"/>
  <c r="AM32" i="165"/>
  <c r="AM36" i="165"/>
  <c r="AM34" i="165"/>
  <c r="AU38" i="165"/>
  <c r="AU36" i="165"/>
  <c r="AU39" i="165"/>
  <c r="AU37" i="165"/>
  <c r="AU35" i="165"/>
  <c r="AU33" i="165"/>
  <c r="AU32" i="165"/>
  <c r="BC38" i="165"/>
  <c r="BC36" i="165"/>
  <c r="BC39" i="165"/>
  <c r="BC37" i="165"/>
  <c r="BC34" i="165"/>
  <c r="BC32" i="165"/>
  <c r="BS37" i="165"/>
  <c r="BS38" i="165"/>
  <c r="BS36" i="165"/>
  <c r="BS39" i="165"/>
  <c r="BS35" i="165"/>
  <c r="BS34" i="165"/>
  <c r="BS32" i="165"/>
  <c r="CA37" i="165"/>
  <c r="CA38" i="165"/>
  <c r="CA36" i="165"/>
  <c r="CA39" i="165"/>
  <c r="CA33" i="165"/>
  <c r="CA35" i="165"/>
  <c r="CI37" i="165"/>
  <c r="CI38" i="165"/>
  <c r="CI36" i="165"/>
  <c r="CI39" i="165"/>
  <c r="CI35" i="165"/>
  <c r="CI34" i="165"/>
  <c r="CI32" i="165"/>
  <c r="CM37" i="165"/>
  <c r="CM38" i="165"/>
  <c r="CM36" i="165"/>
  <c r="CM39" i="165"/>
  <c r="CM35" i="165"/>
  <c r="CM33" i="165"/>
  <c r="CQ37" i="165"/>
  <c r="CQ39" i="165"/>
  <c r="GL11" i="165" s="1"/>
  <c r="CQ34" i="165"/>
  <c r="CQ32" i="165"/>
  <c r="CQ38" i="165"/>
  <c r="CQ36" i="165"/>
  <c r="CU37" i="165"/>
  <c r="CU39" i="165"/>
  <c r="CU35" i="165"/>
  <c r="CU31" i="165"/>
  <c r="CU38" i="165"/>
  <c r="CU36" i="165"/>
  <c r="CU33" i="165"/>
  <c r="FS23" i="165"/>
  <c r="FW23" i="165"/>
  <c r="GA23" i="165"/>
  <c r="AS25" i="165"/>
  <c r="BA25" i="165"/>
  <c r="BQ25" i="165"/>
  <c r="BY25" i="165"/>
  <c r="CG25" i="165"/>
  <c r="CL25" i="165"/>
  <c r="CP25" i="165"/>
  <c r="CT25" i="165"/>
  <c r="AS26" i="165"/>
  <c r="BA26" i="165"/>
  <c r="BQ26" i="165"/>
  <c r="BY26" i="165"/>
  <c r="CG26" i="165"/>
  <c r="CL26" i="165"/>
  <c r="CP26" i="165"/>
  <c r="CT26" i="165"/>
  <c r="AM27" i="165"/>
  <c r="AW27" i="165"/>
  <c r="BS27" i="165"/>
  <c r="CC27" i="165"/>
  <c r="CQ27" i="165"/>
  <c r="AU28" i="165"/>
  <c r="BE28" i="165"/>
  <c r="CA28" i="165"/>
  <c r="CJ28" i="165"/>
  <c r="CU28" i="165"/>
  <c r="AM29" i="165"/>
  <c r="BC29" i="165"/>
  <c r="BS29" i="165"/>
  <c r="CI29" i="165"/>
  <c r="CQ29" i="165"/>
  <c r="AU30" i="165"/>
  <c r="CA30" i="165"/>
  <c r="CU30" i="165"/>
  <c r="BC31" i="165"/>
  <c r="CI31" i="165"/>
  <c r="AO32" i="165"/>
  <c r="CM32" i="165"/>
  <c r="AM33" i="165"/>
  <c r="CQ33" i="165"/>
  <c r="AU34" i="165"/>
  <c r="CU34" i="165"/>
  <c r="BC35" i="165"/>
  <c r="CC37" i="165"/>
  <c r="BS40" i="165"/>
  <c r="CM43" i="165"/>
  <c r="CM45" i="165"/>
  <c r="EG22" i="164"/>
  <c r="EG18" i="164"/>
  <c r="EB19" i="161"/>
  <c r="EE19" i="161" s="1"/>
  <c r="EE20" i="161"/>
  <c r="EG20" i="161"/>
  <c r="EG21" i="160"/>
  <c r="EG21" i="159"/>
  <c r="EG23" i="107"/>
  <c r="EG22" i="107"/>
  <c r="EG21" i="107"/>
  <c r="AG42" i="165" l="1"/>
  <c r="DE7" i="165"/>
  <c r="K41" i="165"/>
  <c r="DG17" i="165"/>
  <c r="E21" i="165"/>
  <c r="FG21" i="165" s="1"/>
  <c r="FI7" i="165"/>
  <c r="FJ16" i="165"/>
  <c r="I46" i="165"/>
  <c r="FI6" i="165"/>
  <c r="FJ6" i="165" s="1"/>
  <c r="I42" i="165"/>
  <c r="AA50" i="165"/>
  <c r="AA54" i="165"/>
  <c r="Y46" i="165"/>
  <c r="AE52" i="165"/>
  <c r="AI49" i="165"/>
  <c r="AC42" i="165"/>
  <c r="FI12" i="165"/>
  <c r="DT12" i="165"/>
  <c r="K52" i="165"/>
  <c r="K50" i="165"/>
  <c r="K53" i="165"/>
  <c r="EX52" i="165"/>
  <c r="AE51" i="165"/>
  <c r="EX47" i="165"/>
  <c r="AE47" i="165"/>
  <c r="CV13" i="165"/>
  <c r="GC13" i="165" s="1"/>
  <c r="AC41" i="165"/>
  <c r="BK54" i="165"/>
  <c r="FI13" i="165"/>
  <c r="FN5" i="165"/>
  <c r="AI46" i="165"/>
  <c r="BM47" i="165"/>
  <c r="BM54" i="165"/>
  <c r="BM44" i="165"/>
  <c r="BM53" i="165"/>
  <c r="I48" i="165"/>
  <c r="I51" i="165"/>
  <c r="Y40" i="165"/>
  <c r="W49" i="165"/>
  <c r="FN22" i="165"/>
  <c r="W40" i="165"/>
  <c r="K42" i="165"/>
  <c r="K49" i="165"/>
  <c r="K43" i="165"/>
  <c r="K37" i="165"/>
  <c r="K40" i="165"/>
  <c r="K46" i="165"/>
  <c r="M46" i="165"/>
  <c r="DJ10" i="165" s="1"/>
  <c r="EY48" i="165"/>
  <c r="EY43" i="165"/>
  <c r="EY46" i="165"/>
  <c r="EY41" i="165"/>
  <c r="EY51" i="165"/>
  <c r="GL16" i="165" s="1"/>
  <c r="EY40" i="165"/>
  <c r="EY49" i="165"/>
  <c r="EY42" i="165"/>
  <c r="DY11" i="165"/>
  <c r="EF11" i="165"/>
  <c r="AE42" i="165"/>
  <c r="EX50" i="165"/>
  <c r="EF7" i="165"/>
  <c r="AE49" i="165"/>
  <c r="EX53" i="165"/>
  <c r="AE43" i="165"/>
  <c r="EX44" i="165"/>
  <c r="EX45" i="165"/>
  <c r="M42" i="165"/>
  <c r="DJ6" i="165" s="1"/>
  <c r="M41" i="165"/>
  <c r="DJ5" i="165" s="1"/>
  <c r="M49" i="165"/>
  <c r="DJ13" i="165" s="1"/>
  <c r="I40" i="165"/>
  <c r="I49" i="165"/>
  <c r="I43" i="165"/>
  <c r="DE14" i="165"/>
  <c r="G22" i="165"/>
  <c r="G43" i="165" s="1"/>
  <c r="W47" i="165"/>
  <c r="W41" i="165"/>
  <c r="W51" i="165"/>
  <c r="W42" i="165"/>
  <c r="W46" i="165"/>
  <c r="W48" i="165"/>
  <c r="AG49" i="165"/>
  <c r="DG14" i="165"/>
  <c r="E22" i="165"/>
  <c r="E46" i="165" s="1"/>
  <c r="Y49" i="165"/>
  <c r="Y41" i="165"/>
  <c r="AC49" i="165"/>
  <c r="AE45" i="165"/>
  <c r="AE53" i="165"/>
  <c r="AC46" i="165"/>
  <c r="CK54" i="165"/>
  <c r="DH18" i="165" s="1"/>
  <c r="S54" i="165"/>
  <c r="K30" i="165"/>
  <c r="K39" i="165"/>
  <c r="BK45" i="165"/>
  <c r="BK47" i="165"/>
  <c r="BK50" i="165"/>
  <c r="M43" i="165"/>
  <c r="DJ7" i="165" s="1"/>
  <c r="M48" i="165"/>
  <c r="DJ12" i="165" s="1"/>
  <c r="BK53" i="165"/>
  <c r="BK52" i="165"/>
  <c r="M40" i="165"/>
  <c r="DJ4" i="165" s="1"/>
  <c r="AK43" i="165"/>
  <c r="AK49" i="165"/>
  <c r="AK40" i="165"/>
  <c r="AK46" i="165"/>
  <c r="AK42" i="165"/>
  <c r="AK51" i="165"/>
  <c r="AK41" i="165"/>
  <c r="DH21" i="165"/>
  <c r="CZ21" i="165" s="1"/>
  <c r="GF21" i="165" s="1"/>
  <c r="O52" i="165"/>
  <c r="K44" i="165"/>
  <c r="K47" i="165"/>
  <c r="K54" i="165"/>
  <c r="K32" i="165"/>
  <c r="K45" i="165"/>
  <c r="K48" i="165"/>
  <c r="K51" i="165"/>
  <c r="K28" i="165"/>
  <c r="K38" i="165"/>
  <c r="AG43" i="165"/>
  <c r="AG51" i="165"/>
  <c r="AG46" i="165"/>
  <c r="AG48" i="165"/>
  <c r="K29" i="165"/>
  <c r="AG41" i="165"/>
  <c r="FJ9" i="165"/>
  <c r="CK43" i="165"/>
  <c r="DH7" i="165" s="1"/>
  <c r="DH23" i="165"/>
  <c r="CZ23" i="165" s="1"/>
  <c r="GF23" i="165" s="1"/>
  <c r="CK40" i="165"/>
  <c r="EM19" i="165" s="1"/>
  <c r="EL19" i="165" s="1"/>
  <c r="EO19" i="165" s="1"/>
  <c r="CK46" i="165"/>
  <c r="DH10" i="165" s="1"/>
  <c r="CK51" i="165"/>
  <c r="DH15" i="165" s="1"/>
  <c r="CK41" i="165"/>
  <c r="EM20" i="165" s="1"/>
  <c r="EL20" i="165" s="1"/>
  <c r="EO20" i="165" s="1"/>
  <c r="CK49" i="165"/>
  <c r="DH13" i="165" s="1"/>
  <c r="CK42" i="165"/>
  <c r="CK48" i="165"/>
  <c r="DH12" i="165" s="1"/>
  <c r="Y42" i="165"/>
  <c r="Y51" i="165"/>
  <c r="Y48" i="165"/>
  <c r="Y43" i="165"/>
  <c r="BI47" i="165"/>
  <c r="AI54" i="165"/>
  <c r="S44" i="165"/>
  <c r="S47" i="165"/>
  <c r="S53" i="165"/>
  <c r="S52" i="165"/>
  <c r="S50" i="165"/>
  <c r="O54" i="165"/>
  <c r="O47" i="165"/>
  <c r="O53" i="165"/>
  <c r="AI50" i="165"/>
  <c r="AI47" i="165"/>
  <c r="AI44" i="165"/>
  <c r="AI53" i="165"/>
  <c r="AK50" i="165"/>
  <c r="AI52" i="165"/>
  <c r="K26" i="165"/>
  <c r="K31" i="165"/>
  <c r="K34" i="165"/>
  <c r="K36" i="165"/>
  <c r="K27" i="165"/>
  <c r="K25" i="165"/>
  <c r="AE40" i="165"/>
  <c r="AE50" i="165"/>
  <c r="AE48" i="165"/>
  <c r="AC43" i="165"/>
  <c r="AE41" i="165"/>
  <c r="AE54" i="165"/>
  <c r="EX43" i="165"/>
  <c r="EX48" i="165"/>
  <c r="AC40" i="165"/>
  <c r="AC48" i="165"/>
  <c r="GC16" i="165"/>
  <c r="CK47" i="165"/>
  <c r="DH11" i="165" s="1"/>
  <c r="CK45" i="165"/>
  <c r="DH9" i="165" s="1"/>
  <c r="CN22" i="165"/>
  <c r="CN40" i="165" s="1"/>
  <c r="EB4" i="165" s="1"/>
  <c r="Y50" i="165"/>
  <c r="Y47" i="165"/>
  <c r="Y53" i="165"/>
  <c r="AI40" i="165"/>
  <c r="AI43" i="165"/>
  <c r="Y45" i="165"/>
  <c r="Y54" i="165"/>
  <c r="AI41" i="165"/>
  <c r="AI51" i="165"/>
  <c r="AI42" i="165"/>
  <c r="AK53" i="165"/>
  <c r="M47" i="165"/>
  <c r="DJ11" i="165" s="1"/>
  <c r="E47" i="165"/>
  <c r="AG47" i="165"/>
  <c r="CK52" i="165"/>
  <c r="DH16" i="165" s="1"/>
  <c r="AK44" i="165"/>
  <c r="AK54" i="165"/>
  <c r="M53" i="165"/>
  <c r="DJ17" i="165" s="1"/>
  <c r="M52" i="165"/>
  <c r="DJ16" i="165" s="1"/>
  <c r="AK45" i="165"/>
  <c r="AK47" i="165"/>
  <c r="M45" i="165"/>
  <c r="DJ9" i="165" s="1"/>
  <c r="W50" i="165"/>
  <c r="CK44" i="165"/>
  <c r="DH8" i="165" s="1"/>
  <c r="CK53" i="165"/>
  <c r="DH17" i="165" s="1"/>
  <c r="CK50" i="165"/>
  <c r="DH14" i="165" s="1"/>
  <c r="M44" i="165"/>
  <c r="DJ8" i="165" s="1"/>
  <c r="M50" i="165"/>
  <c r="DJ14" i="165" s="1"/>
  <c r="FJ13" i="165"/>
  <c r="AG50" i="165"/>
  <c r="E54" i="165"/>
  <c r="U52" i="165"/>
  <c r="U53" i="165"/>
  <c r="BI50" i="165"/>
  <c r="U50" i="165"/>
  <c r="E50" i="165"/>
  <c r="GL12" i="165"/>
  <c r="BI54" i="165"/>
  <c r="AA45" i="165"/>
  <c r="AG53" i="165"/>
  <c r="W54" i="165"/>
  <c r="AG44" i="165"/>
  <c r="AG54" i="165"/>
  <c r="Q53" i="165"/>
  <c r="U54" i="165"/>
  <c r="W53" i="165"/>
  <c r="AA53" i="165"/>
  <c r="AG52" i="165"/>
  <c r="Q52" i="165"/>
  <c r="BI53" i="165"/>
  <c r="E53" i="165"/>
  <c r="GL15" i="165"/>
  <c r="AA52" i="165"/>
  <c r="Q44" i="165"/>
  <c r="W44" i="165"/>
  <c r="E52" i="165"/>
  <c r="W52" i="165"/>
  <c r="Y44" i="165"/>
  <c r="BI52" i="165"/>
  <c r="BI44" i="165"/>
  <c r="E45" i="165"/>
  <c r="EX38" i="165"/>
  <c r="EX34" i="165"/>
  <c r="EX33" i="165"/>
  <c r="EX32" i="165"/>
  <c r="EX36" i="165"/>
  <c r="EX31" i="165"/>
  <c r="EX30" i="165"/>
  <c r="EX29" i="165"/>
  <c r="EX28" i="165"/>
  <c r="EX27" i="165"/>
  <c r="EX37" i="165"/>
  <c r="EX35" i="165"/>
  <c r="EX39" i="165"/>
  <c r="EX26" i="165"/>
  <c r="EX25" i="165"/>
  <c r="AE38" i="165"/>
  <c r="AE39" i="165"/>
  <c r="AE37" i="165"/>
  <c r="AE36" i="165"/>
  <c r="AE35" i="165"/>
  <c r="AE33" i="165"/>
  <c r="AE34" i="165"/>
  <c r="AE32" i="165"/>
  <c r="AE30" i="165"/>
  <c r="AE29" i="165"/>
  <c r="AE28" i="165"/>
  <c r="AE31" i="165"/>
  <c r="AE27" i="165"/>
  <c r="AE26" i="165"/>
  <c r="AE25" i="165"/>
  <c r="S36" i="165"/>
  <c r="S39" i="165"/>
  <c r="S37" i="165"/>
  <c r="S35" i="165"/>
  <c r="S34" i="165"/>
  <c r="S33" i="165"/>
  <c r="S32" i="165"/>
  <c r="S31" i="165"/>
  <c r="S30" i="165"/>
  <c r="S29" i="165"/>
  <c r="S26" i="165"/>
  <c r="S25" i="165"/>
  <c r="S28" i="165"/>
  <c r="S38" i="165"/>
  <c r="S27" i="165"/>
  <c r="CN21" i="165"/>
  <c r="CN23" i="165"/>
  <c r="CN47" i="165" s="1"/>
  <c r="EB11" i="165" s="1"/>
  <c r="FU4" i="165"/>
  <c r="FJ11" i="165"/>
  <c r="EB19" i="165"/>
  <c r="CV17" i="165"/>
  <c r="CV22" i="165" s="1"/>
  <c r="E34" i="165"/>
  <c r="DW13" i="165" s="1"/>
  <c r="EI13" i="165" s="1"/>
  <c r="E33" i="165"/>
  <c r="E36" i="165"/>
  <c r="DW15" i="165" s="1"/>
  <c r="E31" i="165"/>
  <c r="E28" i="165"/>
  <c r="DW7" i="165" s="1"/>
  <c r="E27" i="165"/>
  <c r="DW6" i="165" s="1"/>
  <c r="E26" i="165"/>
  <c r="DW5" i="165" s="1"/>
  <c r="E25" i="165"/>
  <c r="DW4" i="165" s="1"/>
  <c r="FG23" i="165"/>
  <c r="DE15" i="165"/>
  <c r="FG15" i="165"/>
  <c r="FJ15" i="165" s="1"/>
  <c r="DG15" i="165"/>
  <c r="DT15" i="165"/>
  <c r="GC5" i="165"/>
  <c r="BI39" i="165"/>
  <c r="BI35" i="165"/>
  <c r="BI34" i="165"/>
  <c r="BI33" i="165"/>
  <c r="BI37" i="165"/>
  <c r="BI32" i="165"/>
  <c r="BI31" i="165"/>
  <c r="BI30" i="165"/>
  <c r="BI29" i="165"/>
  <c r="BI28" i="165"/>
  <c r="BI27" i="165"/>
  <c r="BI36" i="165"/>
  <c r="BI26" i="165"/>
  <c r="BI25" i="165"/>
  <c r="BI38" i="165"/>
  <c r="G23" i="165"/>
  <c r="G47" i="165" s="1"/>
  <c r="G21" i="165"/>
  <c r="FI4" i="165"/>
  <c r="FJ4" i="165" s="1"/>
  <c r="EF15" i="165"/>
  <c r="DT4" i="165"/>
  <c r="AC21" i="165"/>
  <c r="BK37" i="165"/>
  <c r="BK38" i="165"/>
  <c r="BK36" i="165"/>
  <c r="BK39" i="165"/>
  <c r="BK35" i="165"/>
  <c r="BK33" i="165"/>
  <c r="BK32" i="165"/>
  <c r="BK30" i="165"/>
  <c r="BK29" i="165"/>
  <c r="BK28" i="165"/>
  <c r="BK34" i="165"/>
  <c r="BK31" i="165"/>
  <c r="BK27" i="165"/>
  <c r="BK26" i="165"/>
  <c r="BK25" i="165"/>
  <c r="GC18" i="165"/>
  <c r="DT7" i="165"/>
  <c r="U39" i="165"/>
  <c r="U37" i="165"/>
  <c r="U35" i="165"/>
  <c r="U34" i="165"/>
  <c r="U33" i="165"/>
  <c r="U38" i="165"/>
  <c r="U36" i="165"/>
  <c r="U31" i="165"/>
  <c r="U30" i="165"/>
  <c r="U29" i="165"/>
  <c r="U28" i="165"/>
  <c r="U27" i="165"/>
  <c r="U26" i="165"/>
  <c r="U25" i="165"/>
  <c r="U32" i="165"/>
  <c r="EF4" i="165"/>
  <c r="EB20" i="165"/>
  <c r="EF17" i="165"/>
  <c r="DY17" i="165"/>
  <c r="DY13" i="165"/>
  <c r="EF13" i="165"/>
  <c r="AI36" i="165"/>
  <c r="AI38" i="165"/>
  <c r="AI35" i="165"/>
  <c r="AI34" i="165"/>
  <c r="AI33" i="165"/>
  <c r="AI32" i="165"/>
  <c r="AI37" i="165"/>
  <c r="AI39" i="165"/>
  <c r="AI31" i="165"/>
  <c r="AI30" i="165"/>
  <c r="AI29" i="165"/>
  <c r="AI28" i="165"/>
  <c r="AI27" i="165"/>
  <c r="AI26" i="165"/>
  <c r="AI25" i="165"/>
  <c r="AC23" i="165"/>
  <c r="AC47" i="165" s="1"/>
  <c r="AG37" i="165"/>
  <c r="AG36" i="165"/>
  <c r="AG38" i="165"/>
  <c r="AG39" i="165"/>
  <c r="AG35" i="165"/>
  <c r="AG33" i="165"/>
  <c r="AG34" i="165"/>
  <c r="AG32" i="165"/>
  <c r="AG31" i="165"/>
  <c r="AG30" i="165"/>
  <c r="AG29" i="165"/>
  <c r="AG28" i="165"/>
  <c r="AG27" i="165"/>
  <c r="AG26" i="165"/>
  <c r="AG25" i="165"/>
  <c r="AK39" i="165"/>
  <c r="AK35" i="165"/>
  <c r="AK34" i="165"/>
  <c r="AK33" i="165"/>
  <c r="AK38" i="165"/>
  <c r="AK36" i="165"/>
  <c r="AK31" i="165"/>
  <c r="AK30" i="165"/>
  <c r="AK29" i="165"/>
  <c r="AK28" i="165"/>
  <c r="AK27" i="165"/>
  <c r="AK37" i="165"/>
  <c r="AK32" i="165"/>
  <c r="AK26" i="165"/>
  <c r="AK25" i="165"/>
  <c r="M39" i="165"/>
  <c r="M38" i="165"/>
  <c r="M36" i="165"/>
  <c r="M35" i="165"/>
  <c r="M34" i="165"/>
  <c r="M33" i="165"/>
  <c r="M37" i="165"/>
  <c r="M31" i="165"/>
  <c r="M30" i="165"/>
  <c r="M29" i="165"/>
  <c r="M28" i="165"/>
  <c r="M27" i="165"/>
  <c r="M32" i="165"/>
  <c r="M26" i="165"/>
  <c r="M25" i="165"/>
  <c r="GC4" i="165"/>
  <c r="EY23" i="165"/>
  <c r="EY47" i="165" s="1"/>
  <c r="GL14" i="165" s="1"/>
  <c r="EY21" i="165"/>
  <c r="BM39" i="165"/>
  <c r="BM35" i="165"/>
  <c r="BM38" i="165"/>
  <c r="BM37" i="165"/>
  <c r="BM36" i="165"/>
  <c r="BM33" i="165"/>
  <c r="BM34" i="165"/>
  <c r="BM32" i="165"/>
  <c r="BM31" i="165"/>
  <c r="BM30" i="165"/>
  <c r="BM29" i="165"/>
  <c r="BM28" i="165"/>
  <c r="BM27" i="165"/>
  <c r="BM26" i="165"/>
  <c r="BM25" i="165"/>
  <c r="Q37" i="165"/>
  <c r="Q39" i="165"/>
  <c r="Q38" i="165"/>
  <c r="Q35" i="165"/>
  <c r="Q33" i="165"/>
  <c r="Q32" i="165"/>
  <c r="Q34" i="165"/>
  <c r="Q31" i="165"/>
  <c r="Q30" i="165"/>
  <c r="Q27" i="165"/>
  <c r="Q36" i="165"/>
  <c r="Q29" i="165"/>
  <c r="Q26" i="165"/>
  <c r="Q25" i="165"/>
  <c r="Q28" i="165"/>
  <c r="DT13" i="165"/>
  <c r="W38" i="165"/>
  <c r="W36" i="165"/>
  <c r="W39" i="165"/>
  <c r="W37" i="165"/>
  <c r="W34" i="165"/>
  <c r="W32" i="165"/>
  <c r="W31" i="165"/>
  <c r="W29" i="165"/>
  <c r="W33" i="165"/>
  <c r="W28" i="165"/>
  <c r="W35" i="165"/>
  <c r="W27" i="165"/>
  <c r="W30" i="165"/>
  <c r="W26" i="165"/>
  <c r="W25" i="165"/>
  <c r="FK23" i="165"/>
  <c r="AA36" i="165"/>
  <c r="AA39" i="165"/>
  <c r="AA35" i="165"/>
  <c r="AA34" i="165"/>
  <c r="AA33" i="165"/>
  <c r="AA32" i="165"/>
  <c r="AA38" i="165"/>
  <c r="AA31" i="165"/>
  <c r="AA30" i="165"/>
  <c r="AA29" i="165"/>
  <c r="AA37" i="165"/>
  <c r="AA27" i="165"/>
  <c r="AA26" i="165"/>
  <c r="AA25" i="165"/>
  <c r="AA28" i="165"/>
  <c r="FJ18" i="165"/>
  <c r="O38" i="165"/>
  <c r="O36" i="165"/>
  <c r="O35" i="165"/>
  <c r="O33" i="165"/>
  <c r="O32" i="165"/>
  <c r="O37" i="165"/>
  <c r="O30" i="165"/>
  <c r="O28" i="165"/>
  <c r="O31" i="165"/>
  <c r="O27" i="165"/>
  <c r="O39" i="165"/>
  <c r="O34" i="165"/>
  <c r="O29" i="165"/>
  <c r="O26" i="165"/>
  <c r="O25" i="165"/>
  <c r="CK39" i="165"/>
  <c r="EM18" i="165" s="1"/>
  <c r="CK35" i="165"/>
  <c r="DI14" i="165" s="1"/>
  <c r="CK37" i="165"/>
  <c r="DI16" i="165" s="1"/>
  <c r="CK34" i="165"/>
  <c r="DI13" i="165" s="1"/>
  <c r="CK33" i="165"/>
  <c r="DI12" i="165" s="1"/>
  <c r="CK32" i="165"/>
  <c r="DI11" i="165" s="1"/>
  <c r="CK36" i="165"/>
  <c r="DI15" i="165" s="1"/>
  <c r="CK31" i="165"/>
  <c r="DI10" i="165" s="1"/>
  <c r="CK30" i="165"/>
  <c r="DI9" i="165" s="1"/>
  <c r="CK29" i="165"/>
  <c r="DI8" i="165" s="1"/>
  <c r="CK27" i="165"/>
  <c r="DI6" i="165" s="1"/>
  <c r="CK26" i="165"/>
  <c r="DI5" i="165" s="1"/>
  <c r="CK25" i="165"/>
  <c r="DI4" i="165" s="1"/>
  <c r="CK38" i="165"/>
  <c r="DI17" i="165" s="1"/>
  <c r="CK28" i="165"/>
  <c r="DI7" i="165" s="1"/>
  <c r="FT23" i="165"/>
  <c r="CV15" i="165"/>
  <c r="GC15" i="165" s="1"/>
  <c r="FJ12" i="165"/>
  <c r="Y37" i="165"/>
  <c r="Y38" i="165"/>
  <c r="Y36" i="165"/>
  <c r="Y34" i="165"/>
  <c r="Y32" i="165"/>
  <c r="Y39" i="165"/>
  <c r="Y35" i="165"/>
  <c r="Y33" i="165"/>
  <c r="Y31" i="165"/>
  <c r="Y30" i="165"/>
  <c r="Y28" i="165"/>
  <c r="Y27" i="165"/>
  <c r="FM23" i="165"/>
  <c r="Y26" i="165"/>
  <c r="Y25" i="165"/>
  <c r="Y29" i="165"/>
  <c r="I21" i="165"/>
  <c r="I23" i="165"/>
  <c r="I47" i="165" s="1"/>
  <c r="FJ7" i="165"/>
  <c r="FN21" i="165"/>
  <c r="EX21" i="165"/>
  <c r="CH54" i="164"/>
  <c r="CF54" i="164"/>
  <c r="CD54" i="164"/>
  <c r="CB54" i="164"/>
  <c r="BZ54" i="164"/>
  <c r="BX54" i="164"/>
  <c r="BV54" i="164"/>
  <c r="BT54" i="164"/>
  <c r="BR54" i="164"/>
  <c r="BP54" i="164"/>
  <c r="BN54" i="164"/>
  <c r="BL54" i="164"/>
  <c r="BJ54" i="164"/>
  <c r="CH53" i="164"/>
  <c r="CF53" i="164"/>
  <c r="CD53" i="164"/>
  <c r="CB53" i="164"/>
  <c r="BZ53" i="164"/>
  <c r="BX53" i="164"/>
  <c r="BV53" i="164"/>
  <c r="BT53" i="164"/>
  <c r="BR53" i="164"/>
  <c r="BP53" i="164"/>
  <c r="BN53" i="164"/>
  <c r="BL53" i="164"/>
  <c r="BJ53" i="164"/>
  <c r="CH52" i="164"/>
  <c r="CF52" i="164"/>
  <c r="CD52" i="164"/>
  <c r="CB52" i="164"/>
  <c r="BZ52" i="164"/>
  <c r="BX52" i="164"/>
  <c r="BV52" i="164"/>
  <c r="BT52" i="164"/>
  <c r="BR52" i="164"/>
  <c r="BP52" i="164"/>
  <c r="BN52" i="164"/>
  <c r="BL52" i="164"/>
  <c r="BJ52" i="164"/>
  <c r="CH51" i="164"/>
  <c r="CF51" i="164"/>
  <c r="CD51" i="164"/>
  <c r="CB51" i="164"/>
  <c r="BZ51" i="164"/>
  <c r="BX51" i="164"/>
  <c r="BV51" i="164"/>
  <c r="BT51" i="164"/>
  <c r="BR51" i="164"/>
  <c r="BP51" i="164"/>
  <c r="BN51" i="164"/>
  <c r="BL51" i="164"/>
  <c r="BJ51" i="164"/>
  <c r="CH50" i="164"/>
  <c r="CF50" i="164"/>
  <c r="CD50" i="164"/>
  <c r="CB50" i="164"/>
  <c r="BZ50" i="164"/>
  <c r="BX50" i="164"/>
  <c r="BV50" i="164"/>
  <c r="BT50" i="164"/>
  <c r="BR50" i="164"/>
  <c r="BP50" i="164"/>
  <c r="BN50" i="164"/>
  <c r="BL50" i="164"/>
  <c r="BJ50" i="164"/>
  <c r="CH39" i="164"/>
  <c r="CF39" i="164"/>
  <c r="CD39" i="164"/>
  <c r="CB39" i="164"/>
  <c r="BZ39" i="164"/>
  <c r="BX39" i="164"/>
  <c r="BV39" i="164"/>
  <c r="BT39" i="164"/>
  <c r="BR39" i="164"/>
  <c r="BP39" i="164"/>
  <c r="BN39" i="164"/>
  <c r="BL39" i="164"/>
  <c r="BJ39" i="164"/>
  <c r="CH38" i="164"/>
  <c r="CF38" i="164"/>
  <c r="CD38" i="164"/>
  <c r="CB38" i="164"/>
  <c r="BZ38" i="164"/>
  <c r="BX38" i="164"/>
  <c r="BV38" i="164"/>
  <c r="BT38" i="164"/>
  <c r="BR38" i="164"/>
  <c r="BP38" i="164"/>
  <c r="BN38" i="164"/>
  <c r="BL38" i="164"/>
  <c r="BJ38" i="164"/>
  <c r="CH37" i="164"/>
  <c r="CF37" i="164"/>
  <c r="CD37" i="164"/>
  <c r="CB37" i="164"/>
  <c r="BZ37" i="164"/>
  <c r="BX37" i="164"/>
  <c r="BV37" i="164"/>
  <c r="BT37" i="164"/>
  <c r="BR37" i="164"/>
  <c r="BP37" i="164"/>
  <c r="BN37" i="164"/>
  <c r="BL37" i="164"/>
  <c r="BJ37" i="164"/>
  <c r="CH36" i="164"/>
  <c r="CF36" i="164"/>
  <c r="CD36" i="164"/>
  <c r="CB36" i="164"/>
  <c r="BZ36" i="164"/>
  <c r="BX36" i="164"/>
  <c r="BV36" i="164"/>
  <c r="BT36" i="164"/>
  <c r="BR36" i="164"/>
  <c r="BP36" i="164"/>
  <c r="BN36" i="164"/>
  <c r="BL36" i="164"/>
  <c r="BJ36" i="164"/>
  <c r="CH35" i="164"/>
  <c r="CF35" i="164"/>
  <c r="CD35" i="164"/>
  <c r="CB35" i="164"/>
  <c r="BZ35" i="164"/>
  <c r="BX35" i="164"/>
  <c r="BV35" i="164"/>
  <c r="BT35" i="164"/>
  <c r="BR35" i="164"/>
  <c r="BP35" i="164"/>
  <c r="BN35" i="164"/>
  <c r="BL35" i="164"/>
  <c r="BJ35" i="164"/>
  <c r="CO25" i="164"/>
  <c r="CU23" i="164"/>
  <c r="CT23" i="164"/>
  <c r="CS23" i="164"/>
  <c r="CS33" i="164" s="1"/>
  <c r="CR23" i="164"/>
  <c r="CR33" i="164" s="1"/>
  <c r="CQ23" i="164"/>
  <c r="CP23" i="164"/>
  <c r="CO23" i="164"/>
  <c r="CO32" i="164" s="1"/>
  <c r="CM23" i="164"/>
  <c r="CL23" i="164"/>
  <c r="CJ23" i="164"/>
  <c r="CJ33" i="164" s="1"/>
  <c r="CI23" i="164"/>
  <c r="CG23" i="164"/>
  <c r="CE23" i="164"/>
  <c r="CE32" i="164" s="1"/>
  <c r="CC23" i="164"/>
  <c r="CC32" i="164" s="1"/>
  <c r="CA23" i="164"/>
  <c r="BY23" i="164"/>
  <c r="BW23" i="164"/>
  <c r="BW33" i="164" s="1"/>
  <c r="BU23" i="164"/>
  <c r="BU33" i="164" s="1"/>
  <c r="BS23" i="164"/>
  <c r="BQ23" i="164"/>
  <c r="BO23" i="164"/>
  <c r="BO32" i="164" s="1"/>
  <c r="BG23" i="164"/>
  <c r="BG33" i="164" s="1"/>
  <c r="BE23" i="164"/>
  <c r="BE33" i="164" s="1"/>
  <c r="BC23" i="164"/>
  <c r="BA23" i="164"/>
  <c r="AY23" i="164"/>
  <c r="AY32" i="164" s="1"/>
  <c r="AW23" i="164"/>
  <c r="AW32" i="164" s="1"/>
  <c r="AU23" i="164"/>
  <c r="AS23" i="164"/>
  <c r="AQ23" i="164"/>
  <c r="AQ33" i="164" s="1"/>
  <c r="AO23" i="164"/>
  <c r="AO33" i="164" s="1"/>
  <c r="AM23" i="164"/>
  <c r="D23" i="164"/>
  <c r="D32" i="164" s="1"/>
  <c r="FS22" i="164"/>
  <c r="FQ22" i="164"/>
  <c r="FO22" i="164"/>
  <c r="FR22" i="164" s="1"/>
  <c r="CU22" i="164"/>
  <c r="CT22" i="164"/>
  <c r="GA22" i="164" s="1"/>
  <c r="CS22" i="164"/>
  <c r="CR22" i="164"/>
  <c r="CQ22" i="164"/>
  <c r="CP22" i="164"/>
  <c r="FW22" i="164" s="1"/>
  <c r="CO22" i="164"/>
  <c r="CM22" i="164"/>
  <c r="CL22" i="164"/>
  <c r="CJ22" i="164"/>
  <c r="CI22" i="164"/>
  <c r="CG22" i="164"/>
  <c r="CE22" i="164"/>
  <c r="CC22" i="164"/>
  <c r="CA22" i="164"/>
  <c r="BY22" i="164"/>
  <c r="BW22" i="164"/>
  <c r="BU22" i="164"/>
  <c r="BS22" i="164"/>
  <c r="BQ22" i="164"/>
  <c r="BO22" i="164"/>
  <c r="BG22" i="164"/>
  <c r="BE22" i="164"/>
  <c r="BC22" i="164"/>
  <c r="BA22" i="164"/>
  <c r="AY22" i="164"/>
  <c r="AW22" i="164"/>
  <c r="AU22" i="164"/>
  <c r="AS22" i="164"/>
  <c r="AQ22" i="164"/>
  <c r="AO22" i="164"/>
  <c r="AM22" i="164"/>
  <c r="D22" i="164"/>
  <c r="GA21" i="164"/>
  <c r="FW21" i="164"/>
  <c r="CU21" i="164"/>
  <c r="GB21" i="164" s="1"/>
  <c r="CT21" i="164"/>
  <c r="CS21" i="164"/>
  <c r="FZ21" i="164" s="1"/>
  <c r="CR21" i="164"/>
  <c r="FY21" i="164" s="1"/>
  <c r="CQ21" i="164"/>
  <c r="FX21" i="164" s="1"/>
  <c r="CP21" i="164"/>
  <c r="CO21" i="164"/>
  <c r="FV21" i="164" s="1"/>
  <c r="CM21" i="164"/>
  <c r="CL21" i="164"/>
  <c r="CJ21" i="164"/>
  <c r="CI21" i="164"/>
  <c r="CG21" i="164"/>
  <c r="CE21" i="164"/>
  <c r="CC21" i="164"/>
  <c r="CA21" i="164"/>
  <c r="BY21" i="164"/>
  <c r="BW21" i="164"/>
  <c r="BU21" i="164"/>
  <c r="BS21" i="164"/>
  <c r="BQ21" i="164"/>
  <c r="BO21" i="164"/>
  <c r="BG21" i="164"/>
  <c r="BE21" i="164"/>
  <c r="BC21" i="164"/>
  <c r="BA21" i="164"/>
  <c r="AY21" i="164"/>
  <c r="AW21" i="164"/>
  <c r="AU21" i="164"/>
  <c r="AS21" i="164"/>
  <c r="AQ21" i="164"/>
  <c r="AO21" i="164"/>
  <c r="AM21" i="164"/>
  <c r="D21" i="164"/>
  <c r="FF21" i="164" s="1"/>
  <c r="GA20" i="164"/>
  <c r="FU20" i="164"/>
  <c r="FT20" i="164"/>
  <c r="FS20" i="164"/>
  <c r="ET20" i="164"/>
  <c r="EN20" i="164"/>
  <c r="EF20" i="164"/>
  <c r="DY20" i="164"/>
  <c r="CN20" i="164"/>
  <c r="GA19" i="164"/>
  <c r="FT19" i="164"/>
  <c r="FS19" i="164"/>
  <c r="ET19" i="164"/>
  <c r="EN19" i="164"/>
  <c r="EF19" i="164"/>
  <c r="DY19" i="164"/>
  <c r="CN19" i="164"/>
  <c r="GB18" i="164"/>
  <c r="GA18" i="164"/>
  <c r="FZ18" i="164"/>
  <c r="FY18" i="164"/>
  <c r="FX18" i="164"/>
  <c r="FW18" i="164"/>
  <c r="FV18" i="164"/>
  <c r="FS18" i="164"/>
  <c r="FR18" i="164"/>
  <c r="FQ18" i="164"/>
  <c r="FO18" i="164"/>
  <c r="FF18" i="164"/>
  <c r="DQ18" i="164"/>
  <c r="DP18" i="164"/>
  <c r="DO18" i="164"/>
  <c r="CK18" i="164"/>
  <c r="FT18" i="164" s="1"/>
  <c r="BM18" i="164"/>
  <c r="BK18" i="164"/>
  <c r="BI18" i="164"/>
  <c r="E18" i="164" s="1"/>
  <c r="FG18" i="164" s="1"/>
  <c r="AK18" i="164"/>
  <c r="I18" i="164" s="1"/>
  <c r="AI18" i="164"/>
  <c r="AG18" i="164"/>
  <c r="AE18" i="164"/>
  <c r="EY18" i="164" s="1"/>
  <c r="AA18" i="164"/>
  <c r="Y18" i="164"/>
  <c r="FM18" i="164" s="1"/>
  <c r="W18" i="164"/>
  <c r="FK18" i="164" s="1"/>
  <c r="U18" i="164"/>
  <c r="S18" i="164"/>
  <c r="Q18" i="164"/>
  <c r="O18" i="164"/>
  <c r="M18" i="164"/>
  <c r="K18" i="164"/>
  <c r="GB17" i="164"/>
  <c r="GA17" i="164"/>
  <c r="FZ17" i="164"/>
  <c r="FY17" i="164"/>
  <c r="FX17" i="164"/>
  <c r="FW17" i="164"/>
  <c r="FV17" i="164"/>
  <c r="FS17" i="164"/>
  <c r="FQ17" i="164"/>
  <c r="FR17" i="164" s="1"/>
  <c r="FO17" i="164"/>
  <c r="FF17" i="164"/>
  <c r="DQ17" i="164"/>
  <c r="DP17" i="164"/>
  <c r="DO17" i="164"/>
  <c r="CN17" i="164"/>
  <c r="FU17" i="164" s="1"/>
  <c r="CK17" i="164"/>
  <c r="FT17" i="164" s="1"/>
  <c r="BM17" i="164"/>
  <c r="BK17" i="164"/>
  <c r="BI17" i="164"/>
  <c r="AK17" i="164"/>
  <c r="AI17" i="164"/>
  <c r="AG17" i="164"/>
  <c r="E17" i="164" s="1"/>
  <c r="AE17" i="164"/>
  <c r="EY17" i="164" s="1"/>
  <c r="AA17" i="164"/>
  <c r="Y17" i="164"/>
  <c r="FM17" i="164" s="1"/>
  <c r="W17" i="164"/>
  <c r="U17" i="164"/>
  <c r="S17" i="164"/>
  <c r="Q17" i="164"/>
  <c r="O17" i="164"/>
  <c r="M17" i="164"/>
  <c r="K17" i="164"/>
  <c r="I17" i="164"/>
  <c r="GB16" i="164"/>
  <c r="GA16" i="164"/>
  <c r="FZ16" i="164"/>
  <c r="FY16" i="164"/>
  <c r="FX16" i="164"/>
  <c r="FW16" i="164"/>
  <c r="FV16" i="164"/>
  <c r="FS16" i="164"/>
  <c r="FQ16" i="164"/>
  <c r="FO16" i="164"/>
  <c r="FR16" i="164" s="1"/>
  <c r="FF16" i="164"/>
  <c r="DQ16" i="164"/>
  <c r="DP16" i="164"/>
  <c r="DO16" i="164"/>
  <c r="DD16" i="164"/>
  <c r="CK16" i="164"/>
  <c r="CK22" i="164" s="1"/>
  <c r="BM16" i="164"/>
  <c r="BK16" i="164"/>
  <c r="G16" i="164" s="1"/>
  <c r="BI16" i="164"/>
  <c r="AK16" i="164"/>
  <c r="AI16" i="164"/>
  <c r="AG16" i="164"/>
  <c r="E16" i="164" s="1"/>
  <c r="AE16" i="164"/>
  <c r="AC16" i="164" s="1"/>
  <c r="EX16" i="164" s="1"/>
  <c r="AA16" i="164"/>
  <c r="Y16" i="164"/>
  <c r="FM16" i="164" s="1"/>
  <c r="W16" i="164"/>
  <c r="U16" i="164"/>
  <c r="S16" i="164"/>
  <c r="Q16" i="164"/>
  <c r="O16" i="164"/>
  <c r="M16" i="164"/>
  <c r="K16" i="164"/>
  <c r="GB15" i="164"/>
  <c r="GA15" i="164"/>
  <c r="FZ15" i="164"/>
  <c r="FY15" i="164"/>
  <c r="FX15" i="164"/>
  <c r="FW15" i="164"/>
  <c r="FV15" i="164"/>
  <c r="FS15" i="164"/>
  <c r="FQ15" i="164"/>
  <c r="FO15" i="164"/>
  <c r="FR15" i="164" s="1"/>
  <c r="FF15" i="164"/>
  <c r="DQ15" i="164"/>
  <c r="DP15" i="164"/>
  <c r="DO15" i="164"/>
  <c r="DD15" i="164"/>
  <c r="CK15" i="164"/>
  <c r="BM15" i="164"/>
  <c r="BK15" i="164"/>
  <c r="BI15" i="164"/>
  <c r="AK15" i="164"/>
  <c r="AI15" i="164"/>
  <c r="AG15" i="164"/>
  <c r="E15" i="164" s="1"/>
  <c r="AE15" i="164"/>
  <c r="EY15" i="164" s="1"/>
  <c r="AC15" i="164"/>
  <c r="EX15" i="164" s="1"/>
  <c r="AA15" i="164"/>
  <c r="Y15" i="164"/>
  <c r="FM15" i="164" s="1"/>
  <c r="W15" i="164"/>
  <c r="FK15" i="164" s="1"/>
  <c r="U15" i="164"/>
  <c r="S15" i="164"/>
  <c r="Q15" i="164"/>
  <c r="O15" i="164"/>
  <c r="M15" i="164"/>
  <c r="K15" i="164"/>
  <c r="G15" i="164"/>
  <c r="FI15" i="164" s="1"/>
  <c r="GB14" i="164"/>
  <c r="GA14" i="164"/>
  <c r="FZ14" i="164"/>
  <c r="FY14" i="164"/>
  <c r="FX14" i="164"/>
  <c r="FW14" i="164"/>
  <c r="FV14" i="164"/>
  <c r="FS14" i="164"/>
  <c r="FR14" i="164"/>
  <c r="FQ14" i="164"/>
  <c r="FO14" i="164"/>
  <c r="FF14" i="164"/>
  <c r="DQ14" i="164"/>
  <c r="DP14" i="164"/>
  <c r="DO14" i="164"/>
  <c r="DD14" i="164"/>
  <c r="CK14" i="164"/>
  <c r="FT14" i="164" s="1"/>
  <c r="BM14" i="164"/>
  <c r="BK14" i="164"/>
  <c r="BI14" i="164"/>
  <c r="AK14" i="164"/>
  <c r="AI14" i="164"/>
  <c r="AG14" i="164"/>
  <c r="AE14" i="164"/>
  <c r="EY14" i="164" s="1"/>
  <c r="AC14" i="164"/>
  <c r="EX14" i="164" s="1"/>
  <c r="AA14" i="164"/>
  <c r="Y14" i="164"/>
  <c r="FM14" i="164" s="1"/>
  <c r="W14" i="164"/>
  <c r="FK14" i="164" s="1"/>
  <c r="U14" i="164"/>
  <c r="S14" i="164"/>
  <c r="Q14" i="164"/>
  <c r="O14" i="164"/>
  <c r="M14" i="164"/>
  <c r="K14" i="164"/>
  <c r="E14" i="164"/>
  <c r="GB13" i="164"/>
  <c r="GA13" i="164"/>
  <c r="FZ13" i="164"/>
  <c r="FY13" i="164"/>
  <c r="FX13" i="164"/>
  <c r="FW13" i="164"/>
  <c r="FV13" i="164"/>
  <c r="FS13" i="164"/>
  <c r="FQ13" i="164"/>
  <c r="FR13" i="164" s="1"/>
  <c r="FO13" i="164"/>
  <c r="FF13" i="164"/>
  <c r="DQ13" i="164"/>
  <c r="DP13" i="164"/>
  <c r="DO13" i="164"/>
  <c r="DD13" i="164"/>
  <c r="CK13" i="164"/>
  <c r="FT13" i="164" s="1"/>
  <c r="BM13" i="164"/>
  <c r="BK13" i="164"/>
  <c r="BI13" i="164"/>
  <c r="AK13" i="164"/>
  <c r="AI13" i="164"/>
  <c r="AG13" i="164"/>
  <c r="AE13" i="164"/>
  <c r="EY13" i="164" s="1"/>
  <c r="AA13" i="164"/>
  <c r="Y13" i="164"/>
  <c r="FM13" i="164" s="1"/>
  <c r="W13" i="164"/>
  <c r="FK13" i="164" s="1"/>
  <c r="U13" i="164"/>
  <c r="S13" i="164"/>
  <c r="Q13" i="164"/>
  <c r="O13" i="164"/>
  <c r="M13" i="164"/>
  <c r="K13" i="164"/>
  <c r="I13" i="164"/>
  <c r="GB12" i="164"/>
  <c r="GA12" i="164"/>
  <c r="FZ12" i="164"/>
  <c r="FY12" i="164"/>
  <c r="FX12" i="164"/>
  <c r="FW12" i="164"/>
  <c r="FV12" i="164"/>
  <c r="FT12" i="164"/>
  <c r="FS12" i="164"/>
  <c r="FQ12" i="164"/>
  <c r="FO12" i="164"/>
  <c r="FF12" i="164"/>
  <c r="DQ12" i="164"/>
  <c r="DP12" i="164"/>
  <c r="DO12" i="164"/>
  <c r="DD12" i="164"/>
  <c r="CN12" i="164"/>
  <c r="FU12" i="164" s="1"/>
  <c r="CK12" i="164"/>
  <c r="BM12" i="164"/>
  <c r="BK12" i="164"/>
  <c r="BI12" i="164"/>
  <c r="AK12" i="164"/>
  <c r="AI12" i="164"/>
  <c r="AG12" i="164"/>
  <c r="AE12" i="164"/>
  <c r="AC12" i="164" s="1"/>
  <c r="EX12" i="164" s="1"/>
  <c r="AA12" i="164"/>
  <c r="Y12" i="164"/>
  <c r="FM12" i="164" s="1"/>
  <c r="W12" i="164"/>
  <c r="FK12" i="164" s="1"/>
  <c r="U12" i="164"/>
  <c r="S12" i="164"/>
  <c r="Q12" i="164"/>
  <c r="O12" i="164"/>
  <c r="M12" i="164"/>
  <c r="K12" i="164"/>
  <c r="I12" i="164"/>
  <c r="GB11" i="164"/>
  <c r="GA11" i="164"/>
  <c r="FZ11" i="164"/>
  <c r="FY11" i="164"/>
  <c r="FX11" i="164"/>
  <c r="FW11" i="164"/>
  <c r="FV11" i="164"/>
  <c r="FS11" i="164"/>
  <c r="FQ11" i="164"/>
  <c r="FO11" i="164"/>
  <c r="FR11" i="164" s="1"/>
  <c r="FF11" i="164"/>
  <c r="DQ11" i="164"/>
  <c r="DP11" i="164"/>
  <c r="DO11" i="164"/>
  <c r="DD11" i="164"/>
  <c r="CK11" i="164"/>
  <c r="CN11" i="164" s="1"/>
  <c r="FU11" i="164" s="1"/>
  <c r="BM11" i="164"/>
  <c r="BK11" i="164"/>
  <c r="BI11" i="164"/>
  <c r="AK11" i="164"/>
  <c r="AI11" i="164"/>
  <c r="AG11" i="164"/>
  <c r="E11" i="164" s="1"/>
  <c r="AE11" i="164"/>
  <c r="EY11" i="164" s="1"/>
  <c r="AC11" i="164"/>
  <c r="EX11" i="164" s="1"/>
  <c r="AA11" i="164"/>
  <c r="Y11" i="164"/>
  <c r="FM11" i="164" s="1"/>
  <c r="W11" i="164"/>
  <c r="U11" i="164"/>
  <c r="S11" i="164"/>
  <c r="Q11" i="164"/>
  <c r="O11" i="164"/>
  <c r="M11" i="164"/>
  <c r="K11" i="164"/>
  <c r="G11" i="164"/>
  <c r="FI11" i="164" s="1"/>
  <c r="GB10" i="164"/>
  <c r="GA10" i="164"/>
  <c r="FZ10" i="164"/>
  <c r="FY10" i="164"/>
  <c r="FX10" i="164"/>
  <c r="FW10" i="164"/>
  <c r="FV10" i="164"/>
  <c r="FS10" i="164"/>
  <c r="FR10" i="164"/>
  <c r="FQ10" i="164"/>
  <c r="FO10" i="164"/>
  <c r="FF10" i="164"/>
  <c r="DQ10" i="164"/>
  <c r="DP10" i="164"/>
  <c r="DO10" i="164"/>
  <c r="DD10" i="164"/>
  <c r="CK10" i="164"/>
  <c r="BM10" i="164"/>
  <c r="BK10" i="164"/>
  <c r="BI10" i="164"/>
  <c r="AK10" i="164"/>
  <c r="AI10" i="164"/>
  <c r="G10" i="164" s="1"/>
  <c r="FI10" i="164" s="1"/>
  <c r="AG10" i="164"/>
  <c r="AE10" i="164"/>
  <c r="EY10" i="164" s="1"/>
  <c r="AC10" i="164"/>
  <c r="EX10" i="164" s="1"/>
  <c r="AA10" i="164"/>
  <c r="Y10" i="164"/>
  <c r="FM10" i="164" s="1"/>
  <c r="W10" i="164"/>
  <c r="FK10" i="164" s="1"/>
  <c r="U10" i="164"/>
  <c r="S10" i="164"/>
  <c r="Q10" i="164"/>
  <c r="O10" i="164"/>
  <c r="M10" i="164"/>
  <c r="K10" i="164"/>
  <c r="E10" i="164"/>
  <c r="GB9" i="164"/>
  <c r="GA9" i="164"/>
  <c r="FZ9" i="164"/>
  <c r="FY9" i="164"/>
  <c r="FX9" i="164"/>
  <c r="FW9" i="164"/>
  <c r="FV9" i="164"/>
  <c r="FS9" i="164"/>
  <c r="FQ9" i="164"/>
  <c r="FO9" i="164"/>
  <c r="FR9" i="164" s="1"/>
  <c r="FF9" i="164"/>
  <c r="DQ9" i="164"/>
  <c r="DP9" i="164"/>
  <c r="DO9" i="164"/>
  <c r="DD9" i="164"/>
  <c r="CK9" i="164"/>
  <c r="FT9" i="164" s="1"/>
  <c r="BM9" i="164"/>
  <c r="BK9" i="164"/>
  <c r="BI9" i="164"/>
  <c r="AK9" i="164"/>
  <c r="AI9" i="164"/>
  <c r="AG9" i="164"/>
  <c r="AE9" i="164"/>
  <c r="EY9" i="164" s="1"/>
  <c r="AA9" i="164"/>
  <c r="Y9" i="164"/>
  <c r="FM9" i="164" s="1"/>
  <c r="W9" i="164"/>
  <c r="FK9" i="164" s="1"/>
  <c r="FN9" i="164" s="1"/>
  <c r="U9" i="164"/>
  <c r="S9" i="164"/>
  <c r="Q9" i="164"/>
  <c r="O9" i="164"/>
  <c r="M9" i="164"/>
  <c r="K9" i="164"/>
  <c r="I9" i="164"/>
  <c r="GB8" i="164"/>
  <c r="GA8" i="164"/>
  <c r="FZ8" i="164"/>
  <c r="FY8" i="164"/>
  <c r="FX8" i="164"/>
  <c r="FW8" i="164"/>
  <c r="FV8" i="164"/>
  <c r="FT8" i="164"/>
  <c r="FS8" i="164"/>
  <c r="FQ8" i="164"/>
  <c r="FO8" i="164"/>
  <c r="FR8" i="164" s="1"/>
  <c r="FF8" i="164"/>
  <c r="DQ8" i="164"/>
  <c r="DP8" i="164"/>
  <c r="DO8" i="164"/>
  <c r="DD8" i="164"/>
  <c r="CN8" i="164"/>
  <c r="FU8" i="164" s="1"/>
  <c r="CK8" i="164"/>
  <c r="BM8" i="164"/>
  <c r="BK8" i="164"/>
  <c r="BI8" i="164"/>
  <c r="AK8" i="164"/>
  <c r="AI8" i="164"/>
  <c r="AG8" i="164"/>
  <c r="AE8" i="164"/>
  <c r="AC8" i="164" s="1"/>
  <c r="EX8" i="164" s="1"/>
  <c r="AA8" i="164"/>
  <c r="Y8" i="164"/>
  <c r="FM8" i="164" s="1"/>
  <c r="W8" i="164"/>
  <c r="FK8" i="164" s="1"/>
  <c r="U8" i="164"/>
  <c r="S8" i="164"/>
  <c r="Q8" i="164"/>
  <c r="O8" i="164"/>
  <c r="M8" i="164"/>
  <c r="K8" i="164"/>
  <c r="I8" i="164"/>
  <c r="GB7" i="164"/>
  <c r="GA7" i="164"/>
  <c r="FZ7" i="164"/>
  <c r="FY7" i="164"/>
  <c r="FX7" i="164"/>
  <c r="FW7" i="164"/>
  <c r="FV7" i="164"/>
  <c r="FS7" i="164"/>
  <c r="FQ7" i="164"/>
  <c r="FO7" i="164"/>
  <c r="FR7" i="164" s="1"/>
  <c r="FF7" i="164"/>
  <c r="DQ7" i="164"/>
  <c r="DP7" i="164"/>
  <c r="DO7" i="164"/>
  <c r="DD7" i="164"/>
  <c r="CK7" i="164"/>
  <c r="FT7" i="164" s="1"/>
  <c r="BM7" i="164"/>
  <c r="BK7" i="164"/>
  <c r="BI7" i="164"/>
  <c r="AK7" i="164"/>
  <c r="AI7" i="164"/>
  <c r="AG7" i="164"/>
  <c r="AE7" i="164"/>
  <c r="EY7" i="164" s="1"/>
  <c r="AA7" i="164"/>
  <c r="Y7" i="164"/>
  <c r="FM7" i="164" s="1"/>
  <c r="W7" i="164"/>
  <c r="FK7" i="164" s="1"/>
  <c r="U7" i="164"/>
  <c r="S7" i="164"/>
  <c r="Q7" i="164"/>
  <c r="O7" i="164"/>
  <c r="M7" i="164"/>
  <c r="K7" i="164"/>
  <c r="E7" i="164"/>
  <c r="FG7" i="164" s="1"/>
  <c r="GB6" i="164"/>
  <c r="GA6" i="164"/>
  <c r="FZ6" i="164"/>
  <c r="FY6" i="164"/>
  <c r="FX6" i="164"/>
  <c r="FW6" i="164"/>
  <c r="FV6" i="164"/>
  <c r="FS6" i="164"/>
  <c r="FR6" i="164"/>
  <c r="FQ6" i="164"/>
  <c r="FO6" i="164"/>
  <c r="FF6" i="164"/>
  <c r="DQ6" i="164"/>
  <c r="DP6" i="164"/>
  <c r="DO6" i="164"/>
  <c r="DD6" i="164"/>
  <c r="CK6" i="164"/>
  <c r="FT6" i="164" s="1"/>
  <c r="BM6" i="164"/>
  <c r="BM22" i="164" s="1"/>
  <c r="BK6" i="164"/>
  <c r="BK22" i="164" s="1"/>
  <c r="BI6" i="164"/>
  <c r="BI22" i="164" s="1"/>
  <c r="AK6" i="164"/>
  <c r="I6" i="164" s="1"/>
  <c r="AI6" i="164"/>
  <c r="AG6" i="164"/>
  <c r="AG22" i="164" s="1"/>
  <c r="AE6" i="164"/>
  <c r="EY6" i="164" s="1"/>
  <c r="AA6" i="164"/>
  <c r="Y6" i="164"/>
  <c r="FM6" i="164" s="1"/>
  <c r="W6" i="164"/>
  <c r="FK6" i="164" s="1"/>
  <c r="U6" i="164"/>
  <c r="S6" i="164"/>
  <c r="Q6" i="164"/>
  <c r="Q22" i="164" s="1"/>
  <c r="O6" i="164"/>
  <c r="M6" i="164"/>
  <c r="K6" i="164"/>
  <c r="GB5" i="164"/>
  <c r="GA5" i="164"/>
  <c r="FZ5" i="164"/>
  <c r="FY5" i="164"/>
  <c r="FX5" i="164"/>
  <c r="FW5" i="164"/>
  <c r="FV5" i="164"/>
  <c r="FS5" i="164"/>
  <c r="FQ5" i="164"/>
  <c r="FR5" i="164" s="1"/>
  <c r="FO5" i="164"/>
  <c r="FF5" i="164"/>
  <c r="DQ5" i="164"/>
  <c r="DP5" i="164"/>
  <c r="DO5" i="164"/>
  <c r="DD5" i="164"/>
  <c r="CK5" i="164"/>
  <c r="FT5" i="164" s="1"/>
  <c r="BM5" i="164"/>
  <c r="I5" i="164" s="1"/>
  <c r="BK5" i="164"/>
  <c r="BI5" i="164"/>
  <c r="AK5" i="164"/>
  <c r="AI5" i="164"/>
  <c r="G5" i="164" s="1"/>
  <c r="AG5" i="164"/>
  <c r="E5" i="164" s="1"/>
  <c r="AE5" i="164"/>
  <c r="EY5" i="164" s="1"/>
  <c r="AC5" i="164"/>
  <c r="EX5" i="164" s="1"/>
  <c r="AA5" i="164"/>
  <c r="Y5" i="164"/>
  <c r="FM5" i="164" s="1"/>
  <c r="W5" i="164"/>
  <c r="DF5" i="164" s="1"/>
  <c r="U5" i="164"/>
  <c r="S5" i="164"/>
  <c r="Q5" i="164"/>
  <c r="O5" i="164"/>
  <c r="M5" i="164"/>
  <c r="K5" i="164"/>
  <c r="GB4" i="164"/>
  <c r="GA4" i="164"/>
  <c r="FZ4" i="164"/>
  <c r="FY4" i="164"/>
  <c r="FX4" i="164"/>
  <c r="FW4" i="164"/>
  <c r="FV4" i="164"/>
  <c r="FS4" i="164"/>
  <c r="FQ4" i="164"/>
  <c r="FO4" i="164"/>
  <c r="FF4" i="164"/>
  <c r="DQ4" i="164"/>
  <c r="DP4" i="164"/>
  <c r="DO4" i="164"/>
  <c r="CK4" i="164"/>
  <c r="CN4" i="164" s="1"/>
  <c r="BM4" i="164"/>
  <c r="BK4" i="164"/>
  <c r="G4" i="164" s="1"/>
  <c r="BI4" i="164"/>
  <c r="AK4" i="164"/>
  <c r="AI4" i="164"/>
  <c r="AG4" i="164"/>
  <c r="AE4" i="164"/>
  <c r="AA4" i="164"/>
  <c r="Y4" i="164"/>
  <c r="W4" i="164"/>
  <c r="U4" i="164"/>
  <c r="S4" i="164"/>
  <c r="Q4" i="164"/>
  <c r="O4" i="164"/>
  <c r="M4" i="164"/>
  <c r="K4" i="164"/>
  <c r="CH54" i="163"/>
  <c r="CF54" i="163"/>
  <c r="CD54" i="163"/>
  <c r="CB54" i="163"/>
  <c r="BZ54" i="163"/>
  <c r="BX54" i="163"/>
  <c r="BV54" i="163"/>
  <c r="BT54" i="163"/>
  <c r="BR54" i="163"/>
  <c r="BP54" i="163"/>
  <c r="BN54" i="163"/>
  <c r="BL54" i="163"/>
  <c r="BJ54" i="163"/>
  <c r="CH53" i="163"/>
  <c r="CF53" i="163"/>
  <c r="CD53" i="163"/>
  <c r="CB53" i="163"/>
  <c r="BZ53" i="163"/>
  <c r="BX53" i="163"/>
  <c r="BV53" i="163"/>
  <c r="BT53" i="163"/>
  <c r="BR53" i="163"/>
  <c r="BP53" i="163"/>
  <c r="BN53" i="163"/>
  <c r="BL53" i="163"/>
  <c r="BJ53" i="163"/>
  <c r="CH52" i="163"/>
  <c r="CF52" i="163"/>
  <c r="CD52" i="163"/>
  <c r="CB52" i="163"/>
  <c r="BZ52" i="163"/>
  <c r="BX52" i="163"/>
  <c r="BV52" i="163"/>
  <c r="BT52" i="163"/>
  <c r="BR52" i="163"/>
  <c r="BP52" i="163"/>
  <c r="BN52" i="163"/>
  <c r="BL52" i="163"/>
  <c r="BJ52" i="163"/>
  <c r="CH51" i="163"/>
  <c r="CF51" i="163"/>
  <c r="CD51" i="163"/>
  <c r="CB51" i="163"/>
  <c r="BZ51" i="163"/>
  <c r="BX51" i="163"/>
  <c r="BV51" i="163"/>
  <c r="BT51" i="163"/>
  <c r="BR51" i="163"/>
  <c r="BP51" i="163"/>
  <c r="BN51" i="163"/>
  <c r="BL51" i="163"/>
  <c r="BJ51" i="163"/>
  <c r="CH50" i="163"/>
  <c r="CF50" i="163"/>
  <c r="CD50" i="163"/>
  <c r="CB50" i="163"/>
  <c r="BZ50" i="163"/>
  <c r="BX50" i="163"/>
  <c r="BV50" i="163"/>
  <c r="BT50" i="163"/>
  <c r="BR50" i="163"/>
  <c r="BP50" i="163"/>
  <c r="BN50" i="163"/>
  <c r="BL50" i="163"/>
  <c r="BJ50" i="163"/>
  <c r="CH39" i="163"/>
  <c r="CF39" i="163"/>
  <c r="CD39" i="163"/>
  <c r="CB39" i="163"/>
  <c r="BZ39" i="163"/>
  <c r="BX39" i="163"/>
  <c r="BV39" i="163"/>
  <c r="BT39" i="163"/>
  <c r="BR39" i="163"/>
  <c r="BP39" i="163"/>
  <c r="BN39" i="163"/>
  <c r="BL39" i="163"/>
  <c r="BJ39" i="163"/>
  <c r="CH38" i="163"/>
  <c r="CF38" i="163"/>
  <c r="CD38" i="163"/>
  <c r="CB38" i="163"/>
  <c r="BZ38" i="163"/>
  <c r="BX38" i="163"/>
  <c r="BV38" i="163"/>
  <c r="BT38" i="163"/>
  <c r="BR38" i="163"/>
  <c r="BP38" i="163"/>
  <c r="BN38" i="163"/>
  <c r="BL38" i="163"/>
  <c r="BJ38" i="163"/>
  <c r="CH37" i="163"/>
  <c r="CF37" i="163"/>
  <c r="CD37" i="163"/>
  <c r="CB37" i="163"/>
  <c r="BZ37" i="163"/>
  <c r="BX37" i="163"/>
  <c r="BV37" i="163"/>
  <c r="BT37" i="163"/>
  <c r="BR37" i="163"/>
  <c r="BP37" i="163"/>
  <c r="BN37" i="163"/>
  <c r="BL37" i="163"/>
  <c r="BJ37" i="163"/>
  <c r="CH36" i="163"/>
  <c r="CF36" i="163"/>
  <c r="CD36" i="163"/>
  <c r="CB36" i="163"/>
  <c r="BZ36" i="163"/>
  <c r="BX36" i="163"/>
  <c r="BV36" i="163"/>
  <c r="BT36" i="163"/>
  <c r="BR36" i="163"/>
  <c r="BP36" i="163"/>
  <c r="BN36" i="163"/>
  <c r="BL36" i="163"/>
  <c r="BJ36" i="163"/>
  <c r="CH35" i="163"/>
  <c r="CF35" i="163"/>
  <c r="CD35" i="163"/>
  <c r="CB35" i="163"/>
  <c r="BZ35" i="163"/>
  <c r="BX35" i="163"/>
  <c r="BV35" i="163"/>
  <c r="BT35" i="163"/>
  <c r="BR35" i="163"/>
  <c r="BP35" i="163"/>
  <c r="BN35" i="163"/>
  <c r="BL35" i="163"/>
  <c r="BJ35" i="163"/>
  <c r="CU23" i="163"/>
  <c r="CT23" i="163"/>
  <c r="CT32" i="163" s="1"/>
  <c r="CS23" i="163"/>
  <c r="CR23" i="163"/>
  <c r="CR32" i="163" s="1"/>
  <c r="CQ23" i="163"/>
  <c r="CP23" i="163"/>
  <c r="CP32" i="163" s="1"/>
  <c r="CO23" i="163"/>
  <c r="CO32" i="163" s="1"/>
  <c r="CM23" i="163"/>
  <c r="CL23" i="163"/>
  <c r="CL32" i="163" s="1"/>
  <c r="CJ23" i="163"/>
  <c r="CJ32" i="163" s="1"/>
  <c r="CI23" i="163"/>
  <c r="CG23" i="163"/>
  <c r="CG32" i="163" s="1"/>
  <c r="CE23" i="163"/>
  <c r="CE32" i="163" s="1"/>
  <c r="CC23" i="163"/>
  <c r="CC32" i="163" s="1"/>
  <c r="CA23" i="163"/>
  <c r="BY23" i="163"/>
  <c r="BY32" i="163" s="1"/>
  <c r="BW23" i="163"/>
  <c r="BW32" i="163" s="1"/>
  <c r="BU23" i="163"/>
  <c r="BU32" i="163" s="1"/>
  <c r="BS23" i="163"/>
  <c r="BQ23" i="163"/>
  <c r="BQ32" i="163" s="1"/>
  <c r="BO23" i="163"/>
  <c r="BO32" i="163" s="1"/>
  <c r="BG23" i="163"/>
  <c r="BG32" i="163" s="1"/>
  <c r="BE23" i="163"/>
  <c r="BE32" i="163" s="1"/>
  <c r="BC23" i="163"/>
  <c r="BA23" i="163"/>
  <c r="BA32" i="163" s="1"/>
  <c r="AY23" i="163"/>
  <c r="AY32" i="163" s="1"/>
  <c r="AW23" i="163"/>
  <c r="AW33" i="163" s="1"/>
  <c r="AU23" i="163"/>
  <c r="AS23" i="163"/>
  <c r="AS32" i="163" s="1"/>
  <c r="AQ23" i="163"/>
  <c r="AQ32" i="163" s="1"/>
  <c r="AO23" i="163"/>
  <c r="AO32" i="163" s="1"/>
  <c r="AM23" i="163"/>
  <c r="D23" i="163"/>
  <c r="D32" i="163" s="1"/>
  <c r="FQ22" i="163"/>
  <c r="FO22" i="163"/>
  <c r="CU22" i="163"/>
  <c r="GB22" i="163" s="1"/>
  <c r="CT22" i="163"/>
  <c r="GA22" i="163" s="1"/>
  <c r="CS22" i="163"/>
  <c r="CR22" i="163"/>
  <c r="CQ22" i="163"/>
  <c r="FX22" i="163" s="1"/>
  <c r="CP22" i="163"/>
  <c r="FW22" i="163" s="1"/>
  <c r="CO22" i="163"/>
  <c r="CM22" i="163"/>
  <c r="CL22" i="163"/>
  <c r="CJ22" i="163"/>
  <c r="FS22" i="163" s="1"/>
  <c r="CI22" i="163"/>
  <c r="CG22" i="163"/>
  <c r="CE22" i="163"/>
  <c r="CC22" i="163"/>
  <c r="CA22" i="163"/>
  <c r="BY22" i="163"/>
  <c r="BW22" i="163"/>
  <c r="BU22" i="163"/>
  <c r="BS22" i="163"/>
  <c r="BQ22" i="163"/>
  <c r="BO22" i="163"/>
  <c r="BG22" i="163"/>
  <c r="BE22" i="163"/>
  <c r="BC22" i="163"/>
  <c r="BA22" i="163"/>
  <c r="AY22" i="163"/>
  <c r="AW22" i="163"/>
  <c r="AU22" i="163"/>
  <c r="AS22" i="163"/>
  <c r="AQ22" i="163"/>
  <c r="AO22" i="163"/>
  <c r="AM22" i="163"/>
  <c r="D22" i="163"/>
  <c r="FW21" i="163"/>
  <c r="CU21" i="163"/>
  <c r="GB21" i="163" s="1"/>
  <c r="CT21" i="163"/>
  <c r="GA21" i="163" s="1"/>
  <c r="CS21" i="163"/>
  <c r="FZ21" i="163" s="1"/>
  <c r="CR21" i="163"/>
  <c r="FY21" i="163" s="1"/>
  <c r="CQ21" i="163"/>
  <c r="FX21" i="163" s="1"/>
  <c r="CP21" i="163"/>
  <c r="CO21" i="163"/>
  <c r="FV21" i="163" s="1"/>
  <c r="CM21" i="163"/>
  <c r="CL21" i="163"/>
  <c r="CJ21" i="163"/>
  <c r="CI21" i="163"/>
  <c r="CG21" i="163"/>
  <c r="CE21" i="163"/>
  <c r="CC21" i="163"/>
  <c r="CA21" i="163"/>
  <c r="BY21" i="163"/>
  <c r="BW21" i="163"/>
  <c r="BU21" i="163"/>
  <c r="BS21" i="163"/>
  <c r="BQ21" i="163"/>
  <c r="BO21" i="163"/>
  <c r="BG21" i="163"/>
  <c r="BE21" i="163"/>
  <c r="BC21" i="163"/>
  <c r="BA21" i="163"/>
  <c r="AY21" i="163"/>
  <c r="AW21" i="163"/>
  <c r="AU21" i="163"/>
  <c r="AS21" i="163"/>
  <c r="AQ21" i="163"/>
  <c r="AO21" i="163"/>
  <c r="AM21" i="163"/>
  <c r="D21" i="163"/>
  <c r="FF21" i="163" s="1"/>
  <c r="GA20" i="163"/>
  <c r="FT20" i="163"/>
  <c r="FS20" i="163"/>
  <c r="ET20" i="163"/>
  <c r="EN20" i="163"/>
  <c r="EF20" i="163"/>
  <c r="DY20" i="163"/>
  <c r="CN20" i="163"/>
  <c r="FU20" i="163" s="1"/>
  <c r="GA19" i="163"/>
  <c r="FT19" i="163"/>
  <c r="FS19" i="163"/>
  <c r="ET19" i="163"/>
  <c r="EN19" i="163"/>
  <c r="EF19" i="163"/>
  <c r="DY19" i="163"/>
  <c r="CN19" i="163"/>
  <c r="GB18" i="163"/>
  <c r="GA18" i="163"/>
  <c r="FZ18" i="163"/>
  <c r="FY18" i="163"/>
  <c r="FX18" i="163"/>
  <c r="FW18" i="163"/>
  <c r="FV18" i="163"/>
  <c r="FT18" i="163"/>
  <c r="FS18" i="163"/>
  <c r="FQ18" i="163"/>
  <c r="FO18" i="163"/>
  <c r="FR18" i="163" s="1"/>
  <c r="FF18" i="163"/>
  <c r="DQ18" i="163"/>
  <c r="DP18" i="163"/>
  <c r="DO18" i="163"/>
  <c r="DD18" i="163"/>
  <c r="CK18" i="163"/>
  <c r="CN18" i="163" s="1"/>
  <c r="FU18" i="163" s="1"/>
  <c r="BM18" i="163"/>
  <c r="BK18" i="163"/>
  <c r="G18" i="163" s="1"/>
  <c r="BI18" i="163"/>
  <c r="AK18" i="163"/>
  <c r="AI18" i="163"/>
  <c r="AG18" i="163"/>
  <c r="E18" i="163" s="1"/>
  <c r="AE18" i="163"/>
  <c r="AC18" i="163" s="1"/>
  <c r="EX18" i="163" s="1"/>
  <c r="EX22" i="163" s="1"/>
  <c r="AA18" i="163"/>
  <c r="Y18" i="163"/>
  <c r="FM18" i="163" s="1"/>
  <c r="W18" i="163"/>
  <c r="FK18" i="163" s="1"/>
  <c r="U18" i="163"/>
  <c r="S18" i="163"/>
  <c r="Q18" i="163"/>
  <c r="O18" i="163"/>
  <c r="M18" i="163"/>
  <c r="K18" i="163"/>
  <c r="I18" i="163"/>
  <c r="GB17" i="163"/>
  <c r="GA17" i="163"/>
  <c r="FZ17" i="163"/>
  <c r="FY17" i="163"/>
  <c r="FX17" i="163"/>
  <c r="FW17" i="163"/>
  <c r="FV17" i="163"/>
  <c r="FS17" i="163"/>
  <c r="FQ17" i="163"/>
  <c r="FO17" i="163"/>
  <c r="FR17" i="163" s="1"/>
  <c r="FF17" i="163"/>
  <c r="DQ17" i="163"/>
  <c r="DP17" i="163"/>
  <c r="DO17" i="163"/>
  <c r="CK17" i="163"/>
  <c r="FT17" i="163" s="1"/>
  <c r="BM17" i="163"/>
  <c r="BK17" i="163"/>
  <c r="BI17" i="163"/>
  <c r="E17" i="163" s="1"/>
  <c r="AK17" i="163"/>
  <c r="AI17" i="163"/>
  <c r="AG17" i="163"/>
  <c r="AE17" i="163"/>
  <c r="EY17" i="163" s="1"/>
  <c r="AA17" i="163"/>
  <c r="Y17" i="163"/>
  <c r="FM17" i="163" s="1"/>
  <c r="W17" i="163"/>
  <c r="FK17" i="163" s="1"/>
  <c r="U17" i="163"/>
  <c r="S17" i="163"/>
  <c r="Q17" i="163"/>
  <c r="O17" i="163"/>
  <c r="M17" i="163"/>
  <c r="K17" i="163"/>
  <c r="G17" i="163"/>
  <c r="FI17" i="163" s="1"/>
  <c r="GB16" i="163"/>
  <c r="GA16" i="163"/>
  <c r="FZ16" i="163"/>
  <c r="FY16" i="163"/>
  <c r="FX16" i="163"/>
  <c r="FW16" i="163"/>
  <c r="FV16" i="163"/>
  <c r="FS16" i="163"/>
  <c r="FR16" i="163"/>
  <c r="FQ16" i="163"/>
  <c r="FO16" i="163"/>
  <c r="FM16" i="163"/>
  <c r="FF16" i="163"/>
  <c r="DQ16" i="163"/>
  <c r="DP16" i="163"/>
  <c r="DO16" i="163"/>
  <c r="CK16" i="163"/>
  <c r="FT16" i="163" s="1"/>
  <c r="BM16" i="163"/>
  <c r="BK16" i="163"/>
  <c r="BI16" i="163"/>
  <c r="E16" i="163" s="1"/>
  <c r="AK16" i="163"/>
  <c r="I16" i="163" s="1"/>
  <c r="AI16" i="163"/>
  <c r="AG16" i="163"/>
  <c r="AE16" i="163"/>
  <c r="EY16" i="163" s="1"/>
  <c r="AC16" i="163"/>
  <c r="EX16" i="163" s="1"/>
  <c r="AA16" i="163"/>
  <c r="Y16" i="163"/>
  <c r="W16" i="163"/>
  <c r="FK16" i="163" s="1"/>
  <c r="FN16" i="163" s="1"/>
  <c r="U16" i="163"/>
  <c r="S16" i="163"/>
  <c r="Q16" i="163"/>
  <c r="O16" i="163"/>
  <c r="M16" i="163"/>
  <c r="K16" i="163"/>
  <c r="GB15" i="163"/>
  <c r="GA15" i="163"/>
  <c r="FZ15" i="163"/>
  <c r="FY15" i="163"/>
  <c r="FX15" i="163"/>
  <c r="FW15" i="163"/>
  <c r="FV15" i="163"/>
  <c r="FS15" i="163"/>
  <c r="FR15" i="163"/>
  <c r="FQ15" i="163"/>
  <c r="FO15" i="163"/>
  <c r="FF15" i="163"/>
  <c r="DQ15" i="163"/>
  <c r="DP15" i="163"/>
  <c r="DO15" i="163"/>
  <c r="CK15" i="163"/>
  <c r="FT15" i="163" s="1"/>
  <c r="BM15" i="163"/>
  <c r="BK15" i="163"/>
  <c r="BI15" i="163"/>
  <c r="AK15" i="163"/>
  <c r="AI15" i="163"/>
  <c r="G15" i="163" s="1"/>
  <c r="AG15" i="163"/>
  <c r="E15" i="163" s="1"/>
  <c r="AE15" i="163"/>
  <c r="EY15" i="163" s="1"/>
  <c r="AC15" i="163"/>
  <c r="EX15" i="163" s="1"/>
  <c r="AA15" i="163"/>
  <c r="Y15" i="163"/>
  <c r="FM15" i="163" s="1"/>
  <c r="W15" i="163"/>
  <c r="DF15" i="163" s="1"/>
  <c r="U15" i="163"/>
  <c r="S15" i="163"/>
  <c r="Q15" i="163"/>
  <c r="O15" i="163"/>
  <c r="M15" i="163"/>
  <c r="K15" i="163"/>
  <c r="GB14" i="163"/>
  <c r="GA14" i="163"/>
  <c r="FZ14" i="163"/>
  <c r="FY14" i="163"/>
  <c r="FX14" i="163"/>
  <c r="FW14" i="163"/>
  <c r="FV14" i="163"/>
  <c r="FU14" i="163"/>
  <c r="FT14" i="163"/>
  <c r="FS14" i="163"/>
  <c r="FQ14" i="163"/>
  <c r="FO14" i="163"/>
  <c r="FR14" i="163" s="1"/>
  <c r="FF14" i="163"/>
  <c r="DQ14" i="163"/>
  <c r="DP14" i="163"/>
  <c r="DO14" i="163"/>
  <c r="CN14" i="163"/>
  <c r="CK14" i="163"/>
  <c r="BM14" i="163"/>
  <c r="BK14" i="163"/>
  <c r="G14" i="163" s="1"/>
  <c r="BI14" i="163"/>
  <c r="AK14" i="163"/>
  <c r="AI14" i="163"/>
  <c r="AG14" i="163"/>
  <c r="E14" i="163" s="1"/>
  <c r="AE14" i="163"/>
  <c r="AC14" i="163" s="1"/>
  <c r="EX14" i="163" s="1"/>
  <c r="AA14" i="163"/>
  <c r="Y14" i="163"/>
  <c r="FM14" i="163" s="1"/>
  <c r="W14" i="163"/>
  <c r="DF14" i="163" s="1"/>
  <c r="U14" i="163"/>
  <c r="S14" i="163"/>
  <c r="Q14" i="163"/>
  <c r="O14" i="163"/>
  <c r="M14" i="163"/>
  <c r="K14" i="163"/>
  <c r="GB13" i="163"/>
  <c r="GA13" i="163"/>
  <c r="FZ13" i="163"/>
  <c r="FY13" i="163"/>
  <c r="FX13" i="163"/>
  <c r="FW13" i="163"/>
  <c r="FV13" i="163"/>
  <c r="FS13" i="163"/>
  <c r="FQ13" i="163"/>
  <c r="FO13" i="163"/>
  <c r="FR13" i="163" s="1"/>
  <c r="FF13" i="163"/>
  <c r="DQ13" i="163"/>
  <c r="DP13" i="163"/>
  <c r="DO13" i="163"/>
  <c r="CK13" i="163"/>
  <c r="FT13" i="163" s="1"/>
  <c r="BM13" i="163"/>
  <c r="BK13" i="163"/>
  <c r="BI13" i="163"/>
  <c r="AK13" i="163"/>
  <c r="AI13" i="163"/>
  <c r="AG13" i="163"/>
  <c r="AE13" i="163"/>
  <c r="EY13" i="163" s="1"/>
  <c r="AA13" i="163"/>
  <c r="Y13" i="163"/>
  <c r="FM13" i="163" s="1"/>
  <c r="W13" i="163"/>
  <c r="FK13" i="163" s="1"/>
  <c r="U13" i="163"/>
  <c r="S13" i="163"/>
  <c r="Q13" i="163"/>
  <c r="O13" i="163"/>
  <c r="M13" i="163"/>
  <c r="K13" i="163"/>
  <c r="G13" i="163"/>
  <c r="FI13" i="163" s="1"/>
  <c r="GB12" i="163"/>
  <c r="GA12" i="163"/>
  <c r="FZ12" i="163"/>
  <c r="FY12" i="163"/>
  <c r="FX12" i="163"/>
  <c r="FW12" i="163"/>
  <c r="FV12" i="163"/>
  <c r="FS12" i="163"/>
  <c r="FR12" i="163"/>
  <c r="FQ12" i="163"/>
  <c r="FO12" i="163"/>
  <c r="FM12" i="163"/>
  <c r="FF12" i="163"/>
  <c r="DQ12" i="163"/>
  <c r="DP12" i="163"/>
  <c r="DO12" i="163"/>
  <c r="CK12" i="163"/>
  <c r="BM12" i="163"/>
  <c r="BK12" i="163"/>
  <c r="BI12" i="163"/>
  <c r="E12" i="163" s="1"/>
  <c r="AK12" i="163"/>
  <c r="AI12" i="163"/>
  <c r="AG12" i="163"/>
  <c r="AE12" i="163"/>
  <c r="EY12" i="163" s="1"/>
  <c r="AC12" i="163"/>
  <c r="EX12" i="163" s="1"/>
  <c r="AA12" i="163"/>
  <c r="Y12" i="163"/>
  <c r="W12" i="163"/>
  <c r="FK12" i="163" s="1"/>
  <c r="FN12" i="163" s="1"/>
  <c r="U12" i="163"/>
  <c r="S12" i="163"/>
  <c r="Q12" i="163"/>
  <c r="O12" i="163"/>
  <c r="M12" i="163"/>
  <c r="K12" i="163"/>
  <c r="GB11" i="163"/>
  <c r="GA11" i="163"/>
  <c r="FZ11" i="163"/>
  <c r="FY11" i="163"/>
  <c r="FX11" i="163"/>
  <c r="FW11" i="163"/>
  <c r="FV11" i="163"/>
  <c r="FS11" i="163"/>
  <c r="FR11" i="163"/>
  <c r="FQ11" i="163"/>
  <c r="FO11" i="163"/>
  <c r="FF11" i="163"/>
  <c r="DQ11" i="163"/>
  <c r="DP11" i="163"/>
  <c r="DO11" i="163"/>
  <c r="CK11" i="163"/>
  <c r="FT11" i="163" s="1"/>
  <c r="BM11" i="163"/>
  <c r="BK11" i="163"/>
  <c r="BI11" i="163"/>
  <c r="AK11" i="163"/>
  <c r="AI11" i="163"/>
  <c r="AG11" i="163"/>
  <c r="E11" i="163" s="1"/>
  <c r="AE11" i="163"/>
  <c r="EY11" i="163" s="1"/>
  <c r="AA11" i="163"/>
  <c r="Y11" i="163"/>
  <c r="FM11" i="163" s="1"/>
  <c r="W11" i="163"/>
  <c r="U11" i="163"/>
  <c r="S11" i="163"/>
  <c r="Q11" i="163"/>
  <c r="O11" i="163"/>
  <c r="M11" i="163"/>
  <c r="K11" i="163"/>
  <c r="GB10" i="163"/>
  <c r="GA10" i="163"/>
  <c r="FZ10" i="163"/>
  <c r="FY10" i="163"/>
  <c r="FX10" i="163"/>
  <c r="FW10" i="163"/>
  <c r="FV10" i="163"/>
  <c r="FS10" i="163"/>
  <c r="FQ10" i="163"/>
  <c r="FO10" i="163"/>
  <c r="FR10" i="163" s="1"/>
  <c r="FF10" i="163"/>
  <c r="DQ10" i="163"/>
  <c r="DP10" i="163"/>
  <c r="DO10" i="163"/>
  <c r="DD10" i="163"/>
  <c r="CK10" i="163"/>
  <c r="CN10" i="163" s="1"/>
  <c r="FU10" i="163" s="1"/>
  <c r="BM10" i="163"/>
  <c r="BK10" i="163"/>
  <c r="BI10" i="163"/>
  <c r="AK10" i="163"/>
  <c r="AI10" i="163"/>
  <c r="AG10" i="163"/>
  <c r="AE10" i="163"/>
  <c r="AC10" i="163" s="1"/>
  <c r="EX10" i="163" s="1"/>
  <c r="AA10" i="163"/>
  <c r="Y10" i="163"/>
  <c r="FM10" i="163" s="1"/>
  <c r="W10" i="163"/>
  <c r="U10" i="163"/>
  <c r="S10" i="163"/>
  <c r="Q10" i="163"/>
  <c r="O10" i="163"/>
  <c r="M10" i="163"/>
  <c r="K10" i="163"/>
  <c r="I10" i="163"/>
  <c r="GB9" i="163"/>
  <c r="GA9" i="163"/>
  <c r="FZ9" i="163"/>
  <c r="FY9" i="163"/>
  <c r="FX9" i="163"/>
  <c r="FW9" i="163"/>
  <c r="FV9" i="163"/>
  <c r="FT9" i="163"/>
  <c r="FS9" i="163"/>
  <c r="FQ9" i="163"/>
  <c r="FO9" i="163"/>
  <c r="FR9" i="163" s="1"/>
  <c r="FF9" i="163"/>
  <c r="DQ9" i="163"/>
  <c r="DP9" i="163"/>
  <c r="DO9" i="163"/>
  <c r="DD9" i="163"/>
  <c r="CK9" i="163"/>
  <c r="CN9" i="163" s="1"/>
  <c r="FU9" i="163" s="1"/>
  <c r="BM9" i="163"/>
  <c r="BK9" i="163"/>
  <c r="BI9" i="163"/>
  <c r="AK9" i="163"/>
  <c r="AI9" i="163"/>
  <c r="G9" i="163" s="1"/>
  <c r="FI9" i="163" s="1"/>
  <c r="AG9" i="163"/>
  <c r="AE9" i="163"/>
  <c r="AC9" i="163" s="1"/>
  <c r="EX9" i="163" s="1"/>
  <c r="AA9" i="163"/>
  <c r="Y9" i="163"/>
  <c r="FM9" i="163" s="1"/>
  <c r="W9" i="163"/>
  <c r="FK9" i="163" s="1"/>
  <c r="U9" i="163"/>
  <c r="S9" i="163"/>
  <c r="Q9" i="163"/>
  <c r="O9" i="163"/>
  <c r="M9" i="163"/>
  <c r="K9" i="163"/>
  <c r="I9" i="163"/>
  <c r="GB8" i="163"/>
  <c r="GA8" i="163"/>
  <c r="FZ8" i="163"/>
  <c r="FY8" i="163"/>
  <c r="FX8" i="163"/>
  <c r="FW8" i="163"/>
  <c r="FV8" i="163"/>
  <c r="FS8" i="163"/>
  <c r="FQ8" i="163"/>
  <c r="FO8" i="163"/>
  <c r="FR8" i="163" s="1"/>
  <c r="FF8" i="163"/>
  <c r="DQ8" i="163"/>
  <c r="DP8" i="163"/>
  <c r="DO8" i="163"/>
  <c r="CK8" i="163"/>
  <c r="FT8" i="163" s="1"/>
  <c r="BM8" i="163"/>
  <c r="BK8" i="163"/>
  <c r="BI8" i="163"/>
  <c r="AK8" i="163"/>
  <c r="I8" i="163" s="1"/>
  <c r="AI8" i="163"/>
  <c r="AG8" i="163"/>
  <c r="AE8" i="163"/>
  <c r="EY8" i="163" s="1"/>
  <c r="AC8" i="163"/>
  <c r="EX8" i="163" s="1"/>
  <c r="AA8" i="163"/>
  <c r="Y8" i="163"/>
  <c r="FM8" i="163" s="1"/>
  <c r="W8" i="163"/>
  <c r="FK8" i="163" s="1"/>
  <c r="U8" i="163"/>
  <c r="S8" i="163"/>
  <c r="Q8" i="163"/>
  <c r="O8" i="163"/>
  <c r="M8" i="163"/>
  <c r="K8" i="163"/>
  <c r="G8" i="163"/>
  <c r="FI8" i="163" s="1"/>
  <c r="E8" i="163"/>
  <c r="FG8" i="163" s="1"/>
  <c r="GB7" i="163"/>
  <c r="GA7" i="163"/>
  <c r="FZ7" i="163"/>
  <c r="FY7" i="163"/>
  <c r="FX7" i="163"/>
  <c r="FW7" i="163"/>
  <c r="FV7" i="163"/>
  <c r="FS7" i="163"/>
  <c r="FR7" i="163"/>
  <c r="FQ7" i="163"/>
  <c r="FO7" i="163"/>
  <c r="FF7" i="163"/>
  <c r="DQ7" i="163"/>
  <c r="DP7" i="163"/>
  <c r="DO7" i="163"/>
  <c r="DD7" i="163"/>
  <c r="CK7" i="163"/>
  <c r="FT7" i="163" s="1"/>
  <c r="BM7" i="163"/>
  <c r="BK7" i="163"/>
  <c r="BI7" i="163"/>
  <c r="E7" i="163" s="1"/>
  <c r="AK7" i="163"/>
  <c r="I7" i="163" s="1"/>
  <c r="AI7" i="163"/>
  <c r="G7" i="163" s="1"/>
  <c r="AG7" i="163"/>
  <c r="AE7" i="163"/>
  <c r="EY7" i="163" s="1"/>
  <c r="AC7" i="163"/>
  <c r="EX7" i="163" s="1"/>
  <c r="AA7" i="163"/>
  <c r="Y7" i="163"/>
  <c r="FM7" i="163" s="1"/>
  <c r="W7" i="163"/>
  <c r="FK7" i="163" s="1"/>
  <c r="U7" i="163"/>
  <c r="S7" i="163"/>
  <c r="Q7" i="163"/>
  <c r="O7" i="163"/>
  <c r="M7" i="163"/>
  <c r="K7" i="163"/>
  <c r="GB6" i="163"/>
  <c r="GA6" i="163"/>
  <c r="FZ6" i="163"/>
  <c r="FY6" i="163"/>
  <c r="FX6" i="163"/>
  <c r="FW6" i="163"/>
  <c r="FV6" i="163"/>
  <c r="FS6" i="163"/>
  <c r="FQ6" i="163"/>
  <c r="FR6" i="163" s="1"/>
  <c r="FO6" i="163"/>
  <c r="FF6" i="163"/>
  <c r="DQ6" i="163"/>
  <c r="DP6" i="163"/>
  <c r="DO6" i="163"/>
  <c r="CK6" i="163"/>
  <c r="FT6" i="163" s="1"/>
  <c r="BM6" i="163"/>
  <c r="BM22" i="163" s="1"/>
  <c r="BK6" i="163"/>
  <c r="BI6" i="163"/>
  <c r="BI22" i="163" s="1"/>
  <c r="AK6" i="163"/>
  <c r="AI6" i="163"/>
  <c r="AG6" i="163"/>
  <c r="AE6" i="163"/>
  <c r="EY6" i="163" s="1"/>
  <c r="AC6" i="163"/>
  <c r="EX6" i="163" s="1"/>
  <c r="AA6" i="163"/>
  <c r="Y6" i="163"/>
  <c r="FM6" i="163" s="1"/>
  <c r="W6" i="163"/>
  <c r="DF6" i="163" s="1"/>
  <c r="U6" i="163"/>
  <c r="S6" i="163"/>
  <c r="Q6" i="163"/>
  <c r="O6" i="163"/>
  <c r="O22" i="163" s="1"/>
  <c r="M6" i="163"/>
  <c r="K6" i="163"/>
  <c r="GB5" i="163"/>
  <c r="GA5" i="163"/>
  <c r="FZ5" i="163"/>
  <c r="FY5" i="163"/>
  <c r="FX5" i="163"/>
  <c r="FW5" i="163"/>
  <c r="FV5" i="163"/>
  <c r="FT5" i="163"/>
  <c r="FS5" i="163"/>
  <c r="FQ5" i="163"/>
  <c r="FO5" i="163"/>
  <c r="FR5" i="163" s="1"/>
  <c r="FF5" i="163"/>
  <c r="DQ5" i="163"/>
  <c r="DP5" i="163"/>
  <c r="DO5" i="163"/>
  <c r="CN5" i="163"/>
  <c r="FU5" i="163" s="1"/>
  <c r="CK5" i="163"/>
  <c r="BM5" i="163"/>
  <c r="BK5" i="163"/>
  <c r="BI5" i="163"/>
  <c r="AK5" i="163"/>
  <c r="AI5" i="163"/>
  <c r="AG5" i="163"/>
  <c r="AE5" i="163"/>
  <c r="AC5" i="163" s="1"/>
  <c r="EX5" i="163" s="1"/>
  <c r="AA5" i="163"/>
  <c r="Y5" i="163"/>
  <c r="FM5" i="163" s="1"/>
  <c r="W5" i="163"/>
  <c r="FK5" i="163" s="1"/>
  <c r="U5" i="163"/>
  <c r="S5" i="163"/>
  <c r="Q5" i="163"/>
  <c r="O5" i="163"/>
  <c r="M5" i="163"/>
  <c r="K5" i="163"/>
  <c r="I5" i="163"/>
  <c r="G5" i="163"/>
  <c r="FI5" i="163" s="1"/>
  <c r="GB4" i="163"/>
  <c r="GA4" i="163"/>
  <c r="FZ4" i="163"/>
  <c r="FY4" i="163"/>
  <c r="FX4" i="163"/>
  <c r="FW4" i="163"/>
  <c r="FV4" i="163"/>
  <c r="FS4" i="163"/>
  <c r="FQ4" i="163"/>
  <c r="FO4" i="163"/>
  <c r="FF4" i="163"/>
  <c r="DQ4" i="163"/>
  <c r="DP4" i="163"/>
  <c r="DO4" i="163"/>
  <c r="CK4" i="163"/>
  <c r="BM4" i="163"/>
  <c r="BK4" i="163"/>
  <c r="BI4" i="163"/>
  <c r="E4" i="163" s="1"/>
  <c r="AK4" i="163"/>
  <c r="AI4" i="163"/>
  <c r="G4" i="163" s="1"/>
  <c r="FI4" i="163" s="1"/>
  <c r="AG4" i="163"/>
  <c r="AE4" i="163"/>
  <c r="AC4" i="163" s="1"/>
  <c r="EX4" i="163" s="1"/>
  <c r="AA4" i="163"/>
  <c r="Y4" i="163"/>
  <c r="W4" i="163"/>
  <c r="FK4" i="163" s="1"/>
  <c r="U4" i="163"/>
  <c r="S4" i="163"/>
  <c r="Q4" i="163"/>
  <c r="O4" i="163"/>
  <c r="M4" i="163"/>
  <c r="K4" i="163"/>
  <c r="E38" i="165" l="1"/>
  <c r="DW17" i="165" s="1"/>
  <c r="E37" i="165"/>
  <c r="DW16" i="165" s="1"/>
  <c r="EI16" i="165" s="1"/>
  <c r="E32" i="165"/>
  <c r="E30" i="165"/>
  <c r="DL9" i="165" s="1"/>
  <c r="E42" i="165"/>
  <c r="E29" i="165"/>
  <c r="DW8" i="165" s="1"/>
  <c r="EI8" i="165" s="1"/>
  <c r="DH5" i="165"/>
  <c r="EP20" i="165"/>
  <c r="EQ20" i="165" s="1"/>
  <c r="E35" i="165"/>
  <c r="DW14" i="165" s="1"/>
  <c r="EI14" i="165" s="1"/>
  <c r="GL13" i="165"/>
  <c r="E48" i="165"/>
  <c r="E43" i="165"/>
  <c r="EN7" i="165" s="1"/>
  <c r="E51" i="165"/>
  <c r="E39" i="165"/>
  <c r="DW18" i="165" s="1"/>
  <c r="E41" i="165"/>
  <c r="DZ20" i="165" s="1"/>
  <c r="E49" i="165"/>
  <c r="FA22" i="165"/>
  <c r="DA22" i="165" s="1"/>
  <c r="GG22" i="165" s="1"/>
  <c r="G51" i="165"/>
  <c r="DG22" i="165"/>
  <c r="CX22" i="165" s="1"/>
  <c r="GD22" i="165" s="1"/>
  <c r="G46" i="165"/>
  <c r="EN10" i="165" s="1"/>
  <c r="G41" i="165"/>
  <c r="G40" i="165"/>
  <c r="FI22" i="165"/>
  <c r="G49" i="165"/>
  <c r="G42" i="165"/>
  <c r="EN6" i="165" s="1"/>
  <c r="G48" i="165"/>
  <c r="FG22" i="165"/>
  <c r="EZ22" i="165"/>
  <c r="EZ49" i="165" s="1"/>
  <c r="E40" i="165"/>
  <c r="EZ21" i="165"/>
  <c r="DH4" i="165"/>
  <c r="CN49" i="165"/>
  <c r="EB13" i="165" s="1"/>
  <c r="EE13" i="165" s="1"/>
  <c r="EP19" i="165"/>
  <c r="EQ19" i="165" s="1"/>
  <c r="GM14" i="165"/>
  <c r="GN14" i="165" s="1"/>
  <c r="DH6" i="165"/>
  <c r="CN42" i="165"/>
  <c r="EB6" i="165" s="1"/>
  <c r="EE6" i="165" s="1"/>
  <c r="CV51" i="165"/>
  <c r="CV49" i="165"/>
  <c r="CV46" i="165"/>
  <c r="ET10" i="165" s="1"/>
  <c r="CV41" i="165"/>
  <c r="CV42" i="165"/>
  <c r="ET6" i="165" s="1"/>
  <c r="CV48" i="165"/>
  <c r="CV40" i="165"/>
  <c r="CV43" i="165"/>
  <c r="GC22" i="165"/>
  <c r="CN46" i="165"/>
  <c r="EB10" i="165" s="1"/>
  <c r="EE10" i="165" s="1"/>
  <c r="CN48" i="165"/>
  <c r="EB12" i="165" s="1"/>
  <c r="EE12" i="165" s="1"/>
  <c r="FU22" i="165"/>
  <c r="CN43" i="165"/>
  <c r="EB7" i="165" s="1"/>
  <c r="EE7" i="165" s="1"/>
  <c r="CN51" i="165"/>
  <c r="EB15" i="165" s="1"/>
  <c r="EE15" i="165" s="1"/>
  <c r="CN41" i="165"/>
  <c r="EB5" i="165" s="1"/>
  <c r="EE5" i="165" s="1"/>
  <c r="EN11" i="165"/>
  <c r="CN53" i="165"/>
  <c r="EB17" i="165" s="1"/>
  <c r="EE17" i="165" s="1"/>
  <c r="CN44" i="165"/>
  <c r="EB8" i="165" s="1"/>
  <c r="EE8" i="165" s="1"/>
  <c r="CN52" i="165"/>
  <c r="EB16" i="165" s="1"/>
  <c r="EE16" i="165" s="1"/>
  <c r="CN50" i="165"/>
  <c r="EB14" i="165" s="1"/>
  <c r="EE14" i="165" s="1"/>
  <c r="CN54" i="165"/>
  <c r="EB18" i="165" s="1"/>
  <c r="EE18" i="165" s="1"/>
  <c r="CN45" i="165"/>
  <c r="EB9" i="165" s="1"/>
  <c r="EE9" i="165" s="1"/>
  <c r="EY54" i="165"/>
  <c r="EY50" i="165"/>
  <c r="I54" i="165"/>
  <c r="I50" i="165"/>
  <c r="AC54" i="165"/>
  <c r="AC50" i="165"/>
  <c r="G54" i="165"/>
  <c r="EN18" i="165" s="1"/>
  <c r="EL18" i="165" s="1"/>
  <c r="G50" i="165"/>
  <c r="EN14" i="165" s="1"/>
  <c r="EY52" i="165"/>
  <c r="GL18" i="165" s="1"/>
  <c r="EY53" i="165"/>
  <c r="I52" i="165"/>
  <c r="I53" i="165"/>
  <c r="AC52" i="165"/>
  <c r="AC53" i="165"/>
  <c r="G52" i="165"/>
  <c r="EN16" i="165" s="1"/>
  <c r="G53" i="165"/>
  <c r="AC44" i="165"/>
  <c r="AC45" i="165"/>
  <c r="I44" i="165"/>
  <c r="I45" i="165"/>
  <c r="EY44" i="165"/>
  <c r="EY45" i="165"/>
  <c r="G44" i="165"/>
  <c r="EN8" i="165" s="1"/>
  <c r="G45" i="165"/>
  <c r="EN9" i="165" s="1"/>
  <c r="DV6" i="165"/>
  <c r="EI6" i="165"/>
  <c r="FN23" i="165"/>
  <c r="EM8" i="165"/>
  <c r="EM11" i="165"/>
  <c r="EZ23" i="165"/>
  <c r="EM6" i="165"/>
  <c r="EM14" i="165"/>
  <c r="EM16" i="165"/>
  <c r="DV13" i="165"/>
  <c r="DV5" i="165"/>
  <c r="EI5" i="165"/>
  <c r="EE11" i="165"/>
  <c r="DV16" i="165"/>
  <c r="DL17" i="165"/>
  <c r="G38" i="165"/>
  <c r="GM10" i="165" s="1"/>
  <c r="G39" i="165"/>
  <c r="G37" i="165"/>
  <c r="G36" i="165"/>
  <c r="GM9" i="165" s="1"/>
  <c r="G32" i="165"/>
  <c r="GM7" i="165" s="1"/>
  <c r="G34" i="165"/>
  <c r="GM8" i="165" s="1"/>
  <c r="G29" i="165"/>
  <c r="G27" i="165"/>
  <c r="FI23" i="165"/>
  <c r="FJ23" i="165" s="1"/>
  <c r="G33" i="165"/>
  <c r="G31" i="165"/>
  <c r="G30" i="165"/>
  <c r="G35" i="165"/>
  <c r="G28" i="165"/>
  <c r="GM5" i="165" s="1"/>
  <c r="G26" i="165"/>
  <c r="GM4" i="165" s="1"/>
  <c r="G25" i="165"/>
  <c r="DL6" i="165"/>
  <c r="DL10" i="165"/>
  <c r="DL12" i="165"/>
  <c r="EM15" i="165"/>
  <c r="GM11" i="165"/>
  <c r="GN11" i="165" s="1"/>
  <c r="GO11" i="165" s="1"/>
  <c r="DI18" i="165"/>
  <c r="EI7" i="165"/>
  <c r="DV7" i="165"/>
  <c r="CV23" i="165"/>
  <c r="CV47" i="165" s="1"/>
  <c r="ET11" i="165" s="1"/>
  <c r="AC39" i="165"/>
  <c r="AC35" i="165"/>
  <c r="AC34" i="165"/>
  <c r="AC33" i="165"/>
  <c r="AC37" i="165"/>
  <c r="AC32" i="165"/>
  <c r="AC31" i="165"/>
  <c r="AC30" i="165"/>
  <c r="AC29" i="165"/>
  <c r="AC28" i="165"/>
  <c r="AC27" i="165"/>
  <c r="AC38" i="165"/>
  <c r="AC36" i="165"/>
  <c r="AC26" i="165"/>
  <c r="AC25" i="165"/>
  <c r="CY31" i="165"/>
  <c r="FI21" i="165"/>
  <c r="FJ21" i="165" s="1"/>
  <c r="EM9" i="165"/>
  <c r="DL11" i="165"/>
  <c r="EM7" i="165"/>
  <c r="FA21" i="165"/>
  <c r="DA21" i="165" s="1"/>
  <c r="GG21" i="165" s="1"/>
  <c r="EE20" i="165"/>
  <c r="EE4" i="165"/>
  <c r="EM13" i="165"/>
  <c r="DV4" i="165"/>
  <c r="EI4" i="165"/>
  <c r="EI15" i="165"/>
  <c r="DL4" i="165"/>
  <c r="DL7" i="165"/>
  <c r="DL16" i="165"/>
  <c r="DL13" i="165"/>
  <c r="EM10" i="165"/>
  <c r="DW12" i="165"/>
  <c r="GC17" i="165"/>
  <c r="EI17" i="165"/>
  <c r="DV17" i="165"/>
  <c r="EE19" i="165"/>
  <c r="CZ31" i="165"/>
  <c r="FU21" i="165"/>
  <c r="I37" i="165"/>
  <c r="I39" i="165"/>
  <c r="I36" i="165"/>
  <c r="I38" i="165"/>
  <c r="I34" i="165"/>
  <c r="I35" i="165"/>
  <c r="I33" i="165"/>
  <c r="I31" i="165"/>
  <c r="I30" i="165"/>
  <c r="I28" i="165"/>
  <c r="I26" i="165"/>
  <c r="I25" i="165"/>
  <c r="I32" i="165"/>
  <c r="I29" i="165"/>
  <c r="I27" i="165"/>
  <c r="CV21" i="165"/>
  <c r="GC21" i="165" s="1"/>
  <c r="EM5" i="165"/>
  <c r="DW11" i="165"/>
  <c r="EM17" i="165"/>
  <c r="DG21" i="165"/>
  <c r="CX21" i="165" s="1"/>
  <c r="GD21" i="165" s="1"/>
  <c r="EY37" i="165"/>
  <c r="EY38" i="165"/>
  <c r="GL10" i="165" s="1"/>
  <c r="EY36" i="165"/>
  <c r="GL9" i="165" s="1"/>
  <c r="EY39" i="165"/>
  <c r="EY35" i="165"/>
  <c r="DZ14" i="165" s="1"/>
  <c r="EY34" i="165"/>
  <c r="GL8" i="165" s="1"/>
  <c r="EY32" i="165"/>
  <c r="GL7" i="165" s="1"/>
  <c r="EY31" i="165"/>
  <c r="DZ10" i="165" s="1"/>
  <c r="EY29" i="165"/>
  <c r="EY28" i="165"/>
  <c r="GL5" i="165" s="1"/>
  <c r="EY27" i="165"/>
  <c r="DZ6" i="165" s="1"/>
  <c r="EY33" i="165"/>
  <c r="DZ12" i="165" s="1"/>
  <c r="EY30" i="165"/>
  <c r="GL6" i="165" s="1"/>
  <c r="EY26" i="165"/>
  <c r="GL4" i="165" s="1"/>
  <c r="EY25" i="165"/>
  <c r="DZ4" i="165" s="1"/>
  <c r="FA23" i="165"/>
  <c r="DA23" i="165" s="1"/>
  <c r="GG23" i="165" s="1"/>
  <c r="EM12" i="165"/>
  <c r="DV15" i="165"/>
  <c r="DG23" i="165"/>
  <c r="CX23" i="165" s="1"/>
  <c r="GD23" i="165" s="1"/>
  <c r="DL5" i="165"/>
  <c r="DL15" i="165"/>
  <c r="DL14" i="165"/>
  <c r="EM4" i="165"/>
  <c r="DW10" i="165"/>
  <c r="CN36" i="165"/>
  <c r="CN38" i="165"/>
  <c r="CN39" i="165"/>
  <c r="CN35" i="165"/>
  <c r="CN33" i="165"/>
  <c r="CN34" i="165"/>
  <c r="CN32" i="165"/>
  <c r="CN31" i="165"/>
  <c r="CN30" i="165"/>
  <c r="CN37" i="165"/>
  <c r="CN29" i="165"/>
  <c r="CN28" i="165"/>
  <c r="CN27" i="165"/>
  <c r="CN26" i="165"/>
  <c r="CN25" i="165"/>
  <c r="FU23" i="165"/>
  <c r="AE22" i="164"/>
  <c r="CS25" i="164"/>
  <c r="AC7" i="164"/>
  <c r="EX7" i="164" s="1"/>
  <c r="AC13" i="164"/>
  <c r="EX13" i="164" s="1"/>
  <c r="AC18" i="164"/>
  <c r="EX18" i="164" s="1"/>
  <c r="AC6" i="164"/>
  <c r="AC9" i="164"/>
  <c r="EX9" i="164" s="1"/>
  <c r="CQ31" i="164"/>
  <c r="FT4" i="164"/>
  <c r="CN16" i="164"/>
  <c r="FU16" i="164" s="1"/>
  <c r="FT16" i="164"/>
  <c r="DH23" i="164"/>
  <c r="CZ23" i="164" s="1"/>
  <c r="GF23" i="164" s="1"/>
  <c r="FS23" i="164"/>
  <c r="O22" i="164"/>
  <c r="E6" i="164"/>
  <c r="G7" i="164"/>
  <c r="FI7" i="164" s="1"/>
  <c r="E8" i="164"/>
  <c r="E9" i="164"/>
  <c r="I10" i="164"/>
  <c r="I11" i="164"/>
  <c r="E13" i="164"/>
  <c r="G14" i="164"/>
  <c r="I15" i="164"/>
  <c r="I4" i="164"/>
  <c r="K22" i="164"/>
  <c r="S22" i="164"/>
  <c r="AA22" i="164"/>
  <c r="G6" i="164"/>
  <c r="I7" i="164"/>
  <c r="G8" i="164"/>
  <c r="G9" i="164"/>
  <c r="FN10" i="164"/>
  <c r="G12" i="164"/>
  <c r="I16" i="164"/>
  <c r="M22" i="164"/>
  <c r="U22" i="164"/>
  <c r="I22" i="164"/>
  <c r="FN7" i="164"/>
  <c r="DE10" i="164"/>
  <c r="DE15" i="164"/>
  <c r="G18" i="164"/>
  <c r="G22" i="164" s="1"/>
  <c r="FI8" i="164"/>
  <c r="FN14" i="164"/>
  <c r="FN18" i="164"/>
  <c r="W22" i="164"/>
  <c r="FN6" i="164"/>
  <c r="FN8" i="164"/>
  <c r="FN12" i="164"/>
  <c r="FN15" i="164"/>
  <c r="DF17" i="164"/>
  <c r="FK17" i="164"/>
  <c r="FN17" i="164" s="1"/>
  <c r="DG18" i="164"/>
  <c r="Y22" i="164"/>
  <c r="FJ7" i="164"/>
  <c r="AI22" i="164"/>
  <c r="FK5" i="164"/>
  <c r="E22" i="164"/>
  <c r="AK22" i="164"/>
  <c r="DD4" i="164"/>
  <c r="DD17" i="164"/>
  <c r="DD18" i="164"/>
  <c r="FT22" i="164"/>
  <c r="AM31" i="164"/>
  <c r="BC31" i="164"/>
  <c r="BS31" i="164"/>
  <c r="CI31" i="164"/>
  <c r="FV23" i="164"/>
  <c r="FZ23" i="164"/>
  <c r="EY10" i="163"/>
  <c r="EF10" i="163" s="1"/>
  <c r="DY10" i="163"/>
  <c r="AC22" i="163"/>
  <c r="AC49" i="163" s="1"/>
  <c r="AC11" i="163"/>
  <c r="EX11" i="163" s="1"/>
  <c r="EF11" i="163" s="1"/>
  <c r="AE22" i="163"/>
  <c r="FT10" i="163"/>
  <c r="CN17" i="163"/>
  <c r="FU17" i="163" s="1"/>
  <c r="CN13" i="163"/>
  <c r="FU13" i="163" s="1"/>
  <c r="CK22" i="163"/>
  <c r="FT22" i="163" s="1"/>
  <c r="BK22" i="163"/>
  <c r="I13" i="163"/>
  <c r="I17" i="163"/>
  <c r="E6" i="163"/>
  <c r="I11" i="163"/>
  <c r="K22" i="163"/>
  <c r="S22" i="163"/>
  <c r="AA22" i="163"/>
  <c r="G6" i="163"/>
  <c r="E9" i="163"/>
  <c r="G10" i="163"/>
  <c r="DF11" i="163"/>
  <c r="G12" i="163"/>
  <c r="FI12" i="163" s="1"/>
  <c r="I14" i="163"/>
  <c r="G16" i="163"/>
  <c r="E10" i="163"/>
  <c r="FN5" i="163"/>
  <c r="E5" i="163"/>
  <c r="M22" i="163"/>
  <c r="U22" i="163"/>
  <c r="I6" i="163"/>
  <c r="I22" i="163" s="1"/>
  <c r="Q22" i="163"/>
  <c r="I12" i="163"/>
  <c r="FN13" i="163"/>
  <c r="AG22" i="163"/>
  <c r="FK11" i="163"/>
  <c r="FK15" i="163"/>
  <c r="FN15" i="163" s="1"/>
  <c r="DG16" i="163"/>
  <c r="AI22" i="163"/>
  <c r="Y22" i="163"/>
  <c r="FK6" i="163"/>
  <c r="FN6" i="163" s="1"/>
  <c r="FK14" i="163"/>
  <c r="AK22" i="163"/>
  <c r="FN7" i="163"/>
  <c r="FN9" i="163"/>
  <c r="DF10" i="163"/>
  <c r="E13" i="163"/>
  <c r="DG13" i="163" s="1"/>
  <c r="I15" i="163"/>
  <c r="FN17" i="163"/>
  <c r="W22" i="163"/>
  <c r="DD5" i="163"/>
  <c r="DD11" i="163"/>
  <c r="DD14" i="163"/>
  <c r="DD15" i="163"/>
  <c r="DD16" i="163"/>
  <c r="DD17" i="163"/>
  <c r="DD6" i="163"/>
  <c r="DD8" i="163"/>
  <c r="DD4" i="163"/>
  <c r="DD12" i="163"/>
  <c r="DD13" i="163"/>
  <c r="FR22" i="163"/>
  <c r="FI5" i="164"/>
  <c r="DY11" i="164"/>
  <c r="EF11" i="164"/>
  <c r="DY15" i="164"/>
  <c r="EF15" i="164"/>
  <c r="EF5" i="164"/>
  <c r="DY5" i="164"/>
  <c r="DT9" i="164"/>
  <c r="DE9" i="164"/>
  <c r="FG9" i="164"/>
  <c r="DG9" i="164"/>
  <c r="CV9" i="164"/>
  <c r="GC9" i="164" s="1"/>
  <c r="FI9" i="164"/>
  <c r="DY7" i="164"/>
  <c r="EF7" i="164"/>
  <c r="DE8" i="164"/>
  <c r="FG8" i="164"/>
  <c r="FJ8" i="164" s="1"/>
  <c r="DG8" i="164"/>
  <c r="DY10" i="164"/>
  <c r="EF10" i="164"/>
  <c r="DT5" i="164"/>
  <c r="DE5" i="164"/>
  <c r="FG5" i="164"/>
  <c r="FJ5" i="164" s="1"/>
  <c r="DG5" i="164"/>
  <c r="CV5" i="164"/>
  <c r="GC5" i="164" s="1"/>
  <c r="FN5" i="164"/>
  <c r="FI6" i="164"/>
  <c r="EF9" i="164"/>
  <c r="DY9" i="164"/>
  <c r="O23" i="164"/>
  <c r="O21" i="164"/>
  <c r="W23" i="164"/>
  <c r="W21" i="164"/>
  <c r="FK21" i="164" s="1"/>
  <c r="AE23" i="164"/>
  <c r="AE21" i="164"/>
  <c r="BI21" i="164"/>
  <c r="BI23" i="164"/>
  <c r="DF4" i="164"/>
  <c r="EY4" i="164"/>
  <c r="FO23" i="164"/>
  <c r="FO21" i="164"/>
  <c r="FG6" i="164"/>
  <c r="FJ6" i="164" s="1"/>
  <c r="DE7" i="164"/>
  <c r="DF8" i="164"/>
  <c r="EY8" i="164"/>
  <c r="DY8" i="164" s="1"/>
  <c r="FT10" i="164"/>
  <c r="CN10" i="164"/>
  <c r="FU10" i="164" s="1"/>
  <c r="FI16" i="164"/>
  <c r="FK16" i="164"/>
  <c r="FN16" i="164" s="1"/>
  <c r="CV16" i="164"/>
  <c r="GC16" i="164" s="1"/>
  <c r="DE16" i="164"/>
  <c r="FG16" i="164"/>
  <c r="DG16" i="164"/>
  <c r="DY18" i="164"/>
  <c r="EF18" i="164"/>
  <c r="Y23" i="164"/>
  <c r="Y21" i="164"/>
  <c r="FM21" i="164" s="1"/>
  <c r="FQ23" i="164"/>
  <c r="FQ21" i="164"/>
  <c r="FU4" i="164"/>
  <c r="DE6" i="164"/>
  <c r="CN7" i="164"/>
  <c r="FU7" i="164" s="1"/>
  <c r="DF7" i="164"/>
  <c r="DT7" i="164"/>
  <c r="CV8" i="164"/>
  <c r="GC8" i="164" s="1"/>
  <c r="FT11" i="164"/>
  <c r="FI12" i="164"/>
  <c r="E12" i="164"/>
  <c r="CV12" i="164" s="1"/>
  <c r="GC12" i="164" s="1"/>
  <c r="DF12" i="164"/>
  <c r="G13" i="164"/>
  <c r="DT13" i="164" s="1"/>
  <c r="FG13" i="164"/>
  <c r="DG14" i="164"/>
  <c r="DT14" i="164"/>
  <c r="DE14" i="164"/>
  <c r="FT15" i="164"/>
  <c r="CN15" i="164"/>
  <c r="FU15" i="164" s="1"/>
  <c r="Q23" i="164"/>
  <c r="Q21" i="164"/>
  <c r="BK23" i="164"/>
  <c r="BK21" i="164"/>
  <c r="K23" i="164"/>
  <c r="K21" i="164"/>
  <c r="S23" i="164"/>
  <c r="S21" i="164"/>
  <c r="AA23" i="164"/>
  <c r="AA21" i="164"/>
  <c r="AI23" i="164"/>
  <c r="AI21" i="164"/>
  <c r="BM23" i="164"/>
  <c r="BM21" i="164"/>
  <c r="FM4" i="164"/>
  <c r="FR4" i="164"/>
  <c r="CN6" i="164"/>
  <c r="FU6" i="164" s="1"/>
  <c r="DF6" i="164"/>
  <c r="CV7" i="164"/>
  <c r="GC7" i="164" s="1"/>
  <c r="DG7" i="164"/>
  <c r="DG10" i="164"/>
  <c r="DT10" i="164"/>
  <c r="FG11" i="164"/>
  <c r="FJ11" i="164" s="1"/>
  <c r="DG11" i="164"/>
  <c r="FK11" i="164"/>
  <c r="FN11" i="164" s="1"/>
  <c r="CV11" i="164"/>
  <c r="GC11" i="164" s="1"/>
  <c r="DE11" i="164"/>
  <c r="FN13" i="164"/>
  <c r="FI14" i="164"/>
  <c r="FG15" i="164"/>
  <c r="FJ15" i="164" s="1"/>
  <c r="DG15" i="164"/>
  <c r="DT15" i="164"/>
  <c r="DF16" i="164"/>
  <c r="FG17" i="164"/>
  <c r="AG23" i="164"/>
  <c r="AG21" i="164"/>
  <c r="FK4" i="164"/>
  <c r="FN4" i="164" s="1"/>
  <c r="E4" i="164"/>
  <c r="M21" i="164"/>
  <c r="M23" i="164"/>
  <c r="U21" i="164"/>
  <c r="U23" i="164"/>
  <c r="AC4" i="164"/>
  <c r="AK21" i="164"/>
  <c r="AK23" i="164"/>
  <c r="CK23" i="164"/>
  <c r="CK54" i="164" s="1"/>
  <c r="CK21" i="164"/>
  <c r="FT21" i="164" s="1"/>
  <c r="FI4" i="164"/>
  <c r="CN5" i="164"/>
  <c r="FU5" i="164" s="1"/>
  <c r="CN9" i="164"/>
  <c r="FU9" i="164" s="1"/>
  <c r="DF9" i="164"/>
  <c r="FG10" i="164"/>
  <c r="FJ10" i="164" s="1"/>
  <c r="DF11" i="164"/>
  <c r="DT11" i="164"/>
  <c r="EY12" i="164"/>
  <c r="EF12" i="164" s="1"/>
  <c r="FR12" i="164"/>
  <c r="DF13" i="164"/>
  <c r="CV13" i="164"/>
  <c r="GC13" i="164" s="1"/>
  <c r="DG13" i="164"/>
  <c r="DY14" i="164"/>
  <c r="EF14" i="164"/>
  <c r="I14" i="164"/>
  <c r="I23" i="164" s="1"/>
  <c r="FG14" i="164"/>
  <c r="FJ14" i="164" s="1"/>
  <c r="EF16" i="164"/>
  <c r="EY16" i="164"/>
  <c r="DY16" i="164" s="1"/>
  <c r="G17" i="164"/>
  <c r="DE17" i="164" s="1"/>
  <c r="FI18" i="164"/>
  <c r="FJ18" i="164" s="1"/>
  <c r="FS21" i="164"/>
  <c r="DH21" i="164"/>
  <c r="CZ21" i="164" s="1"/>
  <c r="GF21" i="164" s="1"/>
  <c r="O52" i="164"/>
  <c r="O51" i="164"/>
  <c r="O54" i="164"/>
  <c r="O50" i="164"/>
  <c r="O53" i="164"/>
  <c r="O49" i="164"/>
  <c r="O47" i="164"/>
  <c r="O45" i="164"/>
  <c r="O48" i="164"/>
  <c r="O46" i="164"/>
  <c r="O44" i="164"/>
  <c r="O43" i="164"/>
  <c r="O42" i="164"/>
  <c r="O41" i="164"/>
  <c r="O40" i="164"/>
  <c r="W52" i="164"/>
  <c r="W51" i="164"/>
  <c r="W54" i="164"/>
  <c r="W50" i="164"/>
  <c r="W53" i="164"/>
  <c r="W49" i="164"/>
  <c r="W48" i="164"/>
  <c r="W46" i="164"/>
  <c r="W47" i="164"/>
  <c r="W45" i="164"/>
  <c r="W44" i="164"/>
  <c r="W43" i="164"/>
  <c r="W42" i="164"/>
  <c r="W41" i="164"/>
  <c r="W40" i="164"/>
  <c r="FK22" i="164"/>
  <c r="AE52" i="164"/>
  <c r="AE51" i="164"/>
  <c r="AE54" i="164"/>
  <c r="AE50" i="164"/>
  <c r="AE53" i="164"/>
  <c r="AE49" i="164"/>
  <c r="AE47" i="164"/>
  <c r="AE45" i="164"/>
  <c r="AE48" i="164"/>
  <c r="AE46" i="164"/>
  <c r="AE44" i="164"/>
  <c r="AE43" i="164"/>
  <c r="AE42" i="164"/>
  <c r="AE41" i="164"/>
  <c r="AE40" i="164"/>
  <c r="AM52" i="164"/>
  <c r="AM51" i="164"/>
  <c r="AM54" i="164"/>
  <c r="AM50" i="164"/>
  <c r="AM53" i="164"/>
  <c r="AM49" i="164"/>
  <c r="AM48" i="164"/>
  <c r="AM46" i="164"/>
  <c r="AM47" i="164"/>
  <c r="AM45" i="164"/>
  <c r="AM44" i="164"/>
  <c r="AM43" i="164"/>
  <c r="AM42" i="164"/>
  <c r="AM41" i="164"/>
  <c r="AM40" i="164"/>
  <c r="AU52" i="164"/>
  <c r="AU51" i="164"/>
  <c r="AU54" i="164"/>
  <c r="AU50" i="164"/>
  <c r="AU53" i="164"/>
  <c r="AU49" i="164"/>
  <c r="AU48" i="164"/>
  <c r="AU47" i="164"/>
  <c r="AU45" i="164"/>
  <c r="AU46" i="164"/>
  <c r="AU44" i="164"/>
  <c r="AU43" i="164"/>
  <c r="AU42" i="164"/>
  <c r="AU41" i="164"/>
  <c r="AU40" i="164"/>
  <c r="BC52" i="164"/>
  <c r="BC51" i="164"/>
  <c r="BC54" i="164"/>
  <c r="BC50" i="164"/>
  <c r="BC53" i="164"/>
  <c r="BC49" i="164"/>
  <c r="BC48" i="164"/>
  <c r="BC46" i="164"/>
  <c r="BC47" i="164"/>
  <c r="BC45" i="164"/>
  <c r="BC44" i="164"/>
  <c r="BC43" i="164"/>
  <c r="BC42" i="164"/>
  <c r="BC41" i="164"/>
  <c r="BC40" i="164"/>
  <c r="BK51" i="164"/>
  <c r="BK54" i="164"/>
  <c r="BK50" i="164"/>
  <c r="BK53" i="164"/>
  <c r="BK52" i="164"/>
  <c r="BK49" i="164"/>
  <c r="BK48" i="164"/>
  <c r="BK47" i="164"/>
  <c r="BK45" i="164"/>
  <c r="BK46" i="164"/>
  <c r="BK44" i="164"/>
  <c r="BK43" i="164"/>
  <c r="BK42" i="164"/>
  <c r="BK41" i="164"/>
  <c r="BK40" i="164"/>
  <c r="BS51" i="164"/>
  <c r="BS54" i="164"/>
  <c r="BS50" i="164"/>
  <c r="BS53" i="164"/>
  <c r="BS52" i="164"/>
  <c r="BS49" i="164"/>
  <c r="BS48" i="164"/>
  <c r="BS46" i="164"/>
  <c r="BS47" i="164"/>
  <c r="BS45" i="164"/>
  <c r="BS44" i="164"/>
  <c r="BS43" i="164"/>
  <c r="BS42" i="164"/>
  <c r="BS41" i="164"/>
  <c r="BS40" i="164"/>
  <c r="CA51" i="164"/>
  <c r="CA54" i="164"/>
  <c r="CA50" i="164"/>
  <c r="CA53" i="164"/>
  <c r="CA52" i="164"/>
  <c r="CA49" i="164"/>
  <c r="CA48" i="164"/>
  <c r="CA47" i="164"/>
  <c r="CA45" i="164"/>
  <c r="CA46" i="164"/>
  <c r="CA44" i="164"/>
  <c r="CA43" i="164"/>
  <c r="CA42" i="164"/>
  <c r="CA41" i="164"/>
  <c r="CA40" i="164"/>
  <c r="CI51" i="164"/>
  <c r="CI54" i="164"/>
  <c r="CI50" i="164"/>
  <c r="CI53" i="164"/>
  <c r="CI52" i="164"/>
  <c r="CI49" i="164"/>
  <c r="CI48" i="164"/>
  <c r="CI46" i="164"/>
  <c r="CI47" i="164"/>
  <c r="CI45" i="164"/>
  <c r="CI44" i="164"/>
  <c r="CI43" i="164"/>
  <c r="CI42" i="164"/>
  <c r="CI41" i="164"/>
  <c r="CI40" i="164"/>
  <c r="CM51" i="164"/>
  <c r="CM54" i="164"/>
  <c r="CM50" i="164"/>
  <c r="CM53" i="164"/>
  <c r="CM52" i="164"/>
  <c r="CM49" i="164"/>
  <c r="CM48" i="164"/>
  <c r="CM47" i="164"/>
  <c r="CM45" i="164"/>
  <c r="CM46" i="164"/>
  <c r="CM44" i="164"/>
  <c r="CM43" i="164"/>
  <c r="CM42" i="164"/>
  <c r="CM41" i="164"/>
  <c r="CM40" i="164"/>
  <c r="DF15" i="164"/>
  <c r="DE18" i="164"/>
  <c r="DF10" i="164"/>
  <c r="CN14" i="164"/>
  <c r="FU14" i="164" s="1"/>
  <c r="DF14" i="164"/>
  <c r="CV15" i="164"/>
  <c r="AC17" i="164"/>
  <c r="EX17" i="164" s="1"/>
  <c r="CN18" i="164"/>
  <c r="FU18" i="164" s="1"/>
  <c r="DF18" i="164"/>
  <c r="DT18" i="164"/>
  <c r="FU19" i="164"/>
  <c r="CV10" i="164"/>
  <c r="CN13" i="164"/>
  <c r="FU13" i="164" s="1"/>
  <c r="CV14" i="164"/>
  <c r="GC14" i="164" s="1"/>
  <c r="CV18" i="164"/>
  <c r="CQ51" i="164"/>
  <c r="CQ54" i="164"/>
  <c r="CQ50" i="164"/>
  <c r="CQ53" i="164"/>
  <c r="CQ52" i="164"/>
  <c r="CQ49" i="164"/>
  <c r="CQ48" i="164"/>
  <c r="CQ46" i="164"/>
  <c r="CQ44" i="164"/>
  <c r="CQ47" i="164"/>
  <c r="CQ45" i="164"/>
  <c r="CQ43" i="164"/>
  <c r="CQ42" i="164"/>
  <c r="CQ41" i="164"/>
  <c r="CQ40" i="164"/>
  <c r="FX22" i="164"/>
  <c r="CU51" i="164"/>
  <c r="CU54" i="164"/>
  <c r="CU50" i="164"/>
  <c r="CU53" i="164"/>
  <c r="CU52" i="164"/>
  <c r="CU49" i="164"/>
  <c r="CU48" i="164"/>
  <c r="CU47" i="164"/>
  <c r="CU45" i="164"/>
  <c r="CU46" i="164"/>
  <c r="CU44" i="164"/>
  <c r="CU43" i="164"/>
  <c r="CU42" i="164"/>
  <c r="CU41" i="164"/>
  <c r="CU40" i="164"/>
  <c r="GB22" i="164"/>
  <c r="AS39" i="164"/>
  <c r="AS36" i="164"/>
  <c r="AS38" i="164"/>
  <c r="AS35" i="164"/>
  <c r="AS34" i="164"/>
  <c r="AS33" i="164"/>
  <c r="AS32" i="164"/>
  <c r="AS37" i="164"/>
  <c r="BA39" i="164"/>
  <c r="BA36" i="164"/>
  <c r="BA35" i="164"/>
  <c r="BA34" i="164"/>
  <c r="BA33" i="164"/>
  <c r="BA32" i="164"/>
  <c r="BA38" i="164"/>
  <c r="BA37" i="164"/>
  <c r="BQ39" i="164"/>
  <c r="BQ36" i="164"/>
  <c r="BQ35" i="164"/>
  <c r="BQ34" i="164"/>
  <c r="BQ33" i="164"/>
  <c r="BQ32" i="164"/>
  <c r="BQ38" i="164"/>
  <c r="BQ37" i="164"/>
  <c r="BY39" i="164"/>
  <c r="BY36" i="164"/>
  <c r="BY38" i="164"/>
  <c r="BY35" i="164"/>
  <c r="BY34" i="164"/>
  <c r="BY33" i="164"/>
  <c r="BY32" i="164"/>
  <c r="BY37" i="164"/>
  <c r="CG39" i="164"/>
  <c r="CG36" i="164"/>
  <c r="CG35" i="164"/>
  <c r="CG34" i="164"/>
  <c r="CG33" i="164"/>
  <c r="CG32" i="164"/>
  <c r="CG38" i="164"/>
  <c r="CG37" i="164"/>
  <c r="CL39" i="164"/>
  <c r="CL38" i="164"/>
  <c r="CL35" i="164"/>
  <c r="CL34" i="164"/>
  <c r="CL33" i="164"/>
  <c r="CL32" i="164"/>
  <c r="CL37" i="164"/>
  <c r="CL36" i="164"/>
  <c r="CP39" i="164"/>
  <c r="CP38" i="164"/>
  <c r="CP35" i="164"/>
  <c r="CP34" i="164"/>
  <c r="CP33" i="164"/>
  <c r="CP32" i="164"/>
  <c r="CP37" i="164"/>
  <c r="CP36" i="164"/>
  <c r="CT39" i="164"/>
  <c r="CT38" i="164"/>
  <c r="CT35" i="164"/>
  <c r="CT34" i="164"/>
  <c r="CT33" i="164"/>
  <c r="CT32" i="164"/>
  <c r="CT37" i="164"/>
  <c r="CT36" i="164"/>
  <c r="D25" i="164"/>
  <c r="AQ25" i="164"/>
  <c r="AY25" i="164"/>
  <c r="BG25" i="164"/>
  <c r="BO25" i="164"/>
  <c r="BW25" i="164"/>
  <c r="CE25" i="164"/>
  <c r="D26" i="164"/>
  <c r="AQ26" i="164"/>
  <c r="AY26" i="164"/>
  <c r="BG26" i="164"/>
  <c r="BO26" i="164"/>
  <c r="BW26" i="164"/>
  <c r="CE26" i="164"/>
  <c r="CO26" i="164"/>
  <c r="CS26" i="164"/>
  <c r="D27" i="164"/>
  <c r="AQ27" i="164"/>
  <c r="AY27" i="164"/>
  <c r="BG27" i="164"/>
  <c r="BO27" i="164"/>
  <c r="BW27" i="164"/>
  <c r="CE27" i="164"/>
  <c r="CO27" i="164"/>
  <c r="CS27" i="164"/>
  <c r="D28" i="164"/>
  <c r="AQ28" i="164"/>
  <c r="AY28" i="164"/>
  <c r="BG28" i="164"/>
  <c r="BO28" i="164"/>
  <c r="BW28" i="164"/>
  <c r="CE28" i="164"/>
  <c r="CO28" i="164"/>
  <c r="CS28" i="164"/>
  <c r="D29" i="164"/>
  <c r="AQ29" i="164"/>
  <c r="AY29" i="164"/>
  <c r="BG29" i="164"/>
  <c r="BO29" i="164"/>
  <c r="BW29" i="164"/>
  <c r="CE29" i="164"/>
  <c r="CO29" i="164"/>
  <c r="CS29" i="164"/>
  <c r="D30" i="164"/>
  <c r="AQ30" i="164"/>
  <c r="AY30" i="164"/>
  <c r="BG30" i="164"/>
  <c r="BO30" i="164"/>
  <c r="BW30" i="164"/>
  <c r="CE30" i="164"/>
  <c r="CO30" i="164"/>
  <c r="CS30" i="164"/>
  <c r="D31" i="164"/>
  <c r="AQ32" i="164"/>
  <c r="BG32" i="164"/>
  <c r="BW32" i="164"/>
  <c r="CS32" i="164"/>
  <c r="D33" i="164"/>
  <c r="AY33" i="164"/>
  <c r="BO33" i="164"/>
  <c r="CE33" i="164"/>
  <c r="CO33" i="164"/>
  <c r="I51" i="164"/>
  <c r="I54" i="164"/>
  <c r="I50" i="164"/>
  <c r="I53" i="164"/>
  <c r="I52" i="164"/>
  <c r="I49" i="164"/>
  <c r="I48" i="164"/>
  <c r="I46" i="164"/>
  <c r="I47" i="164"/>
  <c r="I45" i="164"/>
  <c r="I44" i="164"/>
  <c r="I43" i="164"/>
  <c r="I42" i="164"/>
  <c r="I41" i="164"/>
  <c r="I40" i="164"/>
  <c r="Q51" i="164"/>
  <c r="Q54" i="164"/>
  <c r="Q50" i="164"/>
  <c r="Q53" i="164"/>
  <c r="Q52" i="164"/>
  <c r="Q49" i="164"/>
  <c r="Q47" i="164"/>
  <c r="Q45" i="164"/>
  <c r="Q48" i="164"/>
  <c r="Q46" i="164"/>
  <c r="Q44" i="164"/>
  <c r="Q43" i="164"/>
  <c r="Q42" i="164"/>
  <c r="Q41" i="164"/>
  <c r="Q40" i="164"/>
  <c r="Y51" i="164"/>
  <c r="Y54" i="164"/>
  <c r="Y50" i="164"/>
  <c r="Y53" i="164"/>
  <c r="Y49" i="164"/>
  <c r="Y52" i="164"/>
  <c r="Y48" i="164"/>
  <c r="Y46" i="164"/>
  <c r="Y47" i="164"/>
  <c r="Y45" i="164"/>
  <c r="Y44" i="164"/>
  <c r="Y43" i="164"/>
  <c r="Y42" i="164"/>
  <c r="Y41" i="164"/>
  <c r="Y40" i="164"/>
  <c r="AG51" i="164"/>
  <c r="AG54" i="164"/>
  <c r="AG50" i="164"/>
  <c r="AG53" i="164"/>
  <c r="AG52" i="164"/>
  <c r="AG49" i="164"/>
  <c r="AG47" i="164"/>
  <c r="AG45" i="164"/>
  <c r="AG48" i="164"/>
  <c r="AG46" i="164"/>
  <c r="AG44" i="164"/>
  <c r="AG43" i="164"/>
  <c r="AG42" i="164"/>
  <c r="AG41" i="164"/>
  <c r="AG40" i="164"/>
  <c r="AO51" i="164"/>
  <c r="AO54" i="164"/>
  <c r="AO50" i="164"/>
  <c r="AO53" i="164"/>
  <c r="AO52" i="164"/>
  <c r="AO49" i="164"/>
  <c r="AO46" i="164"/>
  <c r="AO48" i="164"/>
  <c r="AO47" i="164"/>
  <c r="AO45" i="164"/>
  <c r="AO44" i="164"/>
  <c r="AO43" i="164"/>
  <c r="AO42" i="164"/>
  <c r="AO41" i="164"/>
  <c r="AO40" i="164"/>
  <c r="AW51" i="164"/>
  <c r="AW54" i="164"/>
  <c r="AW50" i="164"/>
  <c r="AW53" i="164"/>
  <c r="AW52" i="164"/>
  <c r="AW49" i="164"/>
  <c r="AW48" i="164"/>
  <c r="AW47" i="164"/>
  <c r="AW45" i="164"/>
  <c r="AW46" i="164"/>
  <c r="AW44" i="164"/>
  <c r="AW43" i="164"/>
  <c r="AW42" i="164"/>
  <c r="AW41" i="164"/>
  <c r="AW40" i="164"/>
  <c r="BE51" i="164"/>
  <c r="BE54" i="164"/>
  <c r="BE50" i="164"/>
  <c r="BE53" i="164"/>
  <c r="BE52" i="164"/>
  <c r="BE49" i="164"/>
  <c r="BE46" i="164"/>
  <c r="BE47" i="164"/>
  <c r="BE45" i="164"/>
  <c r="BE44" i="164"/>
  <c r="BE43" i="164"/>
  <c r="BE42" i="164"/>
  <c r="BE41" i="164"/>
  <c r="BE48" i="164"/>
  <c r="BE40" i="164"/>
  <c r="BM53" i="164"/>
  <c r="BM52" i="164"/>
  <c r="BM51" i="164"/>
  <c r="BM54" i="164"/>
  <c r="BM50" i="164"/>
  <c r="BM49" i="164"/>
  <c r="BM47" i="164"/>
  <c r="BM45" i="164"/>
  <c r="BM48" i="164"/>
  <c r="BM46" i="164"/>
  <c r="BM44" i="164"/>
  <c r="BM43" i="164"/>
  <c r="BM42" i="164"/>
  <c r="BM41" i="164"/>
  <c r="BM40" i="164"/>
  <c r="BU53" i="164"/>
  <c r="BU52" i="164"/>
  <c r="BU49" i="164"/>
  <c r="BU51" i="164"/>
  <c r="BU54" i="164"/>
  <c r="BU50" i="164"/>
  <c r="BU46" i="164"/>
  <c r="BU48" i="164"/>
  <c r="BU47" i="164"/>
  <c r="BU45" i="164"/>
  <c r="BU44" i="164"/>
  <c r="BU43" i="164"/>
  <c r="BU42" i="164"/>
  <c r="BU41" i="164"/>
  <c r="BU40" i="164"/>
  <c r="CC53" i="164"/>
  <c r="CC52" i="164"/>
  <c r="CC49" i="164"/>
  <c r="CC51" i="164"/>
  <c r="CC54" i="164"/>
  <c r="CC50" i="164"/>
  <c r="CC48" i="164"/>
  <c r="CC47" i="164"/>
  <c r="CC45" i="164"/>
  <c r="CC46" i="164"/>
  <c r="CC44" i="164"/>
  <c r="CC43" i="164"/>
  <c r="CC42" i="164"/>
  <c r="CC41" i="164"/>
  <c r="CC40" i="164"/>
  <c r="CJ54" i="164"/>
  <c r="CJ50" i="164"/>
  <c r="CJ53" i="164"/>
  <c r="CJ49" i="164"/>
  <c r="CJ52" i="164"/>
  <c r="CJ51" i="164"/>
  <c r="CJ48" i="164"/>
  <c r="CJ46" i="164"/>
  <c r="CJ47" i="164"/>
  <c r="CJ45" i="164"/>
  <c r="CJ44" i="164"/>
  <c r="CJ43" i="164"/>
  <c r="CJ42" i="164"/>
  <c r="CJ41" i="164"/>
  <c r="CJ40" i="164"/>
  <c r="CR54" i="164"/>
  <c r="CR50" i="164"/>
  <c r="CR53" i="164"/>
  <c r="CR49" i="164"/>
  <c r="CR52" i="164"/>
  <c r="CR51" i="164"/>
  <c r="CR48" i="164"/>
  <c r="CR46" i="164"/>
  <c r="CR44" i="164"/>
  <c r="CR47" i="164"/>
  <c r="CR45" i="164"/>
  <c r="CR43" i="164"/>
  <c r="CR42" i="164"/>
  <c r="CR41" i="164"/>
  <c r="CR40" i="164"/>
  <c r="AM39" i="164"/>
  <c r="AM38" i="164"/>
  <c r="AM35" i="164"/>
  <c r="AM34" i="164"/>
  <c r="AM33" i="164"/>
  <c r="AM32" i="164"/>
  <c r="AM37" i="164"/>
  <c r="AM36" i="164"/>
  <c r="AU39" i="164"/>
  <c r="AU38" i="164"/>
  <c r="AU35" i="164"/>
  <c r="AU34" i="164"/>
  <c r="AU33" i="164"/>
  <c r="AU32" i="164"/>
  <c r="AU37" i="164"/>
  <c r="AU36" i="164"/>
  <c r="BC39" i="164"/>
  <c r="BC38" i="164"/>
  <c r="BC35" i="164"/>
  <c r="BC34" i="164"/>
  <c r="BC33" i="164"/>
  <c r="BC32" i="164"/>
  <c r="BC37" i="164"/>
  <c r="BC36" i="164"/>
  <c r="BS38" i="164"/>
  <c r="BS34" i="164"/>
  <c r="BS33" i="164"/>
  <c r="BS32" i="164"/>
  <c r="BS37" i="164"/>
  <c r="BS39" i="164"/>
  <c r="BS36" i="164"/>
  <c r="BS35" i="164"/>
  <c r="CA38" i="164"/>
  <c r="CA39" i="164"/>
  <c r="CA34" i="164"/>
  <c r="CA33" i="164"/>
  <c r="CA32" i="164"/>
  <c r="CA37" i="164"/>
  <c r="CA36" i="164"/>
  <c r="CA35" i="164"/>
  <c r="CI38" i="164"/>
  <c r="CI34" i="164"/>
  <c r="CI33" i="164"/>
  <c r="CI32" i="164"/>
  <c r="CI37" i="164"/>
  <c r="CI39" i="164"/>
  <c r="CI36" i="164"/>
  <c r="CI35" i="164"/>
  <c r="CM38" i="164"/>
  <c r="CM39" i="164"/>
  <c r="CM34" i="164"/>
  <c r="CM33" i="164"/>
  <c r="CM32" i="164"/>
  <c r="CM37" i="164"/>
  <c r="CM36" i="164"/>
  <c r="CM35" i="164"/>
  <c r="CQ38" i="164"/>
  <c r="CQ34" i="164"/>
  <c r="CQ33" i="164"/>
  <c r="CQ32" i="164"/>
  <c r="CQ37" i="164"/>
  <c r="CQ39" i="164"/>
  <c r="GL11" i="164" s="1"/>
  <c r="CQ36" i="164"/>
  <c r="CQ35" i="164"/>
  <c r="CU38" i="164"/>
  <c r="CU39" i="164"/>
  <c r="CU34" i="164"/>
  <c r="CU33" i="164"/>
  <c r="CU32" i="164"/>
  <c r="CU37" i="164"/>
  <c r="CU36" i="164"/>
  <c r="CU35" i="164"/>
  <c r="FW23" i="164"/>
  <c r="GA23" i="164"/>
  <c r="AS25" i="164"/>
  <c r="BA25" i="164"/>
  <c r="BQ25" i="164"/>
  <c r="BY25" i="164"/>
  <c r="CG25" i="164"/>
  <c r="CL25" i="164"/>
  <c r="CP25" i="164"/>
  <c r="CT25" i="164"/>
  <c r="AS26" i="164"/>
  <c r="BA26" i="164"/>
  <c r="BQ26" i="164"/>
  <c r="BY26" i="164"/>
  <c r="CG26" i="164"/>
  <c r="CL26" i="164"/>
  <c r="CP26" i="164"/>
  <c r="CT26" i="164"/>
  <c r="AS27" i="164"/>
  <c r="BA27" i="164"/>
  <c r="BQ27" i="164"/>
  <c r="BY27" i="164"/>
  <c r="CG27" i="164"/>
  <c r="CL27" i="164"/>
  <c r="CP27" i="164"/>
  <c r="CT27" i="164"/>
  <c r="AS28" i="164"/>
  <c r="BA28" i="164"/>
  <c r="BQ28" i="164"/>
  <c r="BY28" i="164"/>
  <c r="CG28" i="164"/>
  <c r="CL28" i="164"/>
  <c r="CP28" i="164"/>
  <c r="CT28" i="164"/>
  <c r="AS29" i="164"/>
  <c r="BA29" i="164"/>
  <c r="BQ29" i="164"/>
  <c r="BY29" i="164"/>
  <c r="CG29" i="164"/>
  <c r="CL29" i="164"/>
  <c r="CP29" i="164"/>
  <c r="CT29" i="164"/>
  <c r="AS30" i="164"/>
  <c r="BA30" i="164"/>
  <c r="BQ30" i="164"/>
  <c r="BY30" i="164"/>
  <c r="CG30" i="164"/>
  <c r="CL30" i="164"/>
  <c r="CP30" i="164"/>
  <c r="CT30" i="164"/>
  <c r="AS31" i="164"/>
  <c r="BY31" i="164"/>
  <c r="CL31" i="164"/>
  <c r="CT31" i="164"/>
  <c r="D34" i="164"/>
  <c r="D54" i="164"/>
  <c r="D50" i="164"/>
  <c r="D53" i="164"/>
  <c r="D52" i="164"/>
  <c r="D49" i="164"/>
  <c r="D48" i="164"/>
  <c r="D47" i="164"/>
  <c r="D46" i="164"/>
  <c r="D45" i="164"/>
  <c r="D51" i="164"/>
  <c r="D44" i="164"/>
  <c r="D43" i="164"/>
  <c r="D42" i="164"/>
  <c r="D41" i="164"/>
  <c r="D40" i="164"/>
  <c r="K54" i="164"/>
  <c r="K50" i="164"/>
  <c r="K53" i="164"/>
  <c r="K52" i="164"/>
  <c r="K49" i="164"/>
  <c r="K48" i="164"/>
  <c r="K47" i="164"/>
  <c r="K46" i="164"/>
  <c r="K45" i="164"/>
  <c r="K51" i="164"/>
  <c r="K44" i="164"/>
  <c r="K43" i="164"/>
  <c r="K42" i="164"/>
  <c r="K41" i="164"/>
  <c r="K40" i="164"/>
  <c r="S54" i="164"/>
  <c r="S50" i="164"/>
  <c r="S53" i="164"/>
  <c r="S52" i="164"/>
  <c r="S51" i="164"/>
  <c r="S49" i="164"/>
  <c r="S48" i="164"/>
  <c r="S47" i="164"/>
  <c r="S46" i="164"/>
  <c r="S45" i="164"/>
  <c r="S44" i="164"/>
  <c r="S43" i="164"/>
  <c r="S42" i="164"/>
  <c r="S41" i="164"/>
  <c r="S40" i="164"/>
  <c r="AA54" i="164"/>
  <c r="AA50" i="164"/>
  <c r="AA53" i="164"/>
  <c r="AA52" i="164"/>
  <c r="AA51" i="164"/>
  <c r="AA49" i="164"/>
  <c r="AA48" i="164"/>
  <c r="AA47" i="164"/>
  <c r="AA46" i="164"/>
  <c r="AA45" i="164"/>
  <c r="AA44" i="164"/>
  <c r="AA43" i="164"/>
  <c r="AA42" i="164"/>
  <c r="AA41" i="164"/>
  <c r="AA40" i="164"/>
  <c r="AI54" i="164"/>
  <c r="AI50" i="164"/>
  <c r="AI53" i="164"/>
  <c r="AI52" i="164"/>
  <c r="AI49" i="164"/>
  <c r="AI48" i="164"/>
  <c r="AI47" i="164"/>
  <c r="AI46" i="164"/>
  <c r="AI45" i="164"/>
  <c r="AI51" i="164"/>
  <c r="AI44" i="164"/>
  <c r="AI43" i="164"/>
  <c r="AI42" i="164"/>
  <c r="AI41" i="164"/>
  <c r="AI40" i="164"/>
  <c r="AQ54" i="164"/>
  <c r="AQ50" i="164"/>
  <c r="AQ53" i="164"/>
  <c r="AQ52" i="164"/>
  <c r="AQ49" i="164"/>
  <c r="AQ48" i="164"/>
  <c r="AQ47" i="164"/>
  <c r="AQ46" i="164"/>
  <c r="AQ45" i="164"/>
  <c r="AQ51" i="164"/>
  <c r="AQ44" i="164"/>
  <c r="AQ43" i="164"/>
  <c r="AQ42" i="164"/>
  <c r="AQ41" i="164"/>
  <c r="AQ40" i="164"/>
  <c r="AY54" i="164"/>
  <c r="AY50" i="164"/>
  <c r="AY53" i="164"/>
  <c r="AY52" i="164"/>
  <c r="AY51" i="164"/>
  <c r="AY49" i="164"/>
  <c r="AY48" i="164"/>
  <c r="AY47" i="164"/>
  <c r="AY46" i="164"/>
  <c r="AY45" i="164"/>
  <c r="AY44" i="164"/>
  <c r="AY43" i="164"/>
  <c r="AY42" i="164"/>
  <c r="AY41" i="164"/>
  <c r="AY40" i="164"/>
  <c r="BG54" i="164"/>
  <c r="BG50" i="164"/>
  <c r="BG53" i="164"/>
  <c r="BG52" i="164"/>
  <c r="BG51" i="164"/>
  <c r="BG49" i="164"/>
  <c r="BG48" i="164"/>
  <c r="BG47" i="164"/>
  <c r="BG46" i="164"/>
  <c r="BG45" i="164"/>
  <c r="BG44" i="164"/>
  <c r="BG43" i="164"/>
  <c r="BG42" i="164"/>
  <c r="BG41" i="164"/>
  <c r="BG40" i="164"/>
  <c r="BO51" i="164"/>
  <c r="BO54" i="164"/>
  <c r="BO50" i="164"/>
  <c r="BO53" i="164"/>
  <c r="BO52" i="164"/>
  <c r="BO49" i="164"/>
  <c r="BO48" i="164"/>
  <c r="BO47" i="164"/>
  <c r="BO46" i="164"/>
  <c r="BO45" i="164"/>
  <c r="BO44" i="164"/>
  <c r="BO43" i="164"/>
  <c r="BO42" i="164"/>
  <c r="BO41" i="164"/>
  <c r="BO40" i="164"/>
  <c r="BW51" i="164"/>
  <c r="BW54" i="164"/>
  <c r="BW50" i="164"/>
  <c r="BW53" i="164"/>
  <c r="BW52" i="164"/>
  <c r="BW48" i="164"/>
  <c r="BW47" i="164"/>
  <c r="BW46" i="164"/>
  <c r="BW45" i="164"/>
  <c r="BW49" i="164"/>
  <c r="BW44" i="164"/>
  <c r="BW43" i="164"/>
  <c r="BW42" i="164"/>
  <c r="BW41" i="164"/>
  <c r="BW40" i="164"/>
  <c r="CE51" i="164"/>
  <c r="CE54" i="164"/>
  <c r="CE50" i="164"/>
  <c r="CE53" i="164"/>
  <c r="CE52" i="164"/>
  <c r="CE48" i="164"/>
  <c r="CE47" i="164"/>
  <c r="CE46" i="164"/>
  <c r="CE45" i="164"/>
  <c r="CE49" i="164"/>
  <c r="CE44" i="164"/>
  <c r="CE43" i="164"/>
  <c r="CE42" i="164"/>
  <c r="CE41" i="164"/>
  <c r="CE40" i="164"/>
  <c r="CK53" i="164"/>
  <c r="CK52" i="164"/>
  <c r="CK51" i="164"/>
  <c r="CK49" i="164"/>
  <c r="CK48" i="164"/>
  <c r="DH12" i="164" s="1"/>
  <c r="CK47" i="164"/>
  <c r="CK50" i="164"/>
  <c r="CK43" i="164"/>
  <c r="CK41" i="164"/>
  <c r="EM20" i="164" s="1"/>
  <c r="EL20" i="164" s="1"/>
  <c r="EO20" i="164" s="1"/>
  <c r="CK40" i="164"/>
  <c r="EM19" i="164" s="1"/>
  <c r="EL19" i="164" s="1"/>
  <c r="EO19" i="164" s="1"/>
  <c r="CO53" i="164"/>
  <c r="CO52" i="164"/>
  <c r="CO51" i="164"/>
  <c r="CO54" i="164"/>
  <c r="CO49" i="164"/>
  <c r="CO48" i="164"/>
  <c r="CO47" i="164"/>
  <c r="CO46" i="164"/>
  <c r="CO45" i="164"/>
  <c r="CO44" i="164"/>
  <c r="CO50" i="164"/>
  <c r="CO43" i="164"/>
  <c r="CO42" i="164"/>
  <c r="CO41" i="164"/>
  <c r="CO40" i="164"/>
  <c r="CS53" i="164"/>
  <c r="CS49" i="164"/>
  <c r="CS52" i="164"/>
  <c r="CS51" i="164"/>
  <c r="CS54" i="164"/>
  <c r="CS50" i="164"/>
  <c r="CS48" i="164"/>
  <c r="CS47" i="164"/>
  <c r="CS46" i="164"/>
  <c r="CS45" i="164"/>
  <c r="CS44" i="164"/>
  <c r="CS43" i="164"/>
  <c r="CS42" i="164"/>
  <c r="CS41" i="164"/>
  <c r="CS40" i="164"/>
  <c r="FF22" i="164"/>
  <c r="FY22" i="164"/>
  <c r="AO38" i="164"/>
  <c r="AO37" i="164"/>
  <c r="AO31" i="164"/>
  <c r="AO36" i="164"/>
  <c r="AO39" i="164"/>
  <c r="AO35" i="164"/>
  <c r="AO34" i="164"/>
  <c r="AW38" i="164"/>
  <c r="AW39" i="164"/>
  <c r="AW37" i="164"/>
  <c r="AW31" i="164"/>
  <c r="AW36" i="164"/>
  <c r="AW35" i="164"/>
  <c r="AW34" i="164"/>
  <c r="BE38" i="164"/>
  <c r="BE37" i="164"/>
  <c r="BE31" i="164"/>
  <c r="BE36" i="164"/>
  <c r="BE39" i="164"/>
  <c r="BE35" i="164"/>
  <c r="BE34" i="164"/>
  <c r="BU39" i="164"/>
  <c r="BU38" i="164"/>
  <c r="BU36" i="164"/>
  <c r="BU35" i="164"/>
  <c r="BU31" i="164"/>
  <c r="BU37" i="164"/>
  <c r="BU34" i="164"/>
  <c r="CC39" i="164"/>
  <c r="CC36" i="164"/>
  <c r="CC35" i="164"/>
  <c r="CC31" i="164"/>
  <c r="CC38" i="164"/>
  <c r="CC37" i="164"/>
  <c r="CC34" i="164"/>
  <c r="CJ37" i="164"/>
  <c r="CJ39" i="164"/>
  <c r="CJ38" i="164"/>
  <c r="CJ36" i="164"/>
  <c r="CJ31" i="164"/>
  <c r="CJ35" i="164"/>
  <c r="CJ34" i="164"/>
  <c r="CR37" i="164"/>
  <c r="CR39" i="164"/>
  <c r="CR38" i="164"/>
  <c r="CR36" i="164"/>
  <c r="CR31" i="164"/>
  <c r="CR35" i="164"/>
  <c r="CR34" i="164"/>
  <c r="FX23" i="164"/>
  <c r="GB23" i="164"/>
  <c r="AM25" i="164"/>
  <c r="AU25" i="164"/>
  <c r="BC25" i="164"/>
  <c r="BS25" i="164"/>
  <c r="CA25" i="164"/>
  <c r="CI25" i="164"/>
  <c r="CM25" i="164"/>
  <c r="CQ25" i="164"/>
  <c r="CU25" i="164"/>
  <c r="AM26" i="164"/>
  <c r="AU26" i="164"/>
  <c r="BC26" i="164"/>
  <c r="BS26" i="164"/>
  <c r="CA26" i="164"/>
  <c r="CI26" i="164"/>
  <c r="CM26" i="164"/>
  <c r="CQ26" i="164"/>
  <c r="CU26" i="164"/>
  <c r="AM27" i="164"/>
  <c r="AU27" i="164"/>
  <c r="BC27" i="164"/>
  <c r="BS27" i="164"/>
  <c r="CA27" i="164"/>
  <c r="CI27" i="164"/>
  <c r="CM27" i="164"/>
  <c r="CQ27" i="164"/>
  <c r="CU27" i="164"/>
  <c r="AM28" i="164"/>
  <c r="AU28" i="164"/>
  <c r="BC28" i="164"/>
  <c r="BS28" i="164"/>
  <c r="CA28" i="164"/>
  <c r="CI28" i="164"/>
  <c r="CM28" i="164"/>
  <c r="CQ28" i="164"/>
  <c r="CU28" i="164"/>
  <c r="AM29" i="164"/>
  <c r="AU29" i="164"/>
  <c r="BC29" i="164"/>
  <c r="BS29" i="164"/>
  <c r="CA29" i="164"/>
  <c r="CI29" i="164"/>
  <c r="CM29" i="164"/>
  <c r="CQ29" i="164"/>
  <c r="CU29" i="164"/>
  <c r="AM30" i="164"/>
  <c r="AU30" i="164"/>
  <c r="BC30" i="164"/>
  <c r="BS30" i="164"/>
  <c r="CA30" i="164"/>
  <c r="CI30" i="164"/>
  <c r="CM30" i="164"/>
  <c r="CQ30" i="164"/>
  <c r="CU30" i="164"/>
  <c r="AU31" i="164"/>
  <c r="CA31" i="164"/>
  <c r="CM31" i="164"/>
  <c r="CU31" i="164"/>
  <c r="E53" i="164"/>
  <c r="E51" i="164"/>
  <c r="E49" i="164"/>
  <c r="E48" i="164"/>
  <c r="E47" i="164"/>
  <c r="E50" i="164"/>
  <c r="E43" i="164"/>
  <c r="E41" i="164"/>
  <c r="E40" i="164"/>
  <c r="M53" i="164"/>
  <c r="DJ17" i="164" s="1"/>
  <c r="M52" i="164"/>
  <c r="DJ16" i="164" s="1"/>
  <c r="M51" i="164"/>
  <c r="DJ15" i="164" s="1"/>
  <c r="M54" i="164"/>
  <c r="DJ18" i="164" s="1"/>
  <c r="M49" i="164"/>
  <c r="DJ13" i="164" s="1"/>
  <c r="M48" i="164"/>
  <c r="DJ12" i="164" s="1"/>
  <c r="M47" i="164"/>
  <c r="DJ11" i="164" s="1"/>
  <c r="M46" i="164"/>
  <c r="DJ10" i="164" s="1"/>
  <c r="M45" i="164"/>
  <c r="DJ9" i="164" s="1"/>
  <c r="M50" i="164"/>
  <c r="DJ14" i="164" s="1"/>
  <c r="M44" i="164"/>
  <c r="DJ8" i="164" s="1"/>
  <c r="M43" i="164"/>
  <c r="DJ7" i="164" s="1"/>
  <c r="M42" i="164"/>
  <c r="DJ6" i="164" s="1"/>
  <c r="M41" i="164"/>
  <c r="DJ5" i="164" s="1"/>
  <c r="M40" i="164"/>
  <c r="DJ4" i="164" s="1"/>
  <c r="U53" i="164"/>
  <c r="U52" i="164"/>
  <c r="U51" i="164"/>
  <c r="U54" i="164"/>
  <c r="U50" i="164"/>
  <c r="U49" i="164"/>
  <c r="U48" i="164"/>
  <c r="U47" i="164"/>
  <c r="U46" i="164"/>
  <c r="U45" i="164"/>
  <c r="U44" i="164"/>
  <c r="U43" i="164"/>
  <c r="U42" i="164"/>
  <c r="U41" i="164"/>
  <c r="U40" i="164"/>
  <c r="AK53" i="164"/>
  <c r="AK52" i="164"/>
  <c r="AK51" i="164"/>
  <c r="AK54" i="164"/>
  <c r="AK49" i="164"/>
  <c r="AK48" i="164"/>
  <c r="AK47" i="164"/>
  <c r="AK46" i="164"/>
  <c r="AK45" i="164"/>
  <c r="AK50" i="164"/>
  <c r="AK44" i="164"/>
  <c r="AK43" i="164"/>
  <c r="AK42" i="164"/>
  <c r="AK41" i="164"/>
  <c r="AK40" i="164"/>
  <c r="AS53" i="164"/>
  <c r="AS52" i="164"/>
  <c r="AS51" i="164"/>
  <c r="AS54" i="164"/>
  <c r="AS49" i="164"/>
  <c r="AS48" i="164"/>
  <c r="AS47" i="164"/>
  <c r="AS46" i="164"/>
  <c r="AS45" i="164"/>
  <c r="AS50" i="164"/>
  <c r="AS44" i="164"/>
  <c r="AS43" i="164"/>
  <c r="AS42" i="164"/>
  <c r="AS41" i="164"/>
  <c r="AS40" i="164"/>
  <c r="BA53" i="164"/>
  <c r="BA52" i="164"/>
  <c r="BA51" i="164"/>
  <c r="BA54" i="164"/>
  <c r="BA50" i="164"/>
  <c r="BA49" i="164"/>
  <c r="BA48" i="164"/>
  <c r="BA47" i="164"/>
  <c r="BA46" i="164"/>
  <c r="BA45" i="164"/>
  <c r="BA44" i="164"/>
  <c r="BA43" i="164"/>
  <c r="BA42" i="164"/>
  <c r="BA41" i="164"/>
  <c r="BA40" i="164"/>
  <c r="BI53" i="164"/>
  <c r="BI52" i="164"/>
  <c r="BI51" i="164"/>
  <c r="BI54" i="164"/>
  <c r="BI49" i="164"/>
  <c r="BI48" i="164"/>
  <c r="BI47" i="164"/>
  <c r="BI46" i="164"/>
  <c r="BI45" i="164"/>
  <c r="BI50" i="164"/>
  <c r="BI44" i="164"/>
  <c r="BI43" i="164"/>
  <c r="BI42" i="164"/>
  <c r="BI41" i="164"/>
  <c r="BI40" i="164"/>
  <c r="BQ53" i="164"/>
  <c r="BQ52" i="164"/>
  <c r="BQ51" i="164"/>
  <c r="BQ54" i="164"/>
  <c r="BQ49" i="164"/>
  <c r="BQ48" i="164"/>
  <c r="BQ47" i="164"/>
  <c r="BQ46" i="164"/>
  <c r="BQ45" i="164"/>
  <c r="BQ50" i="164"/>
  <c r="BQ44" i="164"/>
  <c r="BQ43" i="164"/>
  <c r="BQ42" i="164"/>
  <c r="BQ41" i="164"/>
  <c r="BQ40" i="164"/>
  <c r="BY53" i="164"/>
  <c r="BY52" i="164"/>
  <c r="BY51" i="164"/>
  <c r="BY54" i="164"/>
  <c r="BY48" i="164"/>
  <c r="BY47" i="164"/>
  <c r="BY46" i="164"/>
  <c r="BY45" i="164"/>
  <c r="BY49" i="164"/>
  <c r="BY50" i="164"/>
  <c r="BY44" i="164"/>
  <c r="BY43" i="164"/>
  <c r="BY42" i="164"/>
  <c r="BY41" i="164"/>
  <c r="BY40" i="164"/>
  <c r="CG53" i="164"/>
  <c r="CG52" i="164"/>
  <c r="CG51" i="164"/>
  <c r="CG54" i="164"/>
  <c r="CG48" i="164"/>
  <c r="CG47" i="164"/>
  <c r="CG46" i="164"/>
  <c r="CG45" i="164"/>
  <c r="CG50" i="164"/>
  <c r="CG49" i="164"/>
  <c r="CG44" i="164"/>
  <c r="CG43" i="164"/>
  <c r="CG42" i="164"/>
  <c r="CG41" i="164"/>
  <c r="CG40" i="164"/>
  <c r="CL52" i="164"/>
  <c r="CL51" i="164"/>
  <c r="CL54" i="164"/>
  <c r="CL50" i="164"/>
  <c r="CL53" i="164"/>
  <c r="CL48" i="164"/>
  <c r="CL47" i="164"/>
  <c r="CL46" i="164"/>
  <c r="CL45" i="164"/>
  <c r="CL49" i="164"/>
  <c r="CL44" i="164"/>
  <c r="CL43" i="164"/>
  <c r="CL42" i="164"/>
  <c r="CL41" i="164"/>
  <c r="CL40" i="164"/>
  <c r="CP52" i="164"/>
  <c r="CP51" i="164"/>
  <c r="CP54" i="164"/>
  <c r="CP50" i="164"/>
  <c r="CP53" i="164"/>
  <c r="CP49" i="164"/>
  <c r="CP48" i="164"/>
  <c r="CP47" i="164"/>
  <c r="CP46" i="164"/>
  <c r="CP45" i="164"/>
  <c r="CP44" i="164"/>
  <c r="CP43" i="164"/>
  <c r="CP42" i="164"/>
  <c r="CP41" i="164"/>
  <c r="CP40" i="164"/>
  <c r="CT52" i="164"/>
  <c r="CT51" i="164"/>
  <c r="CT54" i="164"/>
  <c r="CT50" i="164"/>
  <c r="CT53" i="164"/>
  <c r="CT48" i="164"/>
  <c r="CT47" i="164"/>
  <c r="CT46" i="164"/>
  <c r="CT45" i="164"/>
  <c r="CT44" i="164"/>
  <c r="CT49" i="164"/>
  <c r="CT43" i="164"/>
  <c r="CT42" i="164"/>
  <c r="CT41" i="164"/>
  <c r="CT40" i="164"/>
  <c r="FG22" i="164"/>
  <c r="FM22" i="164"/>
  <c r="FV22" i="164"/>
  <c r="FZ22" i="164"/>
  <c r="D39" i="164"/>
  <c r="D37" i="164"/>
  <c r="D38" i="164"/>
  <c r="D36" i="164"/>
  <c r="D35" i="164"/>
  <c r="AQ37" i="164"/>
  <c r="AQ31" i="164"/>
  <c r="AQ36" i="164"/>
  <c r="AQ39" i="164"/>
  <c r="AQ38" i="164"/>
  <c r="AQ35" i="164"/>
  <c r="AQ34" i="164"/>
  <c r="AY39" i="164"/>
  <c r="AY38" i="164"/>
  <c r="AY37" i="164"/>
  <c r="AY31" i="164"/>
  <c r="AY36" i="164"/>
  <c r="AY35" i="164"/>
  <c r="AY34" i="164"/>
  <c r="BG37" i="164"/>
  <c r="BG31" i="164"/>
  <c r="BG36" i="164"/>
  <c r="BG39" i="164"/>
  <c r="BG38" i="164"/>
  <c r="BG35" i="164"/>
  <c r="BG34" i="164"/>
  <c r="BO38" i="164"/>
  <c r="BO31" i="164"/>
  <c r="BO39" i="164"/>
  <c r="BO37" i="164"/>
  <c r="BO36" i="164"/>
  <c r="BO34" i="164"/>
  <c r="BO35" i="164"/>
  <c r="BW38" i="164"/>
  <c r="BW31" i="164"/>
  <c r="BW37" i="164"/>
  <c r="BW36" i="164"/>
  <c r="BW34" i="164"/>
  <c r="BW39" i="164"/>
  <c r="BW35" i="164"/>
  <c r="CE38" i="164"/>
  <c r="CE31" i="164"/>
  <c r="CE39" i="164"/>
  <c r="CE37" i="164"/>
  <c r="CE36" i="164"/>
  <c r="CE34" i="164"/>
  <c r="CE35" i="164"/>
  <c r="CO39" i="164"/>
  <c r="CO36" i="164"/>
  <c r="CO31" i="164"/>
  <c r="CO35" i="164"/>
  <c r="CO38" i="164"/>
  <c r="CO34" i="164"/>
  <c r="CO37" i="164"/>
  <c r="CS39" i="164"/>
  <c r="CS38" i="164"/>
  <c r="CS36" i="164"/>
  <c r="CS31" i="164"/>
  <c r="CS35" i="164"/>
  <c r="CS34" i="164"/>
  <c r="CS37" i="164"/>
  <c r="FF23" i="164"/>
  <c r="FY23" i="164"/>
  <c r="AO25" i="164"/>
  <c r="AW25" i="164"/>
  <c r="BE25" i="164"/>
  <c r="BU25" i="164"/>
  <c r="CC25" i="164"/>
  <c r="CJ25" i="164"/>
  <c r="CR25" i="164"/>
  <c r="AO26" i="164"/>
  <c r="AW26" i="164"/>
  <c r="BE26" i="164"/>
  <c r="BU26" i="164"/>
  <c r="CC26" i="164"/>
  <c r="CJ26" i="164"/>
  <c r="CR26" i="164"/>
  <c r="AO27" i="164"/>
  <c r="AW27" i="164"/>
  <c r="BE27" i="164"/>
  <c r="BU27" i="164"/>
  <c r="CC27" i="164"/>
  <c r="CJ27" i="164"/>
  <c r="CR27" i="164"/>
  <c r="AO28" i="164"/>
  <c r="AW28" i="164"/>
  <c r="BE28" i="164"/>
  <c r="BU28" i="164"/>
  <c r="CC28" i="164"/>
  <c r="CJ28" i="164"/>
  <c r="CR28" i="164"/>
  <c r="AO29" i="164"/>
  <c r="AW29" i="164"/>
  <c r="BE29" i="164"/>
  <c r="BU29" i="164"/>
  <c r="CC29" i="164"/>
  <c r="CJ29" i="164"/>
  <c r="CR29" i="164"/>
  <c r="AO30" i="164"/>
  <c r="AW30" i="164"/>
  <c r="BE30" i="164"/>
  <c r="BU30" i="164"/>
  <c r="CC30" i="164"/>
  <c r="CJ30" i="164"/>
  <c r="CR30" i="164"/>
  <c r="BA31" i="164"/>
  <c r="BQ31" i="164"/>
  <c r="CG31" i="164"/>
  <c r="CP31" i="164"/>
  <c r="AO32" i="164"/>
  <c r="BE32" i="164"/>
  <c r="BU32" i="164"/>
  <c r="CJ32" i="164"/>
  <c r="CR32" i="164"/>
  <c r="AW33" i="164"/>
  <c r="CC33" i="164"/>
  <c r="DE5" i="163"/>
  <c r="FG5" i="163"/>
  <c r="FJ5" i="163" s="1"/>
  <c r="DG5" i="163"/>
  <c r="FI7" i="163"/>
  <c r="FI6" i="163"/>
  <c r="DY7" i="163"/>
  <c r="EF7" i="163"/>
  <c r="DT6" i="163"/>
  <c r="DE6" i="163"/>
  <c r="FG6" i="163"/>
  <c r="DG6" i="163"/>
  <c r="CV6" i="163"/>
  <c r="DY12" i="163"/>
  <c r="EF12" i="163"/>
  <c r="DY8" i="163"/>
  <c r="EF8" i="163"/>
  <c r="DE9" i="163"/>
  <c r="FG9" i="163"/>
  <c r="FJ9" i="163" s="1"/>
  <c r="DG9" i="163"/>
  <c r="EF6" i="163"/>
  <c r="DY6" i="163"/>
  <c r="DG7" i="163"/>
  <c r="FJ8" i="163"/>
  <c r="FN8" i="163"/>
  <c r="U23" i="163"/>
  <c r="U50" i="163" s="1"/>
  <c r="U21" i="163"/>
  <c r="DF5" i="163"/>
  <c r="EY5" i="163"/>
  <c r="DT5" i="163" s="1"/>
  <c r="FG7" i="163"/>
  <c r="DE8" i="163"/>
  <c r="DF9" i="163"/>
  <c r="EY9" i="163"/>
  <c r="FI10" i="163"/>
  <c r="DE10" i="163"/>
  <c r="CV10" i="163"/>
  <c r="GC10" i="163" s="1"/>
  <c r="FK10" i="163"/>
  <c r="FN10" i="163" s="1"/>
  <c r="FN11" i="163"/>
  <c r="DE12" i="163"/>
  <c r="FG13" i="163"/>
  <c r="FJ13" i="163" s="1"/>
  <c r="DE13" i="163"/>
  <c r="DE14" i="163"/>
  <c r="FG14" i="163"/>
  <c r="DG14" i="163"/>
  <c r="CV14" i="163"/>
  <c r="GC14" i="163" s="1"/>
  <c r="FI14" i="163"/>
  <c r="M23" i="163"/>
  <c r="M50" i="163" s="1"/>
  <c r="DJ14" i="163" s="1"/>
  <c r="M21" i="163"/>
  <c r="CK23" i="163"/>
  <c r="CK54" i="163" s="1"/>
  <c r="DH18" i="163" s="1"/>
  <c r="CK21" i="163"/>
  <c r="FT21" i="163" s="1"/>
  <c r="AE23" i="163"/>
  <c r="AE54" i="163" s="1"/>
  <c r="AE21" i="163"/>
  <c r="FO23" i="163"/>
  <c r="FO21" i="163"/>
  <c r="CV5" i="163"/>
  <c r="GC5" i="163" s="1"/>
  <c r="DE7" i="163"/>
  <c r="CN8" i="163"/>
  <c r="FU8" i="163" s="1"/>
  <c r="DF8" i="163"/>
  <c r="DT8" i="163"/>
  <c r="CV9" i="163"/>
  <c r="GC9" i="163" s="1"/>
  <c r="CV11" i="163"/>
  <c r="FT12" i="163"/>
  <c r="CN12" i="163"/>
  <c r="FU12" i="163" s="1"/>
  <c r="FN14" i="163"/>
  <c r="DT15" i="163"/>
  <c r="DE15" i="163"/>
  <c r="FG15" i="163"/>
  <c r="DG15" i="163"/>
  <c r="CV15" i="163"/>
  <c r="GC15" i="163" s="1"/>
  <c r="E23" i="163"/>
  <c r="E45" i="163" s="1"/>
  <c r="AK23" i="163"/>
  <c r="AK45" i="163" s="1"/>
  <c r="AK21" i="163"/>
  <c r="DE4" i="163"/>
  <c r="O23" i="163"/>
  <c r="O54" i="163" s="1"/>
  <c r="O21" i="163"/>
  <c r="BI23" i="163"/>
  <c r="BI21" i="163"/>
  <c r="EY4" i="163"/>
  <c r="I4" i="163"/>
  <c r="Q23" i="163"/>
  <c r="Q21" i="163"/>
  <c r="Y23" i="163"/>
  <c r="Y46" i="163" s="1"/>
  <c r="Y21" i="163"/>
  <c r="FM21" i="163" s="1"/>
  <c r="AG23" i="163"/>
  <c r="AG21" i="163"/>
  <c r="BK23" i="163"/>
  <c r="BK46" i="163" s="1"/>
  <c r="BK21" i="163"/>
  <c r="CV4" i="163"/>
  <c r="DG4" i="163"/>
  <c r="FQ23" i="163"/>
  <c r="FQ21" i="163"/>
  <c r="CN7" i="163"/>
  <c r="FU7" i="163" s="1"/>
  <c r="DF7" i="163"/>
  <c r="DT7" i="163"/>
  <c r="CV8" i="163"/>
  <c r="GC8" i="163" s="1"/>
  <c r="DG8" i="163"/>
  <c r="DG10" i="163"/>
  <c r="FG10" i="163"/>
  <c r="FJ10" i="163" s="1"/>
  <c r="DY11" i="163"/>
  <c r="FI15" i="163"/>
  <c r="FI16" i="163"/>
  <c r="FN18" i="163"/>
  <c r="DE18" i="163"/>
  <c r="FG18" i="163"/>
  <c r="DG18" i="163"/>
  <c r="CV18" i="163"/>
  <c r="GC18" i="163" s="1"/>
  <c r="FI18" i="163"/>
  <c r="W23" i="163"/>
  <c r="W50" i="163" s="1"/>
  <c r="W21" i="163"/>
  <c r="FK21" i="163" s="1"/>
  <c r="CN4" i="163"/>
  <c r="DF4" i="163"/>
  <c r="FT4" i="163"/>
  <c r="K23" i="163"/>
  <c r="K54" i="163" s="1"/>
  <c r="K21" i="163"/>
  <c r="S23" i="163"/>
  <c r="S44" i="163" s="1"/>
  <c r="S21" i="163"/>
  <c r="AA23" i="163"/>
  <c r="AA42" i="163" s="1"/>
  <c r="AA21" i="163"/>
  <c r="AI23" i="163"/>
  <c r="AI54" i="163" s="1"/>
  <c r="AI21" i="163"/>
  <c r="BM23" i="163"/>
  <c r="BM21" i="163"/>
  <c r="FG4" i="163"/>
  <c r="FJ4" i="163" s="1"/>
  <c r="FM4" i="163"/>
  <c r="FN4" i="163" s="1"/>
  <c r="FR4" i="163"/>
  <c r="CN6" i="163"/>
  <c r="FU6" i="163" s="1"/>
  <c r="CV7" i="163"/>
  <c r="GC7" i="163" s="1"/>
  <c r="DT10" i="163"/>
  <c r="G11" i="163"/>
  <c r="DT11" i="163" s="1"/>
  <c r="FG11" i="163"/>
  <c r="DG12" i="163"/>
  <c r="DT12" i="163"/>
  <c r="FG12" i="163"/>
  <c r="FJ12" i="163" s="1"/>
  <c r="EF15" i="163"/>
  <c r="DY15" i="163"/>
  <c r="DY16" i="163"/>
  <c r="EF16" i="163"/>
  <c r="FG17" i="163"/>
  <c r="FJ17" i="163" s="1"/>
  <c r="DG17" i="163"/>
  <c r="DE17" i="163"/>
  <c r="AC13" i="163"/>
  <c r="EX13" i="163" s="1"/>
  <c r="EY14" i="163"/>
  <c r="DY14" i="163" s="1"/>
  <c r="FG16" i="163"/>
  <c r="FJ16" i="163" s="1"/>
  <c r="AC17" i="163"/>
  <c r="EX17" i="163" s="1"/>
  <c r="DF18" i="163"/>
  <c r="EY18" i="163"/>
  <c r="DY18" i="163" s="1"/>
  <c r="E54" i="163"/>
  <c r="M53" i="163"/>
  <c r="DJ17" i="163" s="1"/>
  <c r="M52" i="163"/>
  <c r="DJ16" i="163" s="1"/>
  <c r="M51" i="163"/>
  <c r="DJ15" i="163" s="1"/>
  <c r="M54" i="163"/>
  <c r="DJ18" i="163" s="1"/>
  <c r="M49" i="163"/>
  <c r="DJ13" i="163" s="1"/>
  <c r="M48" i="163"/>
  <c r="DJ12" i="163" s="1"/>
  <c r="M47" i="163"/>
  <c r="DJ11" i="163" s="1"/>
  <c r="M45" i="163"/>
  <c r="DJ9" i="163" s="1"/>
  <c r="M43" i="163"/>
  <c r="DJ7" i="163" s="1"/>
  <c r="M41" i="163"/>
  <c r="DJ5" i="163" s="1"/>
  <c r="M40" i="163"/>
  <c r="DJ4" i="163" s="1"/>
  <c r="U53" i="163"/>
  <c r="U52" i="163"/>
  <c r="U51" i="163"/>
  <c r="U49" i="163"/>
  <c r="U48" i="163"/>
  <c r="U47" i="163"/>
  <c r="U43" i="163"/>
  <c r="U41" i="163"/>
  <c r="U40" i="163"/>
  <c r="AC51" i="163"/>
  <c r="AC43" i="163"/>
  <c r="AK53" i="163"/>
  <c r="AK52" i="163"/>
  <c r="AK51" i="163"/>
  <c r="AK54" i="163"/>
  <c r="AK49" i="163"/>
  <c r="AK48" i="163"/>
  <c r="AK47" i="163"/>
  <c r="AK43" i="163"/>
  <c r="AK41" i="163"/>
  <c r="AK40" i="163"/>
  <c r="DF13" i="163"/>
  <c r="DE16" i="163"/>
  <c r="DF17" i="163"/>
  <c r="DH21" i="163"/>
  <c r="CZ21" i="163" s="1"/>
  <c r="GF21" i="163" s="1"/>
  <c r="O52" i="163"/>
  <c r="O51" i="163"/>
  <c r="O53" i="163"/>
  <c r="O49" i="163"/>
  <c r="O48" i="163"/>
  <c r="O47" i="163"/>
  <c r="O45" i="163"/>
  <c r="O43" i="163"/>
  <c r="O41" i="163"/>
  <c r="O40" i="163"/>
  <c r="W52" i="163"/>
  <c r="W51" i="163"/>
  <c r="W54" i="163"/>
  <c r="W53" i="163"/>
  <c r="W49" i="163"/>
  <c r="W48" i="163"/>
  <c r="W47" i="163"/>
  <c r="W43" i="163"/>
  <c r="W41" i="163"/>
  <c r="W40" i="163"/>
  <c r="W44" i="163"/>
  <c r="FK22" i="163"/>
  <c r="AE52" i="163"/>
  <c r="AE51" i="163"/>
  <c r="AE53" i="163"/>
  <c r="AE49" i="163"/>
  <c r="AE48" i="163"/>
  <c r="AE47" i="163"/>
  <c r="AE45" i="163"/>
  <c r="AE43" i="163"/>
  <c r="AE41" i="163"/>
  <c r="AE40" i="163"/>
  <c r="AM52" i="163"/>
  <c r="AM51" i="163"/>
  <c r="AM54" i="163"/>
  <c r="AM50" i="163"/>
  <c r="AM53" i="163"/>
  <c r="AM49" i="163"/>
  <c r="AM48" i="163"/>
  <c r="AM47" i="163"/>
  <c r="AM46" i="163"/>
  <c r="AM45" i="163"/>
  <c r="AM43" i="163"/>
  <c r="AM42" i="163"/>
  <c r="AM41" i="163"/>
  <c r="AM40" i="163"/>
  <c r="AM44" i="163"/>
  <c r="AU52" i="163"/>
  <c r="AU51" i="163"/>
  <c r="AU54" i="163"/>
  <c r="AU50" i="163"/>
  <c r="AU53" i="163"/>
  <c r="AU49" i="163"/>
  <c r="AU48" i="163"/>
  <c r="AU47" i="163"/>
  <c r="AU46" i="163"/>
  <c r="AU45" i="163"/>
  <c r="AU44" i="163"/>
  <c r="AU43" i="163"/>
  <c r="AU42" i="163"/>
  <c r="AU41" i="163"/>
  <c r="AU40" i="163"/>
  <c r="BC52" i="163"/>
  <c r="BC51" i="163"/>
  <c r="BC54" i="163"/>
  <c r="BC50" i="163"/>
  <c r="BC53" i="163"/>
  <c r="BC49" i="163"/>
  <c r="BC48" i="163"/>
  <c r="BC47" i="163"/>
  <c r="BC46" i="163"/>
  <c r="BC45" i="163"/>
  <c r="BC43" i="163"/>
  <c r="BC42" i="163"/>
  <c r="BC41" i="163"/>
  <c r="BC40" i="163"/>
  <c r="BC44" i="163"/>
  <c r="BK51" i="163"/>
  <c r="BK50" i="163"/>
  <c r="BK53" i="163"/>
  <c r="BK52" i="163"/>
  <c r="BK49" i="163"/>
  <c r="BK48" i="163"/>
  <c r="BK47" i="163"/>
  <c r="BK44" i="163"/>
  <c r="BK43" i="163"/>
  <c r="BK41" i="163"/>
  <c r="BK40" i="163"/>
  <c r="BS51" i="163"/>
  <c r="BS54" i="163"/>
  <c r="BS50" i="163"/>
  <c r="BS53" i="163"/>
  <c r="BS52" i="163"/>
  <c r="BS49" i="163"/>
  <c r="BS48" i="163"/>
  <c r="BS47" i="163"/>
  <c r="BS46" i="163"/>
  <c r="BS45" i="163"/>
  <c r="BS43" i="163"/>
  <c r="BS42" i="163"/>
  <c r="BS41" i="163"/>
  <c r="BS40" i="163"/>
  <c r="BS44" i="163"/>
  <c r="CA51" i="163"/>
  <c r="CA54" i="163"/>
  <c r="CA50" i="163"/>
  <c r="CA53" i="163"/>
  <c r="CA49" i="163"/>
  <c r="CA52" i="163"/>
  <c r="CA48" i="163"/>
  <c r="CA47" i="163"/>
  <c r="CA46" i="163"/>
  <c r="CA45" i="163"/>
  <c r="CA44" i="163"/>
  <c r="CA43" i="163"/>
  <c r="CA42" i="163"/>
  <c r="CA41" i="163"/>
  <c r="CA40" i="163"/>
  <c r="DF12" i="163"/>
  <c r="CN16" i="163"/>
  <c r="FU16" i="163" s="1"/>
  <c r="DF16" i="163"/>
  <c r="DT16" i="163"/>
  <c r="CV17" i="163"/>
  <c r="GC17" i="163" s="1"/>
  <c r="CN11" i="163"/>
  <c r="FU11" i="163" s="1"/>
  <c r="CV12" i="163"/>
  <c r="CN15" i="163"/>
  <c r="FU15" i="163" s="1"/>
  <c r="CV16" i="163"/>
  <c r="GC16" i="163" s="1"/>
  <c r="FU19" i="163"/>
  <c r="FS21" i="163"/>
  <c r="I51" i="163"/>
  <c r="I53" i="163"/>
  <c r="I52" i="163"/>
  <c r="I49" i="163"/>
  <c r="I48" i="163"/>
  <c r="I47" i="163"/>
  <c r="I43" i="163"/>
  <c r="I41" i="163"/>
  <c r="I40" i="163"/>
  <c r="Q51" i="163"/>
  <c r="Q54" i="163"/>
  <c r="Q50" i="163"/>
  <c r="Q53" i="163"/>
  <c r="Q52" i="163"/>
  <c r="Q49" i="163"/>
  <c r="Q48" i="163"/>
  <c r="Q47" i="163"/>
  <c r="Q46" i="163"/>
  <c r="Q45" i="163"/>
  <c r="Q44" i="163"/>
  <c r="Q43" i="163"/>
  <c r="Q42" i="163"/>
  <c r="Q41" i="163"/>
  <c r="Q40" i="163"/>
  <c r="Y51" i="163"/>
  <c r="Y53" i="163"/>
  <c r="Y52" i="163"/>
  <c r="Y49" i="163"/>
  <c r="Y48" i="163"/>
  <c r="Y47" i="163"/>
  <c r="Y43" i="163"/>
  <c r="Y41" i="163"/>
  <c r="Y40" i="163"/>
  <c r="AG51" i="163"/>
  <c r="AG54" i="163"/>
  <c r="AG50" i="163"/>
  <c r="AG53" i="163"/>
  <c r="AG52" i="163"/>
  <c r="AG49" i="163"/>
  <c r="AG48" i="163"/>
  <c r="AG47" i="163"/>
  <c r="AG46" i="163"/>
  <c r="AG45" i="163"/>
  <c r="AG44" i="163"/>
  <c r="AG43" i="163"/>
  <c r="AG42" i="163"/>
  <c r="AG41" i="163"/>
  <c r="AG40" i="163"/>
  <c r="AO51" i="163"/>
  <c r="AO54" i="163"/>
  <c r="AO50" i="163"/>
  <c r="AO53" i="163"/>
  <c r="AO52" i="163"/>
  <c r="AO49" i="163"/>
  <c r="AO48" i="163"/>
  <c r="AO47" i="163"/>
  <c r="AO46" i="163"/>
  <c r="AO45" i="163"/>
  <c r="AO44" i="163"/>
  <c r="AO43" i="163"/>
  <c r="AO42" i="163"/>
  <c r="AO41" i="163"/>
  <c r="AO40" i="163"/>
  <c r="AW51" i="163"/>
  <c r="AW54" i="163"/>
  <c r="AW50" i="163"/>
  <c r="AW53" i="163"/>
  <c r="AW52" i="163"/>
  <c r="AW49" i="163"/>
  <c r="AW48" i="163"/>
  <c r="AW47" i="163"/>
  <c r="AW46" i="163"/>
  <c r="AW45" i="163"/>
  <c r="AW44" i="163"/>
  <c r="AW43" i="163"/>
  <c r="AW42" i="163"/>
  <c r="AW41" i="163"/>
  <c r="AW40" i="163"/>
  <c r="BE51" i="163"/>
  <c r="BE54" i="163"/>
  <c r="BE50" i="163"/>
  <c r="BE53" i="163"/>
  <c r="BE52" i="163"/>
  <c r="BE49" i="163"/>
  <c r="BE48" i="163"/>
  <c r="BE47" i="163"/>
  <c r="BE46" i="163"/>
  <c r="BE45" i="163"/>
  <c r="BE44" i="163"/>
  <c r="BE43" i="163"/>
  <c r="BE42" i="163"/>
  <c r="BE41" i="163"/>
  <c r="BE40" i="163"/>
  <c r="BM53" i="163"/>
  <c r="BM52" i="163"/>
  <c r="BM51" i="163"/>
  <c r="BM54" i="163"/>
  <c r="BM50" i="163"/>
  <c r="BM49" i="163"/>
  <c r="BM48" i="163"/>
  <c r="BM47" i="163"/>
  <c r="BM46" i="163"/>
  <c r="BM45" i="163"/>
  <c r="BM44" i="163"/>
  <c r="BM43" i="163"/>
  <c r="BM42" i="163"/>
  <c r="BM41" i="163"/>
  <c r="BM40" i="163"/>
  <c r="BU53" i="163"/>
  <c r="BU52" i="163"/>
  <c r="BU51" i="163"/>
  <c r="BU54" i="163"/>
  <c r="BU50" i="163"/>
  <c r="BU48" i="163"/>
  <c r="BU47" i="163"/>
  <c r="BU46" i="163"/>
  <c r="BU45" i="163"/>
  <c r="BU44" i="163"/>
  <c r="BU49" i="163"/>
  <c r="BU43" i="163"/>
  <c r="BU42" i="163"/>
  <c r="BU41" i="163"/>
  <c r="BU40" i="163"/>
  <c r="CC53" i="163"/>
  <c r="CC52" i="163"/>
  <c r="CC51" i="163"/>
  <c r="CC54" i="163"/>
  <c r="CC50" i="163"/>
  <c r="CC49" i="163"/>
  <c r="CC48" i="163"/>
  <c r="CC47" i="163"/>
  <c r="CC46" i="163"/>
  <c r="CC45" i="163"/>
  <c r="CC44" i="163"/>
  <c r="CC43" i="163"/>
  <c r="CC42" i="163"/>
  <c r="CC41" i="163"/>
  <c r="CC40" i="163"/>
  <c r="CJ54" i="163"/>
  <c r="CJ50" i="163"/>
  <c r="CJ53" i="163"/>
  <c r="CJ49" i="163"/>
  <c r="CJ52" i="163"/>
  <c r="CJ51" i="163"/>
  <c r="CJ48" i="163"/>
  <c r="CJ47" i="163"/>
  <c r="CJ46" i="163"/>
  <c r="CJ45" i="163"/>
  <c r="CJ44" i="163"/>
  <c r="CJ43" i="163"/>
  <c r="CJ42" i="163"/>
  <c r="CJ41" i="163"/>
  <c r="CJ40" i="163"/>
  <c r="CR54" i="163"/>
  <c r="CR50" i="163"/>
  <c r="CR53" i="163"/>
  <c r="CR49" i="163"/>
  <c r="CR52" i="163"/>
  <c r="CR51" i="163"/>
  <c r="CR48" i="163"/>
  <c r="CR47" i="163"/>
  <c r="CR46" i="163"/>
  <c r="CR45" i="163"/>
  <c r="CR44" i="163"/>
  <c r="CR43" i="163"/>
  <c r="CR42" i="163"/>
  <c r="CR41" i="163"/>
  <c r="CR40" i="163"/>
  <c r="AM39" i="163"/>
  <c r="AM37" i="163"/>
  <c r="AM36" i="163"/>
  <c r="AM35" i="163"/>
  <c r="AM34" i="163"/>
  <c r="AM33" i="163"/>
  <c r="AM38" i="163"/>
  <c r="AU37" i="163"/>
  <c r="AU36" i="163"/>
  <c r="AU39" i="163"/>
  <c r="AU35" i="163"/>
  <c r="AU34" i="163"/>
  <c r="AU33" i="163"/>
  <c r="AU38" i="163"/>
  <c r="BC39" i="163"/>
  <c r="BC37" i="163"/>
  <c r="BC36" i="163"/>
  <c r="BC35" i="163"/>
  <c r="BC34" i="163"/>
  <c r="BC33" i="163"/>
  <c r="BC38" i="163"/>
  <c r="BS39" i="163"/>
  <c r="BS36" i="163"/>
  <c r="BS35" i="163"/>
  <c r="BS38" i="163"/>
  <c r="BS34" i="163"/>
  <c r="BS33" i="163"/>
  <c r="BS37" i="163"/>
  <c r="CA39" i="163"/>
  <c r="CA36" i="163"/>
  <c r="CA35" i="163"/>
  <c r="CA38" i="163"/>
  <c r="CA34" i="163"/>
  <c r="CA33" i="163"/>
  <c r="CA37" i="163"/>
  <c r="CI39" i="163"/>
  <c r="CI36" i="163"/>
  <c r="CI35" i="163"/>
  <c r="CI38" i="163"/>
  <c r="CI34" i="163"/>
  <c r="CI33" i="163"/>
  <c r="CI37" i="163"/>
  <c r="CM39" i="163"/>
  <c r="CM36" i="163"/>
  <c r="CM35" i="163"/>
  <c r="CM34" i="163"/>
  <c r="CM33" i="163"/>
  <c r="CM38" i="163"/>
  <c r="CM37" i="163"/>
  <c r="CQ39" i="163"/>
  <c r="GL11" i="163" s="1"/>
  <c r="CQ38" i="163"/>
  <c r="CQ36" i="163"/>
  <c r="CQ35" i="163"/>
  <c r="CQ34" i="163"/>
  <c r="CQ33" i="163"/>
  <c r="CQ37" i="163"/>
  <c r="CU39" i="163"/>
  <c r="CU36" i="163"/>
  <c r="CU38" i="163"/>
  <c r="CU35" i="163"/>
  <c r="CU34" i="163"/>
  <c r="CU33" i="163"/>
  <c r="CU37" i="163"/>
  <c r="FS23" i="163"/>
  <c r="FW23" i="163"/>
  <c r="GA23" i="163"/>
  <c r="AS25" i="163"/>
  <c r="BA25" i="163"/>
  <c r="BQ25" i="163"/>
  <c r="BY25" i="163"/>
  <c r="CG25" i="163"/>
  <c r="CL25" i="163"/>
  <c r="CP25" i="163"/>
  <c r="CT25" i="163"/>
  <c r="AS26" i="163"/>
  <c r="BA26" i="163"/>
  <c r="BQ26" i="163"/>
  <c r="BY26" i="163"/>
  <c r="CG26" i="163"/>
  <c r="CL26" i="163"/>
  <c r="CP26" i="163"/>
  <c r="CT26" i="163"/>
  <c r="AS27" i="163"/>
  <c r="BA27" i="163"/>
  <c r="BQ27" i="163"/>
  <c r="BY27" i="163"/>
  <c r="CG27" i="163"/>
  <c r="CL27" i="163"/>
  <c r="CP27" i="163"/>
  <c r="CT27" i="163"/>
  <c r="AS28" i="163"/>
  <c r="BA28" i="163"/>
  <c r="BQ28" i="163"/>
  <c r="BY28" i="163"/>
  <c r="CG28" i="163"/>
  <c r="CL28" i="163"/>
  <c r="CP28" i="163"/>
  <c r="CT28" i="163"/>
  <c r="AS29" i="163"/>
  <c r="BA29" i="163"/>
  <c r="BQ29" i="163"/>
  <c r="BY29" i="163"/>
  <c r="CG29" i="163"/>
  <c r="CL29" i="163"/>
  <c r="CP29" i="163"/>
  <c r="CT29" i="163"/>
  <c r="AS30" i="163"/>
  <c r="BA30" i="163"/>
  <c r="BQ30" i="163"/>
  <c r="BY30" i="163"/>
  <c r="CG30" i="163"/>
  <c r="CL30" i="163"/>
  <c r="CP30" i="163"/>
  <c r="CT30" i="163"/>
  <c r="AS31" i="163"/>
  <c r="BA31" i="163"/>
  <c r="BQ31" i="163"/>
  <c r="BY31" i="163"/>
  <c r="CG31" i="163"/>
  <c r="CL31" i="163"/>
  <c r="CP31" i="163"/>
  <c r="CT31" i="163"/>
  <c r="AW32" i="163"/>
  <c r="D54" i="163"/>
  <c r="D50" i="163"/>
  <c r="D53" i="163"/>
  <c r="D52" i="163"/>
  <c r="D51" i="163"/>
  <c r="D49" i="163"/>
  <c r="D48" i="163"/>
  <c r="D47" i="163"/>
  <c r="D46" i="163"/>
  <c r="D45" i="163"/>
  <c r="D44" i="163"/>
  <c r="D43" i="163"/>
  <c r="D42" i="163"/>
  <c r="D41" i="163"/>
  <c r="D40" i="163"/>
  <c r="K53" i="163"/>
  <c r="K52" i="163"/>
  <c r="K51" i="163"/>
  <c r="K49" i="163"/>
  <c r="K48" i="163"/>
  <c r="K47" i="163"/>
  <c r="K43" i="163"/>
  <c r="K41" i="163"/>
  <c r="K40" i="163"/>
  <c r="K44" i="163"/>
  <c r="S54" i="163"/>
  <c r="S50" i="163"/>
  <c r="S53" i="163"/>
  <c r="S52" i="163"/>
  <c r="S51" i="163"/>
  <c r="S49" i="163"/>
  <c r="S48" i="163"/>
  <c r="S47" i="163"/>
  <c r="S46" i="163"/>
  <c r="S45" i="163"/>
  <c r="S43" i="163"/>
  <c r="S42" i="163"/>
  <c r="S41" i="163"/>
  <c r="S40" i="163"/>
  <c r="AA50" i="163"/>
  <c r="AA53" i="163"/>
  <c r="AA52" i="163"/>
  <c r="AA51" i="163"/>
  <c r="AA49" i="163"/>
  <c r="AA48" i="163"/>
  <c r="AA47" i="163"/>
  <c r="AA45" i="163"/>
  <c r="AA43" i="163"/>
  <c r="AA41" i="163"/>
  <c r="AA40" i="163"/>
  <c r="AI53" i="163"/>
  <c r="AI52" i="163"/>
  <c r="AI51" i="163"/>
  <c r="AI49" i="163"/>
  <c r="AI48" i="163"/>
  <c r="AI47" i="163"/>
  <c r="AI44" i="163"/>
  <c r="AI43" i="163"/>
  <c r="AI41" i="163"/>
  <c r="AI40" i="163"/>
  <c r="AQ54" i="163"/>
  <c r="AQ50" i="163"/>
  <c r="AQ53" i="163"/>
  <c r="AQ52" i="163"/>
  <c r="AQ51" i="163"/>
  <c r="AQ49" i="163"/>
  <c r="AQ48" i="163"/>
  <c r="AQ47" i="163"/>
  <c r="AQ46" i="163"/>
  <c r="AQ45" i="163"/>
  <c r="AQ43" i="163"/>
  <c r="AQ42" i="163"/>
  <c r="AQ41" i="163"/>
  <c r="AQ40" i="163"/>
  <c r="AQ44" i="163"/>
  <c r="AY54" i="163"/>
  <c r="AY50" i="163"/>
  <c r="AY53" i="163"/>
  <c r="AY52" i="163"/>
  <c r="AY51" i="163"/>
  <c r="AY49" i="163"/>
  <c r="AY48" i="163"/>
  <c r="AY47" i="163"/>
  <c r="AY46" i="163"/>
  <c r="AY45" i="163"/>
  <c r="AY44" i="163"/>
  <c r="AY43" i="163"/>
  <c r="AY42" i="163"/>
  <c r="AY41" i="163"/>
  <c r="AY40" i="163"/>
  <c r="BG54" i="163"/>
  <c r="BG50" i="163"/>
  <c r="BG53" i="163"/>
  <c r="BG52" i="163"/>
  <c r="BG51" i="163"/>
  <c r="BG49" i="163"/>
  <c r="BG48" i="163"/>
  <c r="BG47" i="163"/>
  <c r="BG46" i="163"/>
  <c r="BG45" i="163"/>
  <c r="BG43" i="163"/>
  <c r="BG42" i="163"/>
  <c r="BG41" i="163"/>
  <c r="BG40" i="163"/>
  <c r="BG44" i="163"/>
  <c r="BO51" i="163"/>
  <c r="BO54" i="163"/>
  <c r="BO50" i="163"/>
  <c r="BO53" i="163"/>
  <c r="BO52" i="163"/>
  <c r="BO49" i="163"/>
  <c r="BO48" i="163"/>
  <c r="BO47" i="163"/>
  <c r="BO46" i="163"/>
  <c r="BO45" i="163"/>
  <c r="BO44" i="163"/>
  <c r="BO43" i="163"/>
  <c r="BO42" i="163"/>
  <c r="BO41" i="163"/>
  <c r="BO40" i="163"/>
  <c r="BW51" i="163"/>
  <c r="BW54" i="163"/>
  <c r="BW50" i="163"/>
  <c r="BW53" i="163"/>
  <c r="BW52" i="163"/>
  <c r="BW48" i="163"/>
  <c r="BW47" i="163"/>
  <c r="BW46" i="163"/>
  <c r="BW45" i="163"/>
  <c r="BW49" i="163"/>
  <c r="BW43" i="163"/>
  <c r="BW42" i="163"/>
  <c r="BW41" i="163"/>
  <c r="BW40" i="163"/>
  <c r="BW44" i="163"/>
  <c r="CE51" i="163"/>
  <c r="CE54" i="163"/>
  <c r="CE50" i="163"/>
  <c r="CE53" i="163"/>
  <c r="CE52" i="163"/>
  <c r="CE49" i="163"/>
  <c r="CE48" i="163"/>
  <c r="CE47" i="163"/>
  <c r="CE46" i="163"/>
  <c r="CE45" i="163"/>
  <c r="CE44" i="163"/>
  <c r="CE43" i="163"/>
  <c r="CE42" i="163"/>
  <c r="CE41" i="163"/>
  <c r="CE40" i="163"/>
  <c r="CK53" i="163"/>
  <c r="CK52" i="163"/>
  <c r="CK51" i="163"/>
  <c r="CK48" i="163"/>
  <c r="CK47" i="163"/>
  <c r="DH11" i="163" s="1"/>
  <c r="CK49" i="163"/>
  <c r="DH13" i="163" s="1"/>
  <c r="CK43" i="163"/>
  <c r="CK41" i="163"/>
  <c r="EM20" i="163" s="1"/>
  <c r="EL20" i="163" s="1"/>
  <c r="EO20" i="163" s="1"/>
  <c r="CK40" i="163"/>
  <c r="EM19" i="163" s="1"/>
  <c r="EL19" i="163" s="1"/>
  <c r="EO19" i="163" s="1"/>
  <c r="CO53" i="163"/>
  <c r="CO52" i="163"/>
  <c r="CO51" i="163"/>
  <c r="CO54" i="163"/>
  <c r="CO50" i="163"/>
  <c r="CO48" i="163"/>
  <c r="CO47" i="163"/>
  <c r="CO46" i="163"/>
  <c r="CO45" i="163"/>
  <c r="CO44" i="163"/>
  <c r="CO49" i="163"/>
  <c r="CO43" i="163"/>
  <c r="CO42" i="163"/>
  <c r="CO41" i="163"/>
  <c r="CO40" i="163"/>
  <c r="CS53" i="163"/>
  <c r="CS52" i="163"/>
  <c r="CS51" i="163"/>
  <c r="CS54" i="163"/>
  <c r="CS50" i="163"/>
  <c r="CS49" i="163"/>
  <c r="CS48" i="163"/>
  <c r="CS47" i="163"/>
  <c r="CS46" i="163"/>
  <c r="CS45" i="163"/>
  <c r="CS44" i="163"/>
  <c r="CS43" i="163"/>
  <c r="CS42" i="163"/>
  <c r="CS41" i="163"/>
  <c r="CS40" i="163"/>
  <c r="EX52" i="163"/>
  <c r="EX51" i="163"/>
  <c r="EX53" i="163"/>
  <c r="EX49" i="163"/>
  <c r="EX48" i="163"/>
  <c r="EX47" i="163"/>
  <c r="EX43" i="163"/>
  <c r="EX41" i="163"/>
  <c r="EX40" i="163"/>
  <c r="FF22" i="163"/>
  <c r="FY22" i="163"/>
  <c r="AO39" i="163"/>
  <c r="AO36" i="163"/>
  <c r="AO35" i="163"/>
  <c r="AO34" i="163"/>
  <c r="AO38" i="163"/>
  <c r="AO37" i="163"/>
  <c r="AW39" i="163"/>
  <c r="AW36" i="163"/>
  <c r="AW35" i="163"/>
  <c r="AW34" i="163"/>
  <c r="AW38" i="163"/>
  <c r="AW37" i="163"/>
  <c r="BE39" i="163"/>
  <c r="BE36" i="163"/>
  <c r="BE35" i="163"/>
  <c r="BE34" i="163"/>
  <c r="BE33" i="163"/>
  <c r="BE38" i="163"/>
  <c r="BE37" i="163"/>
  <c r="BU39" i="163"/>
  <c r="BU38" i="163"/>
  <c r="BU37" i="163"/>
  <c r="BU34" i="163"/>
  <c r="BU33" i="163"/>
  <c r="BU36" i="163"/>
  <c r="BU35" i="163"/>
  <c r="CC39" i="163"/>
  <c r="CC38" i="163"/>
  <c r="CC37" i="163"/>
  <c r="CC34" i="163"/>
  <c r="CC33" i="163"/>
  <c r="CC36" i="163"/>
  <c r="CC35" i="163"/>
  <c r="CJ39" i="163"/>
  <c r="CJ35" i="163"/>
  <c r="CJ38" i="163"/>
  <c r="CJ34" i="163"/>
  <c r="CJ33" i="163"/>
  <c r="CJ37" i="163"/>
  <c r="CJ36" i="163"/>
  <c r="CR39" i="163"/>
  <c r="CR35" i="163"/>
  <c r="CR34" i="163"/>
  <c r="CR33" i="163"/>
  <c r="CR37" i="163"/>
  <c r="CR38" i="163"/>
  <c r="CR36" i="163"/>
  <c r="FX23" i="163"/>
  <c r="GB23" i="163"/>
  <c r="AM25" i="163"/>
  <c r="AU25" i="163"/>
  <c r="BC25" i="163"/>
  <c r="BS25" i="163"/>
  <c r="CA25" i="163"/>
  <c r="CI25" i="163"/>
  <c r="CM25" i="163"/>
  <c r="CQ25" i="163"/>
  <c r="CU25" i="163"/>
  <c r="AM26" i="163"/>
  <c r="AU26" i="163"/>
  <c r="BC26" i="163"/>
  <c r="BS26" i="163"/>
  <c r="CA26" i="163"/>
  <c r="CI26" i="163"/>
  <c r="CM26" i="163"/>
  <c r="CQ26" i="163"/>
  <c r="CU26" i="163"/>
  <c r="AM27" i="163"/>
  <c r="AU27" i="163"/>
  <c r="BC27" i="163"/>
  <c r="BS27" i="163"/>
  <c r="CA27" i="163"/>
  <c r="CI27" i="163"/>
  <c r="CM27" i="163"/>
  <c r="CQ27" i="163"/>
  <c r="CU27" i="163"/>
  <c r="AM28" i="163"/>
  <c r="AU28" i="163"/>
  <c r="BC28" i="163"/>
  <c r="BS28" i="163"/>
  <c r="CA28" i="163"/>
  <c r="CI28" i="163"/>
  <c r="CM28" i="163"/>
  <c r="CQ28" i="163"/>
  <c r="CU28" i="163"/>
  <c r="AM29" i="163"/>
  <c r="AU29" i="163"/>
  <c r="BC29" i="163"/>
  <c r="BS29" i="163"/>
  <c r="CA29" i="163"/>
  <c r="CI29" i="163"/>
  <c r="CM29" i="163"/>
  <c r="CQ29" i="163"/>
  <c r="CU29" i="163"/>
  <c r="AM30" i="163"/>
  <c r="AU30" i="163"/>
  <c r="BC30" i="163"/>
  <c r="BS30" i="163"/>
  <c r="CA30" i="163"/>
  <c r="CI30" i="163"/>
  <c r="CM30" i="163"/>
  <c r="CQ30" i="163"/>
  <c r="CU30" i="163"/>
  <c r="AM31" i="163"/>
  <c r="AU31" i="163"/>
  <c r="BC31" i="163"/>
  <c r="BS31" i="163"/>
  <c r="CA31" i="163"/>
  <c r="CI31" i="163"/>
  <c r="CM31" i="163"/>
  <c r="CQ31" i="163"/>
  <c r="CU31" i="163"/>
  <c r="BA33" i="163"/>
  <c r="AS53" i="163"/>
  <c r="AS52" i="163"/>
  <c r="AS51" i="163"/>
  <c r="AS54" i="163"/>
  <c r="AS50" i="163"/>
  <c r="AS49" i="163"/>
  <c r="AS48" i="163"/>
  <c r="AS47" i="163"/>
  <c r="AS46" i="163"/>
  <c r="AS45" i="163"/>
  <c r="AS44" i="163"/>
  <c r="AS43" i="163"/>
  <c r="AS42" i="163"/>
  <c r="AS41" i="163"/>
  <c r="AS40" i="163"/>
  <c r="BA53" i="163"/>
  <c r="BA52" i="163"/>
  <c r="BA51" i="163"/>
  <c r="BA54" i="163"/>
  <c r="BA50" i="163"/>
  <c r="BA49" i="163"/>
  <c r="BA48" i="163"/>
  <c r="BA47" i="163"/>
  <c r="BA46" i="163"/>
  <c r="BA45" i="163"/>
  <c r="BA44" i="163"/>
  <c r="BA43" i="163"/>
  <c r="BA42" i="163"/>
  <c r="BA41" i="163"/>
  <c r="BA40" i="163"/>
  <c r="BI53" i="163"/>
  <c r="BI52" i="163"/>
  <c r="BI51" i="163"/>
  <c r="BI54" i="163"/>
  <c r="BI50" i="163"/>
  <c r="BI49" i="163"/>
  <c r="BI48" i="163"/>
  <c r="BI47" i="163"/>
  <c r="BI46" i="163"/>
  <c r="BI45" i="163"/>
  <c r="BI44" i="163"/>
  <c r="BI43" i="163"/>
  <c r="BI42" i="163"/>
  <c r="BI41" i="163"/>
  <c r="BI40" i="163"/>
  <c r="BQ53" i="163"/>
  <c r="BQ52" i="163"/>
  <c r="BQ51" i="163"/>
  <c r="BQ54" i="163"/>
  <c r="BQ50" i="163"/>
  <c r="BQ49" i="163"/>
  <c r="BQ48" i="163"/>
  <c r="BQ47" i="163"/>
  <c r="BQ46" i="163"/>
  <c r="BQ45" i="163"/>
  <c r="BQ44" i="163"/>
  <c r="BQ43" i="163"/>
  <c r="BQ42" i="163"/>
  <c r="BQ41" i="163"/>
  <c r="BQ40" i="163"/>
  <c r="BY53" i="163"/>
  <c r="BY52" i="163"/>
  <c r="BY51" i="163"/>
  <c r="BY54" i="163"/>
  <c r="BY50" i="163"/>
  <c r="BY49" i="163"/>
  <c r="BY48" i="163"/>
  <c r="BY47" i="163"/>
  <c r="BY46" i="163"/>
  <c r="BY45" i="163"/>
  <c r="BY44" i="163"/>
  <c r="BY43" i="163"/>
  <c r="BY42" i="163"/>
  <c r="BY41" i="163"/>
  <c r="BY40" i="163"/>
  <c r="CG53" i="163"/>
  <c r="CG52" i="163"/>
  <c r="CG51" i="163"/>
  <c r="CG54" i="163"/>
  <c r="CG50" i="163"/>
  <c r="CG49" i="163"/>
  <c r="CG48" i="163"/>
  <c r="CG47" i="163"/>
  <c r="CG46" i="163"/>
  <c r="CG45" i="163"/>
  <c r="CG44" i="163"/>
  <c r="CG43" i="163"/>
  <c r="CG42" i="163"/>
  <c r="CG41" i="163"/>
  <c r="CG40" i="163"/>
  <c r="CL52" i="163"/>
  <c r="CL51" i="163"/>
  <c r="CL54" i="163"/>
  <c r="CL50" i="163"/>
  <c r="CL53" i="163"/>
  <c r="CL49" i="163"/>
  <c r="CL48" i="163"/>
  <c r="CL47" i="163"/>
  <c r="CL46" i="163"/>
  <c r="CL45" i="163"/>
  <c r="CL44" i="163"/>
  <c r="CL43" i="163"/>
  <c r="CL42" i="163"/>
  <c r="CL41" i="163"/>
  <c r="CL40" i="163"/>
  <c r="CP52" i="163"/>
  <c r="CP51" i="163"/>
  <c r="CP54" i="163"/>
  <c r="CP50" i="163"/>
  <c r="CP53" i="163"/>
  <c r="CP49" i="163"/>
  <c r="CP48" i="163"/>
  <c r="CP47" i="163"/>
  <c r="CP46" i="163"/>
  <c r="CP45" i="163"/>
  <c r="CP44" i="163"/>
  <c r="CP43" i="163"/>
  <c r="CP42" i="163"/>
  <c r="CP41" i="163"/>
  <c r="CP40" i="163"/>
  <c r="CT52" i="163"/>
  <c r="CT51" i="163"/>
  <c r="CT54" i="163"/>
  <c r="CT50" i="163"/>
  <c r="CT53" i="163"/>
  <c r="CT49" i="163"/>
  <c r="CT48" i="163"/>
  <c r="CT47" i="163"/>
  <c r="CT46" i="163"/>
  <c r="CT45" i="163"/>
  <c r="CT44" i="163"/>
  <c r="CT43" i="163"/>
  <c r="CT42" i="163"/>
  <c r="CT41" i="163"/>
  <c r="CT40" i="163"/>
  <c r="FM22" i="163"/>
  <c r="FV22" i="163"/>
  <c r="FZ22" i="163"/>
  <c r="D35" i="163"/>
  <c r="D34" i="163"/>
  <c r="D33" i="163"/>
  <c r="D39" i="163"/>
  <c r="D38" i="163"/>
  <c r="D37" i="163"/>
  <c r="D36" i="163"/>
  <c r="AQ35" i="163"/>
  <c r="AQ34" i="163"/>
  <c r="AQ33" i="163"/>
  <c r="AQ38" i="163"/>
  <c r="AQ37" i="163"/>
  <c r="AQ39" i="163"/>
  <c r="AQ36" i="163"/>
  <c r="AY39" i="163"/>
  <c r="AY35" i="163"/>
  <c r="AY34" i="163"/>
  <c r="AY33" i="163"/>
  <c r="AY38" i="163"/>
  <c r="AY37" i="163"/>
  <c r="AY36" i="163"/>
  <c r="BG39" i="163"/>
  <c r="BG35" i="163"/>
  <c r="BG34" i="163"/>
  <c r="BG33" i="163"/>
  <c r="BG38" i="163"/>
  <c r="BG37" i="163"/>
  <c r="BG36" i="163"/>
  <c r="BO39" i="163"/>
  <c r="BO36" i="163"/>
  <c r="BO34" i="163"/>
  <c r="BO33" i="163"/>
  <c r="BO35" i="163"/>
  <c r="BO38" i="163"/>
  <c r="BO37" i="163"/>
  <c r="BW39" i="163"/>
  <c r="BW36" i="163"/>
  <c r="BW34" i="163"/>
  <c r="BW33" i="163"/>
  <c r="BW35" i="163"/>
  <c r="BW38" i="163"/>
  <c r="BW37" i="163"/>
  <c r="CE39" i="163"/>
  <c r="CE36" i="163"/>
  <c r="CE34" i="163"/>
  <c r="CE33" i="163"/>
  <c r="CE35" i="163"/>
  <c r="CE38" i="163"/>
  <c r="CE37" i="163"/>
  <c r="CO39" i="163"/>
  <c r="CO34" i="163"/>
  <c r="CO33" i="163"/>
  <c r="CO38" i="163"/>
  <c r="CO37" i="163"/>
  <c r="CO36" i="163"/>
  <c r="CO35" i="163"/>
  <c r="CS39" i="163"/>
  <c r="CS34" i="163"/>
  <c r="CS33" i="163"/>
  <c r="CS32" i="163"/>
  <c r="CS37" i="163"/>
  <c r="CS38" i="163"/>
  <c r="CS36" i="163"/>
  <c r="CS35" i="163"/>
  <c r="FF23" i="163"/>
  <c r="FY23" i="163"/>
  <c r="AO25" i="163"/>
  <c r="AW25" i="163"/>
  <c r="BE25" i="163"/>
  <c r="BU25" i="163"/>
  <c r="CC25" i="163"/>
  <c r="CJ25" i="163"/>
  <c r="CR25" i="163"/>
  <c r="AO26" i="163"/>
  <c r="AW26" i="163"/>
  <c r="BE26" i="163"/>
  <c r="BU26" i="163"/>
  <c r="CC26" i="163"/>
  <c r="CJ26" i="163"/>
  <c r="CR26" i="163"/>
  <c r="AO27" i="163"/>
  <c r="AW27" i="163"/>
  <c r="BE27" i="163"/>
  <c r="BU27" i="163"/>
  <c r="CC27" i="163"/>
  <c r="CJ27" i="163"/>
  <c r="CR27" i="163"/>
  <c r="AO28" i="163"/>
  <c r="AW28" i="163"/>
  <c r="BE28" i="163"/>
  <c r="BU28" i="163"/>
  <c r="CC28" i="163"/>
  <c r="CJ28" i="163"/>
  <c r="CR28" i="163"/>
  <c r="AO29" i="163"/>
  <c r="AW29" i="163"/>
  <c r="BE29" i="163"/>
  <c r="BU29" i="163"/>
  <c r="CC29" i="163"/>
  <c r="CJ29" i="163"/>
  <c r="CR29" i="163"/>
  <c r="AO30" i="163"/>
  <c r="AW30" i="163"/>
  <c r="BE30" i="163"/>
  <c r="BU30" i="163"/>
  <c r="CC30" i="163"/>
  <c r="CJ30" i="163"/>
  <c r="CR30" i="163"/>
  <c r="AO31" i="163"/>
  <c r="AW31" i="163"/>
  <c r="BE31" i="163"/>
  <c r="BU31" i="163"/>
  <c r="CC31" i="163"/>
  <c r="CJ31" i="163"/>
  <c r="CR31" i="163"/>
  <c r="CU32" i="163"/>
  <c r="AO33" i="163"/>
  <c r="CI51" i="163"/>
  <c r="CI54" i="163"/>
  <c r="CI50" i="163"/>
  <c r="CI53" i="163"/>
  <c r="CI49" i="163"/>
  <c r="CI52" i="163"/>
  <c r="CI48" i="163"/>
  <c r="CI47" i="163"/>
  <c r="CI46" i="163"/>
  <c r="CI45" i="163"/>
  <c r="CI43" i="163"/>
  <c r="CI42" i="163"/>
  <c r="CI41" i="163"/>
  <c r="CI40" i="163"/>
  <c r="CI44" i="163"/>
  <c r="CM51" i="163"/>
  <c r="CM54" i="163"/>
  <c r="CM50" i="163"/>
  <c r="CM53" i="163"/>
  <c r="CM49" i="163"/>
  <c r="CM52" i="163"/>
  <c r="CM48" i="163"/>
  <c r="CM47" i="163"/>
  <c r="CM46" i="163"/>
  <c r="CM45" i="163"/>
  <c r="CM44" i="163"/>
  <c r="CM43" i="163"/>
  <c r="CM42" i="163"/>
  <c r="CM41" i="163"/>
  <c r="CM40" i="163"/>
  <c r="CQ51" i="163"/>
  <c r="CQ54" i="163"/>
  <c r="CQ50" i="163"/>
  <c r="CQ53" i="163"/>
  <c r="CQ49" i="163"/>
  <c r="CQ52" i="163"/>
  <c r="CQ48" i="163"/>
  <c r="CQ47" i="163"/>
  <c r="CQ46" i="163"/>
  <c r="CQ45" i="163"/>
  <c r="CQ44" i="163"/>
  <c r="CQ43" i="163"/>
  <c r="CQ42" i="163"/>
  <c r="CQ41" i="163"/>
  <c r="CQ40" i="163"/>
  <c r="CU51" i="163"/>
  <c r="CU54" i="163"/>
  <c r="CU50" i="163"/>
  <c r="CU53" i="163"/>
  <c r="CU49" i="163"/>
  <c r="CU52" i="163"/>
  <c r="CU48" i="163"/>
  <c r="CU47" i="163"/>
  <c r="CU46" i="163"/>
  <c r="CU45" i="163"/>
  <c r="CU44" i="163"/>
  <c r="CU43" i="163"/>
  <c r="CU42" i="163"/>
  <c r="CU41" i="163"/>
  <c r="CU40" i="163"/>
  <c r="EP19" i="163" s="1"/>
  <c r="AS39" i="163"/>
  <c r="AS38" i="163"/>
  <c r="AS37" i="163"/>
  <c r="AS36" i="163"/>
  <c r="AS35" i="163"/>
  <c r="AS34" i="163"/>
  <c r="BA39" i="163"/>
  <c r="BA38" i="163"/>
  <c r="BA37" i="163"/>
  <c r="BA36" i="163"/>
  <c r="BA35" i="163"/>
  <c r="BA34" i="163"/>
  <c r="BQ39" i="163"/>
  <c r="BQ38" i="163"/>
  <c r="BQ37" i="163"/>
  <c r="BQ36" i="163"/>
  <c r="BQ35" i="163"/>
  <c r="BQ34" i="163"/>
  <c r="BQ33" i="163"/>
  <c r="BY39" i="163"/>
  <c r="BY38" i="163"/>
  <c r="BY37" i="163"/>
  <c r="BY36" i="163"/>
  <c r="BY35" i="163"/>
  <c r="BY34" i="163"/>
  <c r="BY33" i="163"/>
  <c r="CG39" i="163"/>
  <c r="CG38" i="163"/>
  <c r="CG37" i="163"/>
  <c r="CG36" i="163"/>
  <c r="CG35" i="163"/>
  <c r="CG34" i="163"/>
  <c r="CG33" i="163"/>
  <c r="CL38" i="163"/>
  <c r="CL39" i="163"/>
  <c r="CL37" i="163"/>
  <c r="CL36" i="163"/>
  <c r="CL35" i="163"/>
  <c r="CL34" i="163"/>
  <c r="CL33" i="163"/>
  <c r="CP38" i="163"/>
  <c r="CP39" i="163"/>
  <c r="CP37" i="163"/>
  <c r="CP36" i="163"/>
  <c r="CP35" i="163"/>
  <c r="CP34" i="163"/>
  <c r="CP33" i="163"/>
  <c r="CT38" i="163"/>
  <c r="CT39" i="163"/>
  <c r="CT37" i="163"/>
  <c r="CT36" i="163"/>
  <c r="CT35" i="163"/>
  <c r="CT34" i="163"/>
  <c r="CT33" i="163"/>
  <c r="DH23" i="163"/>
  <c r="CZ23" i="163" s="1"/>
  <c r="GF23" i="163" s="1"/>
  <c r="FV23" i="163"/>
  <c r="FZ23" i="163"/>
  <c r="D25" i="163"/>
  <c r="AQ25" i="163"/>
  <c r="AY25" i="163"/>
  <c r="BG25" i="163"/>
  <c r="BO25" i="163"/>
  <c r="BW25" i="163"/>
  <c r="CE25" i="163"/>
  <c r="CO25" i="163"/>
  <c r="CS25" i="163"/>
  <c r="D26" i="163"/>
  <c r="AQ26" i="163"/>
  <c r="AY26" i="163"/>
  <c r="BG26" i="163"/>
  <c r="BO26" i="163"/>
  <c r="BW26" i="163"/>
  <c r="CE26" i="163"/>
  <c r="CO26" i="163"/>
  <c r="CS26" i="163"/>
  <c r="D27" i="163"/>
  <c r="AQ27" i="163"/>
  <c r="AY27" i="163"/>
  <c r="BG27" i="163"/>
  <c r="BO27" i="163"/>
  <c r="BW27" i="163"/>
  <c r="CE27" i="163"/>
  <c r="CO27" i="163"/>
  <c r="CS27" i="163"/>
  <c r="D28" i="163"/>
  <c r="AQ28" i="163"/>
  <c r="AY28" i="163"/>
  <c r="BG28" i="163"/>
  <c r="BO28" i="163"/>
  <c r="BW28" i="163"/>
  <c r="CE28" i="163"/>
  <c r="CO28" i="163"/>
  <c r="CS28" i="163"/>
  <c r="D29" i="163"/>
  <c r="AQ29" i="163"/>
  <c r="AY29" i="163"/>
  <c r="BG29" i="163"/>
  <c r="BO29" i="163"/>
  <c r="BW29" i="163"/>
  <c r="CE29" i="163"/>
  <c r="CO29" i="163"/>
  <c r="CS29" i="163"/>
  <c r="D30" i="163"/>
  <c r="AQ30" i="163"/>
  <c r="AY30" i="163"/>
  <c r="BG30" i="163"/>
  <c r="BO30" i="163"/>
  <c r="BW30" i="163"/>
  <c r="CE30" i="163"/>
  <c r="CO30" i="163"/>
  <c r="CS30" i="163"/>
  <c r="D31" i="163"/>
  <c r="AQ31" i="163"/>
  <c r="AY31" i="163"/>
  <c r="BG31" i="163"/>
  <c r="BO31" i="163"/>
  <c r="BW31" i="163"/>
  <c r="CE31" i="163"/>
  <c r="CO31" i="163"/>
  <c r="CS31" i="163"/>
  <c r="AM32" i="163"/>
  <c r="AU32" i="163"/>
  <c r="BC32" i="163"/>
  <c r="BS32" i="163"/>
  <c r="CA32" i="163"/>
  <c r="CI32" i="163"/>
  <c r="CM32" i="163"/>
  <c r="CQ32" i="163"/>
  <c r="AS33" i="163"/>
  <c r="CH54" i="162"/>
  <c r="CF54" i="162"/>
  <c r="CD54" i="162"/>
  <c r="CB54" i="162"/>
  <c r="BZ54" i="162"/>
  <c r="BX54" i="162"/>
  <c r="BV54" i="162"/>
  <c r="BT54" i="162"/>
  <c r="BR54" i="162"/>
  <c r="BP54" i="162"/>
  <c r="BN54" i="162"/>
  <c r="BL54" i="162"/>
  <c r="BJ54" i="162"/>
  <c r="CH53" i="162"/>
  <c r="CF53" i="162"/>
  <c r="CD53" i="162"/>
  <c r="CB53" i="162"/>
  <c r="BZ53" i="162"/>
  <c r="BX53" i="162"/>
  <c r="BV53" i="162"/>
  <c r="BT53" i="162"/>
  <c r="BR53" i="162"/>
  <c r="BP53" i="162"/>
  <c r="BN53" i="162"/>
  <c r="BL53" i="162"/>
  <c r="BJ53" i="162"/>
  <c r="CH52" i="162"/>
  <c r="CF52" i="162"/>
  <c r="CD52" i="162"/>
  <c r="CB52" i="162"/>
  <c r="BZ52" i="162"/>
  <c r="BX52" i="162"/>
  <c r="BV52" i="162"/>
  <c r="BT52" i="162"/>
  <c r="BR52" i="162"/>
  <c r="BP52" i="162"/>
  <c r="BN52" i="162"/>
  <c r="BL52" i="162"/>
  <c r="BJ52" i="162"/>
  <c r="CH51" i="162"/>
  <c r="CF51" i="162"/>
  <c r="CD51" i="162"/>
  <c r="CB51" i="162"/>
  <c r="BZ51" i="162"/>
  <c r="BX51" i="162"/>
  <c r="BV51" i="162"/>
  <c r="BT51" i="162"/>
  <c r="BR51" i="162"/>
  <c r="BP51" i="162"/>
  <c r="BN51" i="162"/>
  <c r="BL51" i="162"/>
  <c r="BJ51" i="162"/>
  <c r="CH50" i="162"/>
  <c r="CF50" i="162"/>
  <c r="CD50" i="162"/>
  <c r="CB50" i="162"/>
  <c r="BZ50" i="162"/>
  <c r="BX50" i="162"/>
  <c r="BV50" i="162"/>
  <c r="BT50" i="162"/>
  <c r="BR50" i="162"/>
  <c r="BP50" i="162"/>
  <c r="BN50" i="162"/>
  <c r="BL50" i="162"/>
  <c r="BJ50" i="162"/>
  <c r="CH39" i="162"/>
  <c r="CF39" i="162"/>
  <c r="CD39" i="162"/>
  <c r="CB39" i="162"/>
  <c r="BZ39" i="162"/>
  <c r="BX39" i="162"/>
  <c r="BV39" i="162"/>
  <c r="BT39" i="162"/>
  <c r="BR39" i="162"/>
  <c r="BP39" i="162"/>
  <c r="BN39" i="162"/>
  <c r="BL39" i="162"/>
  <c r="BJ39" i="162"/>
  <c r="CH38" i="162"/>
  <c r="CF38" i="162"/>
  <c r="CD38" i="162"/>
  <c r="CB38" i="162"/>
  <c r="BZ38" i="162"/>
  <c r="BX38" i="162"/>
  <c r="BV38" i="162"/>
  <c r="BT38" i="162"/>
  <c r="BR38" i="162"/>
  <c r="BP38" i="162"/>
  <c r="BN38" i="162"/>
  <c r="BL38" i="162"/>
  <c r="BJ38" i="162"/>
  <c r="CH37" i="162"/>
  <c r="CF37" i="162"/>
  <c r="CD37" i="162"/>
  <c r="CB37" i="162"/>
  <c r="BZ37" i="162"/>
  <c r="BX37" i="162"/>
  <c r="BV37" i="162"/>
  <c r="BT37" i="162"/>
  <c r="BR37" i="162"/>
  <c r="BP37" i="162"/>
  <c r="BN37" i="162"/>
  <c r="BL37" i="162"/>
  <c r="BJ37" i="162"/>
  <c r="CH36" i="162"/>
  <c r="CF36" i="162"/>
  <c r="CD36" i="162"/>
  <c r="CB36" i="162"/>
  <c r="BZ36" i="162"/>
  <c r="BX36" i="162"/>
  <c r="BV36" i="162"/>
  <c r="BT36" i="162"/>
  <c r="BR36" i="162"/>
  <c r="BP36" i="162"/>
  <c r="BN36" i="162"/>
  <c r="BL36" i="162"/>
  <c r="BJ36" i="162"/>
  <c r="CH35" i="162"/>
  <c r="CF35" i="162"/>
  <c r="CD35" i="162"/>
  <c r="CB35" i="162"/>
  <c r="BZ35" i="162"/>
  <c r="BX35" i="162"/>
  <c r="BV35" i="162"/>
  <c r="BT35" i="162"/>
  <c r="BR35" i="162"/>
  <c r="BP35" i="162"/>
  <c r="BN35" i="162"/>
  <c r="BL35" i="162"/>
  <c r="BJ35" i="162"/>
  <c r="CU23" i="162"/>
  <c r="CT23" i="162"/>
  <c r="CS23" i="162"/>
  <c r="CS32" i="162" s="1"/>
  <c r="CR23" i="162"/>
  <c r="CR39" i="162" s="1"/>
  <c r="CQ23" i="162"/>
  <c r="CP23" i="162"/>
  <c r="CO23" i="162"/>
  <c r="CM23" i="162"/>
  <c r="CL23" i="162"/>
  <c r="CJ23" i="162"/>
  <c r="FS23" i="162" s="1"/>
  <c r="CI23" i="162"/>
  <c r="CG23" i="162"/>
  <c r="CE23" i="162"/>
  <c r="CE36" i="162" s="1"/>
  <c r="CC23" i="162"/>
  <c r="CC38" i="162" s="1"/>
  <c r="CA23" i="162"/>
  <c r="BY23" i="162"/>
  <c r="BW23" i="162"/>
  <c r="BW32" i="162" s="1"/>
  <c r="BU23" i="162"/>
  <c r="BS23" i="162"/>
  <c r="BQ23" i="162"/>
  <c r="BO23" i="162"/>
  <c r="BO36" i="162" s="1"/>
  <c r="BG23" i="162"/>
  <c r="BE23" i="162"/>
  <c r="BC23" i="162"/>
  <c r="BC37" i="162" s="1"/>
  <c r="BA23" i="162"/>
  <c r="AY23" i="162"/>
  <c r="AW23" i="162"/>
  <c r="AW32" i="162" s="1"/>
  <c r="AU23" i="162"/>
  <c r="AS23" i="162"/>
  <c r="AQ23" i="162"/>
  <c r="AQ39" i="162" s="1"/>
  <c r="AO23" i="162"/>
  <c r="AM23" i="162"/>
  <c r="D23" i="162"/>
  <c r="FQ22" i="162"/>
  <c r="FO22" i="162"/>
  <c r="CU22" i="162"/>
  <c r="CT22" i="162"/>
  <c r="CS22" i="162"/>
  <c r="CS25" i="162" s="1"/>
  <c r="CR22" i="162"/>
  <c r="FY22" i="162" s="1"/>
  <c r="CQ22" i="162"/>
  <c r="CP22" i="162"/>
  <c r="CO22" i="162"/>
  <c r="CO25" i="162" s="1"/>
  <c r="CM22" i="162"/>
  <c r="CL22" i="162"/>
  <c r="CJ22" i="162"/>
  <c r="FS22" i="162" s="1"/>
  <c r="CI22" i="162"/>
  <c r="CG22" i="162"/>
  <c r="CE22" i="162"/>
  <c r="CE25" i="162" s="1"/>
  <c r="CC22" i="162"/>
  <c r="CA22" i="162"/>
  <c r="BY22" i="162"/>
  <c r="BW22" i="162"/>
  <c r="BW25" i="162" s="1"/>
  <c r="BU22" i="162"/>
  <c r="BS22" i="162"/>
  <c r="BQ22" i="162"/>
  <c r="BO22" i="162"/>
  <c r="BO25" i="162" s="1"/>
  <c r="BG22" i="162"/>
  <c r="BG25" i="162" s="1"/>
  <c r="BE22" i="162"/>
  <c r="BC22" i="162"/>
  <c r="BA22" i="162"/>
  <c r="AY22" i="162"/>
  <c r="AY25" i="162" s="1"/>
  <c r="AW22" i="162"/>
  <c r="AU22" i="162"/>
  <c r="AS22" i="162"/>
  <c r="AQ22" i="162"/>
  <c r="AQ25" i="162" s="1"/>
  <c r="AO22" i="162"/>
  <c r="AM22" i="162"/>
  <c r="D22" i="162"/>
  <c r="CU21" i="162"/>
  <c r="GB21" i="162" s="1"/>
  <c r="CT21" i="162"/>
  <c r="GA21" i="162" s="1"/>
  <c r="CS21" i="162"/>
  <c r="FZ21" i="162" s="1"/>
  <c r="CR21" i="162"/>
  <c r="FY21" i="162" s="1"/>
  <c r="CQ21" i="162"/>
  <c r="FX21" i="162" s="1"/>
  <c r="CP21" i="162"/>
  <c r="FW21" i="162" s="1"/>
  <c r="CO21" i="162"/>
  <c r="FV21" i="162" s="1"/>
  <c r="CM21" i="162"/>
  <c r="CL21" i="162"/>
  <c r="CJ21" i="162"/>
  <c r="FS21" i="162" s="1"/>
  <c r="CI21" i="162"/>
  <c r="CG21" i="162"/>
  <c r="CE21" i="162"/>
  <c r="CC21" i="162"/>
  <c r="CA21" i="162"/>
  <c r="BY21" i="162"/>
  <c r="BW21" i="162"/>
  <c r="BU21" i="162"/>
  <c r="BS21" i="162"/>
  <c r="BQ21" i="162"/>
  <c r="BO21" i="162"/>
  <c r="BG21" i="162"/>
  <c r="BE21" i="162"/>
  <c r="BC21" i="162"/>
  <c r="BA21" i="162"/>
  <c r="AY21" i="162"/>
  <c r="AW21" i="162"/>
  <c r="AU21" i="162"/>
  <c r="AS21" i="162"/>
  <c r="AQ21" i="162"/>
  <c r="AO21" i="162"/>
  <c r="AM21" i="162"/>
  <c r="D21" i="162"/>
  <c r="FF21" i="162" s="1"/>
  <c r="GA20" i="162"/>
  <c r="FU20" i="162"/>
  <c r="FT20" i="162"/>
  <c r="FS20" i="162"/>
  <c r="ET20" i="162"/>
  <c r="EN20" i="162"/>
  <c r="EF20" i="162"/>
  <c r="DY20" i="162"/>
  <c r="CN20" i="162"/>
  <c r="GA19" i="162"/>
  <c r="FT19" i="162"/>
  <c r="FS19" i="162"/>
  <c r="ET19" i="162"/>
  <c r="EN19" i="162"/>
  <c r="EF19" i="162"/>
  <c r="DY19" i="162"/>
  <c r="CN19" i="162"/>
  <c r="GB18" i="162"/>
  <c r="GA18" i="162"/>
  <c r="FZ18" i="162"/>
  <c r="FY18" i="162"/>
  <c r="FX18" i="162"/>
  <c r="FW18" i="162"/>
  <c r="FV18" i="162"/>
  <c r="FS18" i="162"/>
  <c r="FR18" i="162"/>
  <c r="FQ18" i="162"/>
  <c r="FO18" i="162"/>
  <c r="FF18" i="162"/>
  <c r="DQ18" i="162"/>
  <c r="DP18" i="162"/>
  <c r="DO18" i="162"/>
  <c r="DD18" i="162"/>
  <c r="CK18" i="162"/>
  <c r="FT18" i="162" s="1"/>
  <c r="BM18" i="162"/>
  <c r="BK18" i="162"/>
  <c r="BI18" i="162"/>
  <c r="AK18" i="162"/>
  <c r="AI18" i="162"/>
  <c r="G18" i="162" s="1"/>
  <c r="AG18" i="162"/>
  <c r="E18" i="162" s="1"/>
  <c r="AE18" i="162"/>
  <c r="EY18" i="162" s="1"/>
  <c r="AC18" i="162"/>
  <c r="EX18" i="162" s="1"/>
  <c r="AA18" i="162"/>
  <c r="Y18" i="162"/>
  <c r="FM18" i="162" s="1"/>
  <c r="W18" i="162"/>
  <c r="FK18" i="162" s="1"/>
  <c r="U18" i="162"/>
  <c r="S18" i="162"/>
  <c r="Q18" i="162"/>
  <c r="O18" i="162"/>
  <c r="M18" i="162"/>
  <c r="K18" i="162"/>
  <c r="GB17" i="162"/>
  <c r="GA17" i="162"/>
  <c r="FZ17" i="162"/>
  <c r="FY17" i="162"/>
  <c r="FX17" i="162"/>
  <c r="FW17" i="162"/>
  <c r="FV17" i="162"/>
  <c r="FT17" i="162"/>
  <c r="FS17" i="162"/>
  <c r="FQ17" i="162"/>
  <c r="FO17" i="162"/>
  <c r="FF17" i="162"/>
  <c r="DQ17" i="162"/>
  <c r="DP17" i="162"/>
  <c r="DO17" i="162"/>
  <c r="CK17" i="162"/>
  <c r="CN17" i="162" s="1"/>
  <c r="FU17" i="162" s="1"/>
  <c r="BM17" i="162"/>
  <c r="BK17" i="162"/>
  <c r="BI17" i="162"/>
  <c r="AK17" i="162"/>
  <c r="I17" i="162" s="1"/>
  <c r="AI17" i="162"/>
  <c r="AG17" i="162"/>
  <c r="E17" i="162" s="1"/>
  <c r="AE17" i="162"/>
  <c r="EY17" i="162" s="1"/>
  <c r="AA17" i="162"/>
  <c r="Y17" i="162"/>
  <c r="FM17" i="162" s="1"/>
  <c r="W17" i="162"/>
  <c r="FK17" i="162" s="1"/>
  <c r="U17" i="162"/>
  <c r="S17" i="162"/>
  <c r="Q17" i="162"/>
  <c r="O17" i="162"/>
  <c r="O22" i="162" s="1"/>
  <c r="M17" i="162"/>
  <c r="K17" i="162"/>
  <c r="GB16" i="162"/>
  <c r="GA16" i="162"/>
  <c r="FZ16" i="162"/>
  <c r="FY16" i="162"/>
  <c r="FX16" i="162"/>
  <c r="FW16" i="162"/>
  <c r="FV16" i="162"/>
  <c r="FS16" i="162"/>
  <c r="FQ16" i="162"/>
  <c r="FO16" i="162"/>
  <c r="FR16" i="162" s="1"/>
  <c r="FF16" i="162"/>
  <c r="DQ16" i="162"/>
  <c r="DP16" i="162"/>
  <c r="DO16" i="162"/>
  <c r="CK16" i="162"/>
  <c r="FT16" i="162" s="1"/>
  <c r="BM16" i="162"/>
  <c r="BK16" i="162"/>
  <c r="BI16" i="162"/>
  <c r="E16" i="162" s="1"/>
  <c r="AK16" i="162"/>
  <c r="I16" i="162" s="1"/>
  <c r="AI16" i="162"/>
  <c r="AG16" i="162"/>
  <c r="AE16" i="162"/>
  <c r="AC16" i="162" s="1"/>
  <c r="EX16" i="162" s="1"/>
  <c r="AA16" i="162"/>
  <c r="Y16" i="162"/>
  <c r="FM16" i="162" s="1"/>
  <c r="W16" i="162"/>
  <c r="U16" i="162"/>
  <c r="S16" i="162"/>
  <c r="Q16" i="162"/>
  <c r="O16" i="162"/>
  <c r="M16" i="162"/>
  <c r="K16" i="162"/>
  <c r="G16" i="162"/>
  <c r="GB15" i="162"/>
  <c r="GA15" i="162"/>
  <c r="FZ15" i="162"/>
  <c r="FY15" i="162"/>
  <c r="FX15" i="162"/>
  <c r="FW15" i="162"/>
  <c r="FV15" i="162"/>
  <c r="FS15" i="162"/>
  <c r="FR15" i="162"/>
  <c r="FQ15" i="162"/>
  <c r="FO15" i="162"/>
  <c r="FF15" i="162"/>
  <c r="DQ15" i="162"/>
  <c r="DP15" i="162"/>
  <c r="DO15" i="162"/>
  <c r="DD15" i="162"/>
  <c r="CK15" i="162"/>
  <c r="BM15" i="162"/>
  <c r="BK15" i="162"/>
  <c r="BI15" i="162"/>
  <c r="AK15" i="162"/>
  <c r="I15" i="162" s="1"/>
  <c r="AI15" i="162"/>
  <c r="G15" i="162" s="1"/>
  <c r="AG15" i="162"/>
  <c r="AE15" i="162"/>
  <c r="EY15" i="162" s="1"/>
  <c r="AA15" i="162"/>
  <c r="Y15" i="162"/>
  <c r="FM15" i="162" s="1"/>
  <c r="W15" i="162"/>
  <c r="FK15" i="162" s="1"/>
  <c r="U15" i="162"/>
  <c r="U22" i="162" s="1"/>
  <c r="S15" i="162"/>
  <c r="S22" i="162" s="1"/>
  <c r="S45" i="162" s="1"/>
  <c r="Q15" i="162"/>
  <c r="Q22" i="162" s="1"/>
  <c r="O15" i="162"/>
  <c r="M15" i="162"/>
  <c r="K15" i="162"/>
  <c r="E15" i="162"/>
  <c r="GB14" i="162"/>
  <c r="GA14" i="162"/>
  <c r="FZ14" i="162"/>
  <c r="FY14" i="162"/>
  <c r="FX14" i="162"/>
  <c r="FW14" i="162"/>
  <c r="FV14" i="162"/>
  <c r="FS14" i="162"/>
  <c r="FR14" i="162"/>
  <c r="FQ14" i="162"/>
  <c r="FO14" i="162"/>
  <c r="FF14" i="162"/>
  <c r="DQ14" i="162"/>
  <c r="DP14" i="162"/>
  <c r="DO14" i="162"/>
  <c r="CK14" i="162"/>
  <c r="FT14" i="162" s="1"/>
  <c r="BM14" i="162"/>
  <c r="BK14" i="162"/>
  <c r="BI14" i="162"/>
  <c r="AK14" i="162"/>
  <c r="AI14" i="162"/>
  <c r="G14" i="162" s="1"/>
  <c r="AG14" i="162"/>
  <c r="AE14" i="162"/>
  <c r="EY14" i="162" s="1"/>
  <c r="AC14" i="162"/>
  <c r="EX14" i="162" s="1"/>
  <c r="AA14" i="162"/>
  <c r="Y14" i="162"/>
  <c r="FM14" i="162" s="1"/>
  <c r="W14" i="162"/>
  <c r="FK14" i="162" s="1"/>
  <c r="U14" i="162"/>
  <c r="S14" i="162"/>
  <c r="Q14" i="162"/>
  <c r="O14" i="162"/>
  <c r="M14" i="162"/>
  <c r="K14" i="162"/>
  <c r="GB13" i="162"/>
  <c r="GA13" i="162"/>
  <c r="FZ13" i="162"/>
  <c r="FY13" i="162"/>
  <c r="FX13" i="162"/>
  <c r="FW13" i="162"/>
  <c r="FV13" i="162"/>
  <c r="FS13" i="162"/>
  <c r="FQ13" i="162"/>
  <c r="FO13" i="162"/>
  <c r="FF13" i="162"/>
  <c r="DQ13" i="162"/>
  <c r="DP13" i="162"/>
  <c r="DO13" i="162"/>
  <c r="DD13" i="162"/>
  <c r="CK13" i="162"/>
  <c r="FT13" i="162" s="1"/>
  <c r="BM13" i="162"/>
  <c r="BM22" i="162" s="1"/>
  <c r="BK13" i="162"/>
  <c r="BI13" i="162"/>
  <c r="BI22" i="162" s="1"/>
  <c r="AK13" i="162"/>
  <c r="I13" i="162" s="1"/>
  <c r="AI13" i="162"/>
  <c r="AG13" i="162"/>
  <c r="E13" i="162" s="1"/>
  <c r="AE13" i="162"/>
  <c r="EY13" i="162" s="1"/>
  <c r="AA13" i="162"/>
  <c r="Y13" i="162"/>
  <c r="FM13" i="162" s="1"/>
  <c r="W13" i="162"/>
  <c r="FK13" i="162" s="1"/>
  <c r="U13" i="162"/>
  <c r="S13" i="162"/>
  <c r="Q13" i="162"/>
  <c r="O13" i="162"/>
  <c r="M13" i="162"/>
  <c r="K13" i="162"/>
  <c r="K22" i="162" s="1"/>
  <c r="GB12" i="162"/>
  <c r="GA12" i="162"/>
  <c r="FZ12" i="162"/>
  <c r="FY12" i="162"/>
  <c r="FX12" i="162"/>
  <c r="FW12" i="162"/>
  <c r="FV12" i="162"/>
  <c r="FS12" i="162"/>
  <c r="FQ12" i="162"/>
  <c r="FO12" i="162"/>
  <c r="FR12" i="162" s="1"/>
  <c r="FF12" i="162"/>
  <c r="DQ12" i="162"/>
  <c r="DP12" i="162"/>
  <c r="DO12" i="162"/>
  <c r="DD12" i="162"/>
  <c r="CK12" i="162"/>
  <c r="CN12" i="162" s="1"/>
  <c r="FU12" i="162" s="1"/>
  <c r="BM12" i="162"/>
  <c r="BK12" i="162"/>
  <c r="G12" i="162" s="1"/>
  <c r="BI12" i="162"/>
  <c r="E12" i="162" s="1"/>
  <c r="AK12" i="162"/>
  <c r="I12" i="162" s="1"/>
  <c r="AI12" i="162"/>
  <c r="AG12" i="162"/>
  <c r="AE12" i="162"/>
  <c r="AC12" i="162" s="1"/>
  <c r="EX12" i="162" s="1"/>
  <c r="AA12" i="162"/>
  <c r="Y12" i="162"/>
  <c r="FM12" i="162" s="1"/>
  <c r="W12" i="162"/>
  <c r="DF12" i="162" s="1"/>
  <c r="U12" i="162"/>
  <c r="S12" i="162"/>
  <c r="Q12" i="162"/>
  <c r="O12" i="162"/>
  <c r="M12" i="162"/>
  <c r="K12" i="162"/>
  <c r="GB11" i="162"/>
  <c r="GA11" i="162"/>
  <c r="FZ11" i="162"/>
  <c r="FY11" i="162"/>
  <c r="FX11" i="162"/>
  <c r="FW11" i="162"/>
  <c r="FV11" i="162"/>
  <c r="FS11" i="162"/>
  <c r="FR11" i="162"/>
  <c r="FQ11" i="162"/>
  <c r="FO11" i="162"/>
  <c r="FG11" i="162"/>
  <c r="FF11" i="162"/>
  <c r="EX11" i="162"/>
  <c r="DQ11" i="162"/>
  <c r="DP11" i="162"/>
  <c r="DO11" i="162"/>
  <c r="CK11" i="162"/>
  <c r="BM11" i="162"/>
  <c r="BK11" i="162"/>
  <c r="BI11" i="162"/>
  <c r="AK11" i="162"/>
  <c r="I11" i="162" s="1"/>
  <c r="AI11" i="162"/>
  <c r="G11" i="162" s="1"/>
  <c r="FI11" i="162" s="1"/>
  <c r="AG11" i="162"/>
  <c r="AE11" i="162"/>
  <c r="EY11" i="162" s="1"/>
  <c r="AC11" i="162"/>
  <c r="AA11" i="162"/>
  <c r="Y11" i="162"/>
  <c r="FM11" i="162" s="1"/>
  <c r="W11" i="162"/>
  <c r="FK11" i="162" s="1"/>
  <c r="U11" i="162"/>
  <c r="S11" i="162"/>
  <c r="Q11" i="162"/>
  <c r="O11" i="162"/>
  <c r="M11" i="162"/>
  <c r="K11" i="162"/>
  <c r="E11" i="162"/>
  <c r="GB10" i="162"/>
  <c r="GA10" i="162"/>
  <c r="FZ10" i="162"/>
  <c r="FY10" i="162"/>
  <c r="FX10" i="162"/>
  <c r="FW10" i="162"/>
  <c r="FV10" i="162"/>
  <c r="FS10" i="162"/>
  <c r="FR10" i="162"/>
  <c r="FQ10" i="162"/>
  <c r="FO10" i="162"/>
  <c r="FK10" i="162"/>
  <c r="FF10" i="162"/>
  <c r="DY10" i="162"/>
  <c r="DQ10" i="162"/>
  <c r="DP10" i="162"/>
  <c r="DO10" i="162"/>
  <c r="DD10" i="162"/>
  <c r="CK10" i="162"/>
  <c r="FT10" i="162" s="1"/>
  <c r="BM10" i="162"/>
  <c r="BK10" i="162"/>
  <c r="BI10" i="162"/>
  <c r="AK10" i="162"/>
  <c r="AI10" i="162"/>
  <c r="AG10" i="162"/>
  <c r="E10" i="162" s="1"/>
  <c r="FG10" i="162" s="1"/>
  <c r="AE10" i="162"/>
  <c r="EY10" i="162" s="1"/>
  <c r="AC10" i="162"/>
  <c r="EX10" i="162" s="1"/>
  <c r="AA10" i="162"/>
  <c r="Y10" i="162"/>
  <c r="FM10" i="162" s="1"/>
  <c r="W10" i="162"/>
  <c r="U10" i="162"/>
  <c r="S10" i="162"/>
  <c r="Q10" i="162"/>
  <c r="O10" i="162"/>
  <c r="M10" i="162"/>
  <c r="K10" i="162"/>
  <c r="I10" i="162"/>
  <c r="GB9" i="162"/>
  <c r="GA9" i="162"/>
  <c r="FZ9" i="162"/>
  <c r="FY9" i="162"/>
  <c r="FX9" i="162"/>
  <c r="FW9" i="162"/>
  <c r="FV9" i="162"/>
  <c r="FS9" i="162"/>
  <c r="FQ9" i="162"/>
  <c r="FO9" i="162"/>
  <c r="FF9" i="162"/>
  <c r="EY9" i="162"/>
  <c r="DQ9" i="162"/>
  <c r="DP9" i="162"/>
  <c r="DO9" i="162"/>
  <c r="CK9" i="162"/>
  <c r="FT9" i="162" s="1"/>
  <c r="BM9" i="162"/>
  <c r="BK9" i="162"/>
  <c r="BI9" i="162"/>
  <c r="E9" i="162" s="1"/>
  <c r="AK9" i="162"/>
  <c r="AI9" i="162"/>
  <c r="AG9" i="162"/>
  <c r="AE9" i="162"/>
  <c r="AC9" i="162"/>
  <c r="EX9" i="162" s="1"/>
  <c r="EF9" i="162" s="1"/>
  <c r="AA9" i="162"/>
  <c r="Y9" i="162"/>
  <c r="FM9" i="162" s="1"/>
  <c r="W9" i="162"/>
  <c r="FK9" i="162" s="1"/>
  <c r="U9" i="162"/>
  <c r="S9" i="162"/>
  <c r="Q9" i="162"/>
  <c r="O9" i="162"/>
  <c r="M9" i="162"/>
  <c r="K9" i="162"/>
  <c r="GB8" i="162"/>
  <c r="GA8" i="162"/>
  <c r="FZ8" i="162"/>
  <c r="FY8" i="162"/>
  <c r="FX8" i="162"/>
  <c r="FW8" i="162"/>
  <c r="FV8" i="162"/>
  <c r="FS8" i="162"/>
  <c r="FR8" i="162"/>
  <c r="FQ8" i="162"/>
  <c r="FO8" i="162"/>
  <c r="FK8" i="162"/>
  <c r="FF8" i="162"/>
  <c r="DQ8" i="162"/>
  <c r="DP8" i="162"/>
  <c r="DO8" i="162"/>
  <c r="CK8" i="162"/>
  <c r="CN8" i="162" s="1"/>
  <c r="FU8" i="162" s="1"/>
  <c r="BM8" i="162"/>
  <c r="I8" i="162" s="1"/>
  <c r="BK8" i="162"/>
  <c r="BI8" i="162"/>
  <c r="AK8" i="162"/>
  <c r="AI8" i="162"/>
  <c r="G8" i="162" s="1"/>
  <c r="AG8" i="162"/>
  <c r="E8" i="162" s="1"/>
  <c r="AE8" i="162"/>
  <c r="EY8" i="162" s="1"/>
  <c r="AA8" i="162"/>
  <c r="Y8" i="162"/>
  <c r="FM8" i="162" s="1"/>
  <c r="W8" i="162"/>
  <c r="U8" i="162"/>
  <c r="S8" i="162"/>
  <c r="Q8" i="162"/>
  <c r="O8" i="162"/>
  <c r="M8" i="162"/>
  <c r="K8" i="162"/>
  <c r="GB7" i="162"/>
  <c r="GA7" i="162"/>
  <c r="FZ7" i="162"/>
  <c r="FY7" i="162"/>
  <c r="FX7" i="162"/>
  <c r="FW7" i="162"/>
  <c r="FV7" i="162"/>
  <c r="FU7" i="162"/>
  <c r="FT7" i="162"/>
  <c r="FS7" i="162"/>
  <c r="FQ7" i="162"/>
  <c r="FO7" i="162"/>
  <c r="FR7" i="162" s="1"/>
  <c r="FK7" i="162"/>
  <c r="FF7" i="162"/>
  <c r="DQ7" i="162"/>
  <c r="DP7" i="162"/>
  <c r="DO7" i="162"/>
  <c r="DD7" i="162"/>
  <c r="CN7" i="162"/>
  <c r="CK7" i="162"/>
  <c r="BM7" i="162"/>
  <c r="BK7" i="162"/>
  <c r="G7" i="162" s="1"/>
  <c r="BI7" i="162"/>
  <c r="AK7" i="162"/>
  <c r="AI7" i="162"/>
  <c r="AG7" i="162"/>
  <c r="E7" i="162" s="1"/>
  <c r="AE7" i="162"/>
  <c r="EY7" i="162" s="1"/>
  <c r="AA7" i="162"/>
  <c r="Y7" i="162"/>
  <c r="FM7" i="162" s="1"/>
  <c r="W7" i="162"/>
  <c r="DF7" i="162" s="1"/>
  <c r="U7" i="162"/>
  <c r="S7" i="162"/>
  <c r="Q7" i="162"/>
  <c r="O7" i="162"/>
  <c r="M7" i="162"/>
  <c r="K7" i="162"/>
  <c r="I7" i="162"/>
  <c r="GB6" i="162"/>
  <c r="GA6" i="162"/>
  <c r="FZ6" i="162"/>
  <c r="FY6" i="162"/>
  <c r="FX6" i="162"/>
  <c r="FW6" i="162"/>
  <c r="FV6" i="162"/>
  <c r="FT6" i="162"/>
  <c r="FS6" i="162"/>
  <c r="FQ6" i="162"/>
  <c r="FO6" i="162"/>
  <c r="FR6" i="162" s="1"/>
  <c r="FM6" i="162"/>
  <c r="FF6" i="162"/>
  <c r="DQ6" i="162"/>
  <c r="DP6" i="162"/>
  <c r="DO6" i="162"/>
  <c r="DD6" i="162"/>
  <c r="CN6" i="162"/>
  <c r="FU6" i="162" s="1"/>
  <c r="CK6" i="162"/>
  <c r="BM6" i="162"/>
  <c r="BK6" i="162"/>
  <c r="BI6" i="162"/>
  <c r="E6" i="162" s="1"/>
  <c r="AK6" i="162"/>
  <c r="I6" i="162" s="1"/>
  <c r="AI6" i="162"/>
  <c r="AG6" i="162"/>
  <c r="AE6" i="162"/>
  <c r="AC6" i="162" s="1"/>
  <c r="EX6" i="162" s="1"/>
  <c r="AA6" i="162"/>
  <c r="Y6" i="162"/>
  <c r="W6" i="162"/>
  <c r="U6" i="162"/>
  <c r="S6" i="162"/>
  <c r="Q6" i="162"/>
  <c r="O6" i="162"/>
  <c r="M6" i="162"/>
  <c r="K6" i="162"/>
  <c r="G6" i="162"/>
  <c r="FI6" i="162" s="1"/>
  <c r="GB5" i="162"/>
  <c r="GA5" i="162"/>
  <c r="FZ5" i="162"/>
  <c r="FY5" i="162"/>
  <c r="FX5" i="162"/>
  <c r="FW5" i="162"/>
  <c r="FV5" i="162"/>
  <c r="FS5" i="162"/>
  <c r="FR5" i="162"/>
  <c r="FQ5" i="162"/>
  <c r="FO5" i="162"/>
  <c r="FN5" i="162"/>
  <c r="FM5" i="162"/>
  <c r="FK5" i="162"/>
  <c r="FF5" i="162"/>
  <c r="DQ5" i="162"/>
  <c r="DP5" i="162"/>
  <c r="DO5" i="162"/>
  <c r="CK5" i="162"/>
  <c r="BM5" i="162"/>
  <c r="BK5" i="162"/>
  <c r="BI5" i="162"/>
  <c r="AK5" i="162"/>
  <c r="I5" i="162" s="1"/>
  <c r="AI5" i="162"/>
  <c r="G5" i="162" s="1"/>
  <c r="AG5" i="162"/>
  <c r="AE5" i="162"/>
  <c r="EY5" i="162" s="1"/>
  <c r="AC5" i="162"/>
  <c r="EX5" i="162" s="1"/>
  <c r="AA5" i="162"/>
  <c r="Y5" i="162"/>
  <c r="W5" i="162"/>
  <c r="DF5" i="162" s="1"/>
  <c r="U5" i="162"/>
  <c r="S5" i="162"/>
  <c r="Q5" i="162"/>
  <c r="O5" i="162"/>
  <c r="M5" i="162"/>
  <c r="K5" i="162"/>
  <c r="E5" i="162"/>
  <c r="FG5" i="162" s="1"/>
  <c r="GB4" i="162"/>
  <c r="GA4" i="162"/>
  <c r="FZ4" i="162"/>
  <c r="FY4" i="162"/>
  <c r="FX4" i="162"/>
  <c r="FW4" i="162"/>
  <c r="FV4" i="162"/>
  <c r="FS4" i="162"/>
  <c r="FR4" i="162"/>
  <c r="FQ4" i="162"/>
  <c r="FO4" i="162"/>
  <c r="FF4" i="162"/>
  <c r="DQ4" i="162"/>
  <c r="DP4" i="162"/>
  <c r="DO4" i="162"/>
  <c r="CK4" i="162"/>
  <c r="FT4" i="162" s="1"/>
  <c r="BM4" i="162"/>
  <c r="BK4" i="162"/>
  <c r="BI4" i="162"/>
  <c r="AK4" i="162"/>
  <c r="AI4" i="162"/>
  <c r="AG4" i="162"/>
  <c r="E4" i="162" s="1"/>
  <c r="AE4" i="162"/>
  <c r="AA4" i="162"/>
  <c r="Y4" i="162"/>
  <c r="FM4" i="162" s="1"/>
  <c r="W4" i="162"/>
  <c r="FK4" i="162" s="1"/>
  <c r="U4" i="162"/>
  <c r="S4" i="162"/>
  <c r="Q4" i="162"/>
  <c r="O4" i="162"/>
  <c r="M4" i="162"/>
  <c r="K4" i="162"/>
  <c r="DW15" i="161"/>
  <c r="EG4" i="161"/>
  <c r="DV15" i="161"/>
  <c r="DU15" i="161" s="1"/>
  <c r="EG15" i="161" s="1"/>
  <c r="DV5" i="161"/>
  <c r="DV4" i="161"/>
  <c r="DV6" i="161"/>
  <c r="DV7" i="161"/>
  <c r="DV8" i="161"/>
  <c r="DV9" i="161"/>
  <c r="DV10" i="161"/>
  <c r="DV11" i="161"/>
  <c r="DV12" i="161"/>
  <c r="DV13" i="161"/>
  <c r="DV14" i="161"/>
  <c r="DV16" i="161"/>
  <c r="DV17" i="161"/>
  <c r="DV18" i="161"/>
  <c r="DV19" i="161"/>
  <c r="DV20" i="161"/>
  <c r="EH4" i="161"/>
  <c r="EJ5" i="107"/>
  <c r="EJ6" i="107"/>
  <c r="EJ7" i="107"/>
  <c r="EJ8" i="107"/>
  <c r="EJ9" i="107"/>
  <c r="EJ10" i="107"/>
  <c r="EJ11" i="107"/>
  <c r="EJ12" i="107"/>
  <c r="EJ13" i="107"/>
  <c r="EJ14" i="107"/>
  <c r="EJ15" i="107"/>
  <c r="EJ16" i="107"/>
  <c r="EJ17" i="107"/>
  <c r="EJ18" i="107"/>
  <c r="EJ19" i="107"/>
  <c r="EJ20" i="107"/>
  <c r="EJ4" i="107"/>
  <c r="EJ5" i="159"/>
  <c r="EJ6" i="159"/>
  <c r="EJ7" i="159"/>
  <c r="EJ8" i="159"/>
  <c r="EJ9" i="159"/>
  <c r="EJ10" i="159"/>
  <c r="EJ11" i="159"/>
  <c r="EJ12" i="159"/>
  <c r="EJ13" i="159"/>
  <c r="EJ14" i="159"/>
  <c r="EJ15" i="159"/>
  <c r="EJ16" i="159"/>
  <c r="EJ17" i="159"/>
  <c r="EJ18" i="159"/>
  <c r="EJ19" i="159"/>
  <c r="EJ20" i="159"/>
  <c r="EJ4" i="159"/>
  <c r="EJ5" i="160"/>
  <c r="EJ6" i="160"/>
  <c r="EJ7" i="160"/>
  <c r="EJ8" i="160"/>
  <c r="EJ9" i="160"/>
  <c r="EJ10" i="160"/>
  <c r="EJ11" i="160"/>
  <c r="EJ12" i="160"/>
  <c r="EJ13" i="160"/>
  <c r="EJ14" i="160"/>
  <c r="EJ15" i="160"/>
  <c r="EJ16" i="160"/>
  <c r="EJ17" i="160"/>
  <c r="EJ18" i="160"/>
  <c r="EJ19" i="160"/>
  <c r="EJ20" i="160"/>
  <c r="EJ4" i="160"/>
  <c r="EJ5" i="161"/>
  <c r="EJ6" i="161"/>
  <c r="EJ7" i="161"/>
  <c r="EJ8" i="161"/>
  <c r="EJ9" i="161"/>
  <c r="EJ10" i="161"/>
  <c r="EJ11" i="161"/>
  <c r="EJ12" i="161"/>
  <c r="EJ13" i="161"/>
  <c r="EJ14" i="161"/>
  <c r="EJ15" i="161"/>
  <c r="EJ16" i="161"/>
  <c r="EJ17" i="161"/>
  <c r="EJ18" i="161"/>
  <c r="EJ19" i="161"/>
  <c r="EJ20" i="161"/>
  <c r="EJ4" i="161"/>
  <c r="DY4" i="161"/>
  <c r="DX4" i="161"/>
  <c r="DW4" i="161"/>
  <c r="CV4" i="161"/>
  <c r="DV8" i="165" l="1"/>
  <c r="DL8" i="165"/>
  <c r="DZ8" i="165"/>
  <c r="EC8" i="165" s="1"/>
  <c r="EA8" i="165" s="1"/>
  <c r="ED8" i="165" s="1"/>
  <c r="DZ16" i="165"/>
  <c r="EC16" i="165" s="1"/>
  <c r="EA16" i="165" s="1"/>
  <c r="ED16" i="165" s="1"/>
  <c r="DW9" i="165"/>
  <c r="DV9" i="165" s="1"/>
  <c r="GM13" i="165"/>
  <c r="GN13" i="165" s="1"/>
  <c r="EZ30" i="165"/>
  <c r="ET13" i="165"/>
  <c r="EZ37" i="165"/>
  <c r="GM6" i="165"/>
  <c r="GN6" i="165" s="1"/>
  <c r="ET7" i="165"/>
  <c r="GM16" i="165"/>
  <c r="GN16" i="165" s="1"/>
  <c r="DV14" i="165"/>
  <c r="EN15" i="165"/>
  <c r="EL15" i="165" s="1"/>
  <c r="EO15" i="165" s="1"/>
  <c r="EZ39" i="165"/>
  <c r="ET12" i="165"/>
  <c r="DW20" i="165"/>
  <c r="DV20" i="165" s="1"/>
  <c r="EN12" i="165"/>
  <c r="EL12" i="165" s="1"/>
  <c r="EO12" i="165" s="1"/>
  <c r="EZ29" i="165"/>
  <c r="ET15" i="165"/>
  <c r="EN13" i="165"/>
  <c r="EL13" i="165" s="1"/>
  <c r="EO13" i="165" s="1"/>
  <c r="EL6" i="165"/>
  <c r="EP6" i="165" s="1"/>
  <c r="EZ40" i="165"/>
  <c r="EZ48" i="165"/>
  <c r="EL7" i="165"/>
  <c r="EP7" i="165" s="1"/>
  <c r="EC20" i="165"/>
  <c r="EA20" i="165" s="1"/>
  <c r="EK20" i="165" s="1"/>
  <c r="DZ18" i="165"/>
  <c r="EC18" i="165" s="1"/>
  <c r="EA18" i="165" s="1"/>
  <c r="ED18" i="165" s="1"/>
  <c r="DL18" i="165"/>
  <c r="FJ22" i="165"/>
  <c r="GM15" i="165"/>
  <c r="GN15" i="165" s="1"/>
  <c r="EN5" i="165"/>
  <c r="EL5" i="165" s="1"/>
  <c r="EL10" i="165"/>
  <c r="EO10" i="165" s="1"/>
  <c r="GM12" i="165"/>
  <c r="GN12" i="165" s="1"/>
  <c r="DW19" i="165"/>
  <c r="DZ19" i="165"/>
  <c r="EC19" i="165" s="1"/>
  <c r="EA19" i="165" s="1"/>
  <c r="EK19" i="165" s="1"/>
  <c r="EN4" i="165"/>
  <c r="EL4" i="165" s="1"/>
  <c r="EO4" i="165" s="1"/>
  <c r="EZ46" i="165"/>
  <c r="EZ42" i="165"/>
  <c r="EZ38" i="165"/>
  <c r="EZ43" i="165"/>
  <c r="EZ41" i="165"/>
  <c r="EZ51" i="165"/>
  <c r="DZ15" i="165"/>
  <c r="EC15" i="165" s="1"/>
  <c r="EA15" i="165" s="1"/>
  <c r="ED15" i="165" s="1"/>
  <c r="EL8" i="165"/>
  <c r="EO8" i="165" s="1"/>
  <c r="EC10" i="165"/>
  <c r="EA10" i="165" s="1"/>
  <c r="ED10" i="165" s="1"/>
  <c r="ET5" i="165"/>
  <c r="EJ20" i="165"/>
  <c r="DX20" i="165"/>
  <c r="ET4" i="165"/>
  <c r="EJ19" i="165"/>
  <c r="DX19" i="165"/>
  <c r="EL9" i="165"/>
  <c r="EP9" i="165" s="1"/>
  <c r="EL11" i="165"/>
  <c r="EP11" i="165" s="1"/>
  <c r="EZ34" i="165"/>
  <c r="EZ47" i="165"/>
  <c r="EC12" i="165"/>
  <c r="EA12" i="165" s="1"/>
  <c r="ED12" i="165" s="1"/>
  <c r="EZ25" i="165"/>
  <c r="CV54" i="165"/>
  <c r="ET18" i="165" s="1"/>
  <c r="CV50" i="165"/>
  <c r="ET14" i="165" s="1"/>
  <c r="EL14" i="165"/>
  <c r="EO14" i="165" s="1"/>
  <c r="EZ54" i="165"/>
  <c r="EZ50" i="165"/>
  <c r="EZ26" i="165"/>
  <c r="EZ31" i="165"/>
  <c r="EZ36" i="165"/>
  <c r="EL16" i="165"/>
  <c r="EO16" i="165" s="1"/>
  <c r="GN5" i="165"/>
  <c r="GN8" i="165"/>
  <c r="EZ27" i="165"/>
  <c r="EZ33" i="165"/>
  <c r="EZ28" i="165"/>
  <c r="EZ32" i="165"/>
  <c r="EZ35" i="165"/>
  <c r="CV52" i="165"/>
  <c r="ET16" i="165" s="1"/>
  <c r="CV53" i="165"/>
  <c r="ET17" i="165" s="1"/>
  <c r="GM18" i="165"/>
  <c r="GN18" i="165" s="1"/>
  <c r="EN17" i="165"/>
  <c r="EL17" i="165" s="1"/>
  <c r="EO17" i="165" s="1"/>
  <c r="EZ52" i="165"/>
  <c r="EZ53" i="165"/>
  <c r="EC4" i="165"/>
  <c r="EA4" i="165" s="1"/>
  <c r="ED4" i="165" s="1"/>
  <c r="EC6" i="165"/>
  <c r="EA6" i="165" s="1"/>
  <c r="ED6" i="165" s="1"/>
  <c r="EZ44" i="165"/>
  <c r="EZ45" i="165"/>
  <c r="CV44" i="165"/>
  <c r="ET8" i="165" s="1"/>
  <c r="CV45" i="165"/>
  <c r="ET9" i="165" s="1"/>
  <c r="GN4" i="165"/>
  <c r="EC14" i="165"/>
  <c r="EA14" i="165" s="1"/>
  <c r="EO18" i="165"/>
  <c r="EP18" i="165"/>
  <c r="GN10" i="165"/>
  <c r="DZ17" i="165"/>
  <c r="EC17" i="165" s="1"/>
  <c r="EA17" i="165" s="1"/>
  <c r="DV10" i="165"/>
  <c r="EI10" i="165"/>
  <c r="DZ5" i="165"/>
  <c r="EC5" i="165" s="1"/>
  <c r="EA5" i="165" s="1"/>
  <c r="DZ13" i="165"/>
  <c r="EC13" i="165" s="1"/>
  <c r="EA13" i="165" s="1"/>
  <c r="DZ9" i="165"/>
  <c r="EC9" i="165" s="1"/>
  <c r="EA9" i="165" s="1"/>
  <c r="DZ11" i="165"/>
  <c r="EC11" i="165" s="1"/>
  <c r="EA11" i="165" s="1"/>
  <c r="CV36" i="165"/>
  <c r="CV37" i="165"/>
  <c r="CV39" i="165"/>
  <c r="CV35" i="165"/>
  <c r="CV33" i="165"/>
  <c r="CV38" i="165"/>
  <c r="CV34" i="165"/>
  <c r="CV32" i="165"/>
  <c r="CV30" i="165"/>
  <c r="CV27" i="165"/>
  <c r="CV31" i="165"/>
  <c r="CV29" i="165"/>
  <c r="CV26" i="165"/>
  <c r="CV25" i="165"/>
  <c r="GC23" i="165"/>
  <c r="CV28" i="165"/>
  <c r="GN7" i="165"/>
  <c r="GN9" i="165"/>
  <c r="EI18" i="165"/>
  <c r="DV18" i="165"/>
  <c r="DV11" i="165"/>
  <c r="EI11" i="165"/>
  <c r="DV12" i="165"/>
  <c r="EI12" i="165"/>
  <c r="DZ7" i="165"/>
  <c r="EC7" i="165" s="1"/>
  <c r="EA7" i="165" s="1"/>
  <c r="EX6" i="164"/>
  <c r="AC22" i="164"/>
  <c r="EF13" i="164"/>
  <c r="DY13" i="164"/>
  <c r="EY22" i="164"/>
  <c r="FA22" i="164" s="1"/>
  <c r="DA22" i="164" s="1"/>
  <c r="GG22" i="164" s="1"/>
  <c r="CK44" i="164"/>
  <c r="CK42" i="164"/>
  <c r="CK45" i="164"/>
  <c r="DH9" i="164" s="1"/>
  <c r="DH22" i="164"/>
  <c r="CZ22" i="164" s="1"/>
  <c r="GF22" i="164" s="1"/>
  <c r="CK46" i="164"/>
  <c r="CN22" i="164"/>
  <c r="G53" i="164"/>
  <c r="G43" i="164"/>
  <c r="G49" i="164"/>
  <c r="G41" i="164"/>
  <c r="DG22" i="164"/>
  <c r="CX22" i="164" s="1"/>
  <c r="GD22" i="164" s="1"/>
  <c r="G51" i="164"/>
  <c r="G48" i="164"/>
  <c r="G40" i="164"/>
  <c r="EN4" i="164" s="1"/>
  <c r="FI22" i="164"/>
  <c r="G50" i="164"/>
  <c r="EN14" i="164" s="1"/>
  <c r="G47" i="164"/>
  <c r="FJ22" i="164"/>
  <c r="DG6" i="164"/>
  <c r="EN12" i="164"/>
  <c r="AE42" i="163"/>
  <c r="AE46" i="163"/>
  <c r="AC47" i="163"/>
  <c r="AC52" i="163"/>
  <c r="EF14" i="163"/>
  <c r="EF5" i="163"/>
  <c r="AE50" i="163"/>
  <c r="AC40" i="163"/>
  <c r="AC48" i="163"/>
  <c r="AC53" i="163"/>
  <c r="DY9" i="163"/>
  <c r="EY22" i="163"/>
  <c r="DY5" i="163"/>
  <c r="AE44" i="163"/>
  <c r="AC41" i="163"/>
  <c r="CN22" i="163"/>
  <c r="E22" i="163"/>
  <c r="FJ18" i="163"/>
  <c r="G22" i="163"/>
  <c r="AA44" i="163"/>
  <c r="K42" i="163"/>
  <c r="AK42" i="163"/>
  <c r="AK46" i="163"/>
  <c r="AK50" i="163"/>
  <c r="U54" i="163"/>
  <c r="M44" i="163"/>
  <c r="DJ8" i="163" s="1"/>
  <c r="E42" i="163"/>
  <c r="GC6" i="163"/>
  <c r="CV22" i="163"/>
  <c r="AA46" i="163"/>
  <c r="AA54" i="163"/>
  <c r="K45" i="163"/>
  <c r="K50" i="163"/>
  <c r="AK44" i="163"/>
  <c r="M42" i="163"/>
  <c r="DJ6" i="163" s="1"/>
  <c r="M46" i="163"/>
  <c r="DJ10" i="163" s="1"/>
  <c r="E46" i="163"/>
  <c r="E50" i="163"/>
  <c r="E21" i="163"/>
  <c r="FJ6" i="163"/>
  <c r="K46" i="163"/>
  <c r="G21" i="163"/>
  <c r="Y44" i="163"/>
  <c r="BK45" i="163"/>
  <c r="BK54" i="163"/>
  <c r="O42" i="163"/>
  <c r="U44" i="163"/>
  <c r="CK42" i="163"/>
  <c r="DH6" i="163" s="1"/>
  <c r="CK45" i="163"/>
  <c r="CK50" i="163"/>
  <c r="DH14" i="163" s="1"/>
  <c r="AI45" i="163"/>
  <c r="AI50" i="163"/>
  <c r="Y45" i="163"/>
  <c r="Y54" i="163"/>
  <c r="BK42" i="163"/>
  <c r="W46" i="163"/>
  <c r="O50" i="163"/>
  <c r="U45" i="163"/>
  <c r="E44" i="163"/>
  <c r="CK44" i="163"/>
  <c r="Y50" i="163"/>
  <c r="W45" i="163"/>
  <c r="O46" i="163"/>
  <c r="DH10" i="163"/>
  <c r="DH22" i="163"/>
  <c r="CZ22" i="163" s="1"/>
  <c r="GF22" i="163" s="1"/>
  <c r="CK46" i="163"/>
  <c r="AI42" i="163"/>
  <c r="AI46" i="163"/>
  <c r="Y42" i="163"/>
  <c r="W42" i="163"/>
  <c r="O44" i="163"/>
  <c r="U42" i="163"/>
  <c r="U46" i="163"/>
  <c r="I38" i="164"/>
  <c r="I37" i="164"/>
  <c r="I36" i="164"/>
  <c r="I39" i="164"/>
  <c r="I35" i="164"/>
  <c r="I34" i="164"/>
  <c r="I32" i="164"/>
  <c r="I31" i="164"/>
  <c r="I30" i="164"/>
  <c r="I29" i="164"/>
  <c r="I28" i="164"/>
  <c r="I27" i="164"/>
  <c r="I26" i="164"/>
  <c r="I25" i="164"/>
  <c r="I33" i="164"/>
  <c r="GM14" i="164"/>
  <c r="EN11" i="164"/>
  <c r="GM16" i="164"/>
  <c r="EN15" i="164"/>
  <c r="DH10" i="164"/>
  <c r="EF17" i="164"/>
  <c r="DY17" i="164"/>
  <c r="GC15" i="164"/>
  <c r="DH17" i="164"/>
  <c r="DH18" i="164"/>
  <c r="DH7" i="164"/>
  <c r="AK39" i="164"/>
  <c r="AK36" i="164"/>
  <c r="AK35" i="164"/>
  <c r="AK34" i="164"/>
  <c r="AK33" i="164"/>
  <c r="AK32" i="164"/>
  <c r="AK38" i="164"/>
  <c r="AK37" i="164"/>
  <c r="AK31" i="164"/>
  <c r="AK30" i="164"/>
  <c r="AK29" i="164"/>
  <c r="AK28" i="164"/>
  <c r="AK27" i="164"/>
  <c r="AK26" i="164"/>
  <c r="AK25" i="164"/>
  <c r="I21" i="164"/>
  <c r="DT17" i="164"/>
  <c r="FJ16" i="164"/>
  <c r="DH6" i="164"/>
  <c r="W39" i="164"/>
  <c r="W38" i="164"/>
  <c r="W35" i="164"/>
  <c r="W34" i="164"/>
  <c r="W33" i="164"/>
  <c r="W32" i="164"/>
  <c r="W37" i="164"/>
  <c r="W36" i="164"/>
  <c r="FK23" i="164"/>
  <c r="W30" i="164"/>
  <c r="W29" i="164"/>
  <c r="W28" i="164"/>
  <c r="W27" i="164"/>
  <c r="W26" i="164"/>
  <c r="W25" i="164"/>
  <c r="W31" i="164"/>
  <c r="G23" i="164"/>
  <c r="FJ9" i="164"/>
  <c r="DH5" i="164"/>
  <c r="GM12" i="164"/>
  <c r="EN5" i="164"/>
  <c r="DW19" i="164"/>
  <c r="M39" i="164"/>
  <c r="M36" i="164"/>
  <c r="M38" i="164"/>
  <c r="M35" i="164"/>
  <c r="M34" i="164"/>
  <c r="M33" i="164"/>
  <c r="M32" i="164"/>
  <c r="M37" i="164"/>
  <c r="M31" i="164"/>
  <c r="M30" i="164"/>
  <c r="M29" i="164"/>
  <c r="M28" i="164"/>
  <c r="M27" i="164"/>
  <c r="M26" i="164"/>
  <c r="M25" i="164"/>
  <c r="BM39" i="164"/>
  <c r="BM36" i="164"/>
  <c r="BM35" i="164"/>
  <c r="BM31" i="164"/>
  <c r="BM38" i="164"/>
  <c r="BM37" i="164"/>
  <c r="BM34" i="164"/>
  <c r="BM33" i="164"/>
  <c r="BM30" i="164"/>
  <c r="BM29" i="164"/>
  <c r="BM28" i="164"/>
  <c r="BM27" i="164"/>
  <c r="BM26" i="164"/>
  <c r="BM25" i="164"/>
  <c r="BM32" i="164"/>
  <c r="AA37" i="164"/>
  <c r="AA31" i="164"/>
  <c r="AA36" i="164"/>
  <c r="AA39" i="164"/>
  <c r="AA38" i="164"/>
  <c r="AA35" i="164"/>
  <c r="AA34" i="164"/>
  <c r="AA33" i="164"/>
  <c r="AA32" i="164"/>
  <c r="AA30" i="164"/>
  <c r="AA29" i="164"/>
  <c r="AA28" i="164"/>
  <c r="AA27" i="164"/>
  <c r="AA26" i="164"/>
  <c r="AA25" i="164"/>
  <c r="K37" i="164"/>
  <c r="K36" i="164"/>
  <c r="K39" i="164"/>
  <c r="K38" i="164"/>
  <c r="K35" i="164"/>
  <c r="K34" i="164"/>
  <c r="K33" i="164"/>
  <c r="K32" i="164"/>
  <c r="K31" i="164"/>
  <c r="K30" i="164"/>
  <c r="K29" i="164"/>
  <c r="K28" i="164"/>
  <c r="K27" i="164"/>
  <c r="K26" i="164"/>
  <c r="K25" i="164"/>
  <c r="Q38" i="164"/>
  <c r="Q39" i="164"/>
  <c r="Q37" i="164"/>
  <c r="Q31" i="164"/>
  <c r="Q36" i="164"/>
  <c r="Q35" i="164"/>
  <c r="Q34" i="164"/>
  <c r="Q33" i="164"/>
  <c r="Q30" i="164"/>
  <c r="Q29" i="164"/>
  <c r="Q28" i="164"/>
  <c r="Q27" i="164"/>
  <c r="Q26" i="164"/>
  <c r="Q25" i="164"/>
  <c r="Q32" i="164"/>
  <c r="Y38" i="164"/>
  <c r="Y37" i="164"/>
  <c r="Y31" i="164"/>
  <c r="Y36" i="164"/>
  <c r="Y39" i="164"/>
  <c r="Y35" i="164"/>
  <c r="Y34" i="164"/>
  <c r="Y32" i="164"/>
  <c r="Y30" i="164"/>
  <c r="Y29" i="164"/>
  <c r="Y28" i="164"/>
  <c r="Y27" i="164"/>
  <c r="Y26" i="164"/>
  <c r="Y25" i="164"/>
  <c r="Y33" i="164"/>
  <c r="FM23" i="164"/>
  <c r="DT16" i="164"/>
  <c r="FR21" i="164"/>
  <c r="CN21" i="164"/>
  <c r="DT8" i="164"/>
  <c r="EN13" i="164"/>
  <c r="GM15" i="164"/>
  <c r="EN17" i="164"/>
  <c r="GM18" i="164"/>
  <c r="DH13" i="164"/>
  <c r="DW20" i="164"/>
  <c r="EB19" i="164"/>
  <c r="EP19" i="164"/>
  <c r="EQ19" i="164" s="1"/>
  <c r="GC18" i="164"/>
  <c r="DH11" i="164"/>
  <c r="DH16" i="164"/>
  <c r="FN22" i="164"/>
  <c r="AC21" i="164"/>
  <c r="AC23" i="164"/>
  <c r="EX4" i="164"/>
  <c r="DT4" i="164" s="1"/>
  <c r="DE12" i="164"/>
  <c r="FG12" i="164"/>
  <c r="FJ12" i="164" s="1"/>
  <c r="DG12" i="164"/>
  <c r="DT12" i="164"/>
  <c r="DY12" i="164"/>
  <c r="FR23" i="164"/>
  <c r="CN23" i="164"/>
  <c r="AE39" i="164"/>
  <c r="AE38" i="164"/>
  <c r="AE35" i="164"/>
  <c r="AE34" i="164"/>
  <c r="AE33" i="164"/>
  <c r="AE32" i="164"/>
  <c r="AE37" i="164"/>
  <c r="AE36" i="164"/>
  <c r="AE31" i="164"/>
  <c r="AE30" i="164"/>
  <c r="AE29" i="164"/>
  <c r="AE28" i="164"/>
  <c r="AE27" i="164"/>
  <c r="AE26" i="164"/>
  <c r="AE25" i="164"/>
  <c r="O39" i="164"/>
  <c r="O38" i="164"/>
  <c r="O35" i="164"/>
  <c r="O34" i="164"/>
  <c r="O33" i="164"/>
  <c r="O32" i="164"/>
  <c r="O37" i="164"/>
  <c r="O36" i="164"/>
  <c r="O31" i="164"/>
  <c r="O30" i="164"/>
  <c r="O29" i="164"/>
  <c r="O28" i="164"/>
  <c r="O27" i="164"/>
  <c r="O26" i="164"/>
  <c r="O25" i="164"/>
  <c r="EF8" i="164"/>
  <c r="GM13" i="164"/>
  <c r="EN7" i="164"/>
  <c r="EB20" i="164"/>
  <c r="EP20" i="164"/>
  <c r="EQ20" i="164" s="1"/>
  <c r="DH15" i="164"/>
  <c r="GC10" i="164"/>
  <c r="FI17" i="164"/>
  <c r="FJ17" i="164" s="1"/>
  <c r="DG17" i="164"/>
  <c r="CK39" i="164"/>
  <c r="CK38" i="164"/>
  <c r="DI17" i="164" s="1"/>
  <c r="CK36" i="164"/>
  <c r="DI15" i="164" s="1"/>
  <c r="CK31" i="164"/>
  <c r="DI10" i="164" s="1"/>
  <c r="CK35" i="164"/>
  <c r="DI14" i="164" s="1"/>
  <c r="CK34" i="164"/>
  <c r="DI13" i="164" s="1"/>
  <c r="CK37" i="164"/>
  <c r="DI16" i="164" s="1"/>
  <c r="CK33" i="164"/>
  <c r="DI12" i="164" s="1"/>
  <c r="FT23" i="164"/>
  <c r="CK32" i="164"/>
  <c r="DI11" i="164" s="1"/>
  <c r="CK30" i="164"/>
  <c r="DI9" i="164" s="1"/>
  <c r="CK29" i="164"/>
  <c r="DI8" i="164" s="1"/>
  <c r="CK28" i="164"/>
  <c r="DI7" i="164" s="1"/>
  <c r="CK27" i="164"/>
  <c r="DI6" i="164" s="1"/>
  <c r="CK26" i="164"/>
  <c r="DI5" i="164" s="1"/>
  <c r="CK25" i="164"/>
  <c r="DI4" i="164" s="1"/>
  <c r="U39" i="164"/>
  <c r="U36" i="164"/>
  <c r="U35" i="164"/>
  <c r="U34" i="164"/>
  <c r="U33" i="164"/>
  <c r="U32" i="164"/>
  <c r="U38" i="164"/>
  <c r="U37" i="164"/>
  <c r="U31" i="164"/>
  <c r="U30" i="164"/>
  <c r="U29" i="164"/>
  <c r="U28" i="164"/>
  <c r="U27" i="164"/>
  <c r="U26" i="164"/>
  <c r="U25" i="164"/>
  <c r="E21" i="164"/>
  <c r="E23" i="164"/>
  <c r="DE4" i="164"/>
  <c r="FG4" i="164"/>
  <c r="FJ4" i="164" s="1"/>
  <c r="DG4" i="164"/>
  <c r="AG38" i="164"/>
  <c r="AG39" i="164"/>
  <c r="AG37" i="164"/>
  <c r="AG31" i="164"/>
  <c r="AG36" i="164"/>
  <c r="AG35" i="164"/>
  <c r="AG34" i="164"/>
  <c r="AG33" i="164"/>
  <c r="AG30" i="164"/>
  <c r="AG29" i="164"/>
  <c r="AG28" i="164"/>
  <c r="AG27" i="164"/>
  <c r="AG26" i="164"/>
  <c r="AG25" i="164"/>
  <c r="AG32" i="164"/>
  <c r="CV17" i="164"/>
  <c r="DH14" i="164"/>
  <c r="DH8" i="164"/>
  <c r="DH4" i="164"/>
  <c r="AI39" i="164"/>
  <c r="AI38" i="164"/>
  <c r="AI37" i="164"/>
  <c r="AI31" i="164"/>
  <c r="AI36" i="164"/>
  <c r="AI35" i="164"/>
  <c r="AI34" i="164"/>
  <c r="AI32" i="164"/>
  <c r="AI33" i="164"/>
  <c r="AI30" i="164"/>
  <c r="AI29" i="164"/>
  <c r="AI28" i="164"/>
  <c r="AI27" i="164"/>
  <c r="AI26" i="164"/>
  <c r="AI25" i="164"/>
  <c r="S39" i="164"/>
  <c r="S38" i="164"/>
  <c r="S37" i="164"/>
  <c r="S31" i="164"/>
  <c r="S36" i="164"/>
  <c r="S35" i="164"/>
  <c r="S34" i="164"/>
  <c r="S32" i="164"/>
  <c r="S33" i="164"/>
  <c r="S30" i="164"/>
  <c r="S29" i="164"/>
  <c r="S28" i="164"/>
  <c r="S27" i="164"/>
  <c r="S26" i="164"/>
  <c r="S25" i="164"/>
  <c r="BK38" i="164"/>
  <c r="BK39" i="164"/>
  <c r="BK34" i="164"/>
  <c r="BK33" i="164"/>
  <c r="BK32" i="164"/>
  <c r="BK37" i="164"/>
  <c r="BK36" i="164"/>
  <c r="BK35" i="164"/>
  <c r="BK31" i="164"/>
  <c r="BK30" i="164"/>
  <c r="BK29" i="164"/>
  <c r="BK28" i="164"/>
  <c r="BK27" i="164"/>
  <c r="BK26" i="164"/>
  <c r="BK25" i="164"/>
  <c r="FI13" i="164"/>
  <c r="FJ13" i="164" s="1"/>
  <c r="DE13" i="164"/>
  <c r="EY21" i="164"/>
  <c r="EY23" i="164"/>
  <c r="BI39" i="164"/>
  <c r="BI36" i="164"/>
  <c r="BI38" i="164"/>
  <c r="BI35" i="164"/>
  <c r="BI34" i="164"/>
  <c r="BI33" i="164"/>
  <c r="BI32" i="164"/>
  <c r="BI37" i="164"/>
  <c r="BI31" i="164"/>
  <c r="BI30" i="164"/>
  <c r="BI29" i="164"/>
  <c r="BI28" i="164"/>
  <c r="BI27" i="164"/>
  <c r="BI26" i="164"/>
  <c r="BI25" i="164"/>
  <c r="FN21" i="164"/>
  <c r="G21" i="164"/>
  <c r="EP20" i="163"/>
  <c r="EQ20" i="163" s="1"/>
  <c r="GC12" i="163"/>
  <c r="DH15" i="163"/>
  <c r="DY17" i="163"/>
  <c r="EF17" i="163"/>
  <c r="DH16" i="163"/>
  <c r="DY13" i="163"/>
  <c r="EF13" i="163"/>
  <c r="DH8" i="163"/>
  <c r="DH4" i="163"/>
  <c r="AI35" i="163"/>
  <c r="AI34" i="163"/>
  <c r="AI33" i="163"/>
  <c r="AI39" i="163"/>
  <c r="AI38" i="163"/>
  <c r="AI37" i="163"/>
  <c r="AI36" i="163"/>
  <c r="AI31" i="163"/>
  <c r="AI30" i="163"/>
  <c r="AI29" i="163"/>
  <c r="AI28" i="163"/>
  <c r="AI27" i="163"/>
  <c r="AI26" i="163"/>
  <c r="AI25" i="163"/>
  <c r="AI32" i="163"/>
  <c r="S35" i="163"/>
  <c r="S34" i="163"/>
  <c r="S33" i="163"/>
  <c r="S39" i="163"/>
  <c r="S38" i="163"/>
  <c r="S37" i="163"/>
  <c r="S36" i="163"/>
  <c r="S31" i="163"/>
  <c r="S30" i="163"/>
  <c r="S29" i="163"/>
  <c r="S28" i="163"/>
  <c r="S27" i="163"/>
  <c r="S26" i="163"/>
  <c r="S25" i="163"/>
  <c r="S32" i="163"/>
  <c r="CY31" i="163"/>
  <c r="FI21" i="163"/>
  <c r="AC23" i="163"/>
  <c r="DT18" i="163"/>
  <c r="I23" i="163"/>
  <c r="I21" i="163"/>
  <c r="BI39" i="163"/>
  <c r="BI38" i="163"/>
  <c r="BI37" i="163"/>
  <c r="BI36" i="163"/>
  <c r="BI35" i="163"/>
  <c r="BI34" i="163"/>
  <c r="BI33" i="163"/>
  <c r="BI32" i="163"/>
  <c r="BI31" i="163"/>
  <c r="BI30" i="163"/>
  <c r="BI29" i="163"/>
  <c r="BI28" i="163"/>
  <c r="BI27" i="163"/>
  <c r="BI26" i="163"/>
  <c r="BI25" i="163"/>
  <c r="GC11" i="163"/>
  <c r="EX23" i="163"/>
  <c r="DH17" i="163"/>
  <c r="EB19" i="163"/>
  <c r="CV13" i="163"/>
  <c r="CV23" i="163" s="1"/>
  <c r="DT17" i="163"/>
  <c r="CN23" i="163"/>
  <c r="CN21" i="163"/>
  <c r="FU4" i="163"/>
  <c r="G23" i="163"/>
  <c r="DG23" i="163" s="1"/>
  <c r="CX23" i="163" s="1"/>
  <c r="GD23" i="163" s="1"/>
  <c r="BK39" i="163"/>
  <c r="BK36" i="163"/>
  <c r="BK35" i="163"/>
  <c r="BK38" i="163"/>
  <c r="BK34" i="163"/>
  <c r="BK33" i="163"/>
  <c r="BK37" i="163"/>
  <c r="BK32" i="163"/>
  <c r="BK31" i="163"/>
  <c r="BK30" i="163"/>
  <c r="BK29" i="163"/>
  <c r="BK28" i="163"/>
  <c r="BK27" i="163"/>
  <c r="BK26" i="163"/>
  <c r="BK25" i="163"/>
  <c r="Y39" i="163"/>
  <c r="Y36" i="163"/>
  <c r="Y35" i="163"/>
  <c r="Y34" i="163"/>
  <c r="Y38" i="163"/>
  <c r="Y37" i="163"/>
  <c r="FM23" i="163"/>
  <c r="Y33" i="163"/>
  <c r="Y31" i="163"/>
  <c r="Y30" i="163"/>
  <c r="Y29" i="163"/>
  <c r="Y28" i="163"/>
  <c r="Y27" i="163"/>
  <c r="Y26" i="163"/>
  <c r="Y25" i="163"/>
  <c r="Y32" i="163"/>
  <c r="EY23" i="163"/>
  <c r="EZ23" i="163" s="1"/>
  <c r="EY21" i="163"/>
  <c r="FA21" i="163" s="1"/>
  <c r="DA21" i="163" s="1"/>
  <c r="GG21" i="163" s="1"/>
  <c r="AK39" i="163"/>
  <c r="AK38" i="163"/>
  <c r="AK37" i="163"/>
  <c r="AK36" i="163"/>
  <c r="AK35" i="163"/>
  <c r="AK34" i="163"/>
  <c r="AK32" i="163"/>
  <c r="AK33" i="163"/>
  <c r="AK31" i="163"/>
  <c r="AK30" i="163"/>
  <c r="AK29" i="163"/>
  <c r="AK28" i="163"/>
  <c r="AK27" i="163"/>
  <c r="AK26" i="163"/>
  <c r="AK25" i="163"/>
  <c r="EF18" i="163"/>
  <c r="AE37" i="163"/>
  <c r="AE36" i="163"/>
  <c r="AE39" i="163"/>
  <c r="AE35" i="163"/>
  <c r="AE34" i="163"/>
  <c r="AE33" i="163"/>
  <c r="AE38" i="163"/>
  <c r="AE32" i="163"/>
  <c r="AE31" i="163"/>
  <c r="AE30" i="163"/>
  <c r="AE29" i="163"/>
  <c r="AE28" i="163"/>
  <c r="AE27" i="163"/>
  <c r="AE26" i="163"/>
  <c r="AE25" i="163"/>
  <c r="M39" i="163"/>
  <c r="M38" i="163"/>
  <c r="M37" i="163"/>
  <c r="M36" i="163"/>
  <c r="M35" i="163"/>
  <c r="M34" i="163"/>
  <c r="M33" i="163"/>
  <c r="M32" i="163"/>
  <c r="M31" i="163"/>
  <c r="M30" i="163"/>
  <c r="M29" i="163"/>
  <c r="M28" i="163"/>
  <c r="M27" i="163"/>
  <c r="M26" i="163"/>
  <c r="M25" i="163"/>
  <c r="DT14" i="163"/>
  <c r="FJ14" i="163"/>
  <c r="DH7" i="163"/>
  <c r="DT9" i="163"/>
  <c r="EF4" i="163"/>
  <c r="EF9" i="163"/>
  <c r="EB20" i="163"/>
  <c r="FN22" i="163"/>
  <c r="DH12" i="163"/>
  <c r="BM39" i="163"/>
  <c r="BM38" i="163"/>
  <c r="BM37" i="163"/>
  <c r="BM34" i="163"/>
  <c r="BM33" i="163"/>
  <c r="BM36" i="163"/>
  <c r="BM35" i="163"/>
  <c r="BM31" i="163"/>
  <c r="BM30" i="163"/>
  <c r="BM29" i="163"/>
  <c r="BM28" i="163"/>
  <c r="BM27" i="163"/>
  <c r="BM26" i="163"/>
  <c r="BM25" i="163"/>
  <c r="BM32" i="163"/>
  <c r="AA35" i="163"/>
  <c r="AA34" i="163"/>
  <c r="AA33" i="163"/>
  <c r="AA38" i="163"/>
  <c r="AA37" i="163"/>
  <c r="AA39" i="163"/>
  <c r="AA36" i="163"/>
  <c r="AA31" i="163"/>
  <c r="AA30" i="163"/>
  <c r="AA29" i="163"/>
  <c r="AA28" i="163"/>
  <c r="AA27" i="163"/>
  <c r="AA26" i="163"/>
  <c r="AA25" i="163"/>
  <c r="AA32" i="163"/>
  <c r="K35" i="163"/>
  <c r="K34" i="163"/>
  <c r="K33" i="163"/>
  <c r="K38" i="163"/>
  <c r="K37" i="163"/>
  <c r="K39" i="163"/>
  <c r="K36" i="163"/>
  <c r="K31" i="163"/>
  <c r="K30" i="163"/>
  <c r="K29" i="163"/>
  <c r="K28" i="163"/>
  <c r="K27" i="163"/>
  <c r="K26" i="163"/>
  <c r="K25" i="163"/>
  <c r="K32" i="163"/>
  <c r="FN21" i="163"/>
  <c r="DH5" i="163"/>
  <c r="DT4" i="163"/>
  <c r="O37" i="163"/>
  <c r="O36" i="163"/>
  <c r="O39" i="163"/>
  <c r="O35" i="163"/>
  <c r="O34" i="163"/>
  <c r="O38" i="163"/>
  <c r="O33" i="163"/>
  <c r="O32" i="163"/>
  <c r="O31" i="163"/>
  <c r="O30" i="163"/>
  <c r="O29" i="163"/>
  <c r="O28" i="163"/>
  <c r="O27" i="163"/>
  <c r="O26" i="163"/>
  <c r="O25" i="163"/>
  <c r="FG21" i="163"/>
  <c r="FJ21" i="163" s="1"/>
  <c r="DG21" i="163"/>
  <c r="CX21" i="163" s="1"/>
  <c r="GD21" i="163" s="1"/>
  <c r="FR21" i="163"/>
  <c r="DT13" i="163"/>
  <c r="FJ7" i="163"/>
  <c r="U39" i="163"/>
  <c r="U38" i="163"/>
  <c r="U37" i="163"/>
  <c r="U36" i="163"/>
  <c r="U35" i="163"/>
  <c r="U34" i="163"/>
  <c r="U32" i="163"/>
  <c r="U33" i="163"/>
  <c r="U31" i="163"/>
  <c r="U30" i="163"/>
  <c r="U29" i="163"/>
  <c r="U28" i="163"/>
  <c r="U27" i="163"/>
  <c r="U26" i="163"/>
  <c r="U25" i="163"/>
  <c r="DY4" i="163"/>
  <c r="EQ19" i="163"/>
  <c r="FI11" i="163"/>
  <c r="FJ11" i="163" s="1"/>
  <c r="DG11" i="163"/>
  <c r="W39" i="163"/>
  <c r="W37" i="163"/>
  <c r="W36" i="163"/>
  <c r="W35" i="163"/>
  <c r="W34" i="163"/>
  <c r="W33" i="163"/>
  <c r="W38" i="163"/>
  <c r="W32" i="163"/>
  <c r="FK23" i="163"/>
  <c r="W31" i="163"/>
  <c r="W30" i="163"/>
  <c r="W29" i="163"/>
  <c r="W28" i="163"/>
  <c r="W27" i="163"/>
  <c r="W26" i="163"/>
  <c r="W25" i="163"/>
  <c r="AC21" i="163"/>
  <c r="DE11" i="163"/>
  <c r="DH9" i="163"/>
  <c r="CV21" i="163"/>
  <c r="GC21" i="163" s="1"/>
  <c r="GC4" i="163"/>
  <c r="AG39" i="163"/>
  <c r="AG36" i="163"/>
  <c r="AG35" i="163"/>
  <c r="AG34" i="163"/>
  <c r="AG38" i="163"/>
  <c r="AG37" i="163"/>
  <c r="AG31" i="163"/>
  <c r="AG30" i="163"/>
  <c r="AG29" i="163"/>
  <c r="AG28" i="163"/>
  <c r="AG27" i="163"/>
  <c r="AG26" i="163"/>
  <c r="AG25" i="163"/>
  <c r="AG33" i="163"/>
  <c r="AG32" i="163"/>
  <c r="Q39" i="163"/>
  <c r="Q36" i="163"/>
  <c r="Q35" i="163"/>
  <c r="Q34" i="163"/>
  <c r="Q38" i="163"/>
  <c r="Q37" i="163"/>
  <c r="Q31" i="163"/>
  <c r="Q30" i="163"/>
  <c r="Q29" i="163"/>
  <c r="Q28" i="163"/>
  <c r="Q27" i="163"/>
  <c r="Q26" i="163"/>
  <c r="Q25" i="163"/>
  <c r="Q33" i="163"/>
  <c r="Q32" i="163"/>
  <c r="E39" i="163"/>
  <c r="E38" i="163"/>
  <c r="DW17" i="163" s="1"/>
  <c r="E37" i="163"/>
  <c r="E36" i="163"/>
  <c r="E35" i="163"/>
  <c r="E34" i="163"/>
  <c r="DW13" i="163" s="1"/>
  <c r="E33" i="163"/>
  <c r="FG23" i="163"/>
  <c r="E32" i="163"/>
  <c r="E31" i="163"/>
  <c r="E30" i="163"/>
  <c r="E29" i="163"/>
  <c r="E28" i="163"/>
  <c r="E27" i="163"/>
  <c r="E26" i="163"/>
  <c r="DW5" i="163" s="1"/>
  <c r="E25" i="163"/>
  <c r="FJ15" i="163"/>
  <c r="FR23" i="163"/>
  <c r="CK39" i="163"/>
  <c r="EM18" i="163" s="1"/>
  <c r="CK38" i="163"/>
  <c r="DI17" i="163" s="1"/>
  <c r="CK34" i="163"/>
  <c r="DI13" i="163" s="1"/>
  <c r="CK33" i="163"/>
  <c r="DI12" i="163" s="1"/>
  <c r="CK37" i="163"/>
  <c r="DI16" i="163" s="1"/>
  <c r="CK36" i="163"/>
  <c r="DI15" i="163" s="1"/>
  <c r="CK35" i="163"/>
  <c r="DI14" i="163" s="1"/>
  <c r="CK31" i="163"/>
  <c r="DI10" i="163" s="1"/>
  <c r="CK30" i="163"/>
  <c r="DI9" i="163" s="1"/>
  <c r="CK29" i="163"/>
  <c r="DI8" i="163" s="1"/>
  <c r="CK28" i="163"/>
  <c r="DI7" i="163" s="1"/>
  <c r="CK27" i="163"/>
  <c r="DI6" i="163" s="1"/>
  <c r="CK26" i="163"/>
  <c r="DI5" i="163" s="1"/>
  <c r="CK25" i="163"/>
  <c r="DI4" i="163" s="1"/>
  <c r="CK32" i="163"/>
  <c r="DI11" i="163" s="1"/>
  <c r="FT23" i="163"/>
  <c r="EX21" i="163"/>
  <c r="EZ21" i="163" s="1"/>
  <c r="DD5" i="162"/>
  <c r="DD9" i="162"/>
  <c r="DD11" i="162"/>
  <c r="DD14" i="162"/>
  <c r="DD16" i="162"/>
  <c r="DD17" i="162"/>
  <c r="DD4" i="162"/>
  <c r="DD8" i="162"/>
  <c r="D34" i="162"/>
  <c r="E14" i="162"/>
  <c r="AC15" i="162"/>
  <c r="EX15" i="162" s="1"/>
  <c r="I9" i="162"/>
  <c r="BK23" i="162"/>
  <c r="BK39" i="162" s="1"/>
  <c r="G9" i="162"/>
  <c r="I18" i="162"/>
  <c r="BK22" i="162"/>
  <c r="BK34" i="162" s="1"/>
  <c r="M22" i="162"/>
  <c r="M36" i="162" s="1"/>
  <c r="DF18" i="162"/>
  <c r="AA22" i="162"/>
  <c r="AA45" i="162" s="1"/>
  <c r="CN13" i="162"/>
  <c r="FU13" i="162" s="1"/>
  <c r="E22" i="162"/>
  <c r="FG22" i="162" s="1"/>
  <c r="CU36" i="162"/>
  <c r="AG22" i="162"/>
  <c r="AG52" i="162" s="1"/>
  <c r="AE21" i="162"/>
  <c r="AE22" i="162"/>
  <c r="AE50" i="162" s="1"/>
  <c r="AK22" i="162"/>
  <c r="AK52" i="162" s="1"/>
  <c r="FN15" i="162"/>
  <c r="W22" i="162"/>
  <c r="W47" i="162" s="1"/>
  <c r="CN16" i="162"/>
  <c r="FU16" i="162" s="1"/>
  <c r="W21" i="162"/>
  <c r="FK21" i="162" s="1"/>
  <c r="AI22" i="162"/>
  <c r="AI50" i="162" s="1"/>
  <c r="G13" i="162"/>
  <c r="DG13" i="162" s="1"/>
  <c r="FN4" i="162"/>
  <c r="DE11" i="162"/>
  <c r="FN11" i="162"/>
  <c r="FT8" i="162"/>
  <c r="I14" i="162"/>
  <c r="DF14" i="162"/>
  <c r="G17" i="162"/>
  <c r="DG17" i="162" s="1"/>
  <c r="FT12" i="162"/>
  <c r="Y22" i="162"/>
  <c r="FM22" i="162" s="1"/>
  <c r="BA38" i="162"/>
  <c r="FN8" i="162"/>
  <c r="DF8" i="162"/>
  <c r="M23" i="162"/>
  <c r="M35" i="162" s="1"/>
  <c r="CK22" i="162"/>
  <c r="CK47" i="162" s="1"/>
  <c r="CN4" i="162"/>
  <c r="FU4" i="162" s="1"/>
  <c r="DT9" i="162"/>
  <c r="CO38" i="162"/>
  <c r="BE36" i="162"/>
  <c r="AY33" i="162"/>
  <c r="BG33" i="162"/>
  <c r="AQ30" i="162"/>
  <c r="BG27" i="162"/>
  <c r="CS31" i="162"/>
  <c r="FR22" i="162"/>
  <c r="BG28" i="162"/>
  <c r="FV23" i="162"/>
  <c r="CO27" i="162"/>
  <c r="CO28" i="162"/>
  <c r="CS30" i="162"/>
  <c r="CO32" i="162"/>
  <c r="CR35" i="162"/>
  <c r="CC40" i="162"/>
  <c r="FV22" i="162"/>
  <c r="AQ26" i="162"/>
  <c r="CS27" i="162"/>
  <c r="AQ29" i="162"/>
  <c r="BG31" i="162"/>
  <c r="AQ33" i="162"/>
  <c r="AW36" i="162"/>
  <c r="CJ41" i="162"/>
  <c r="EB20" i="162" s="1"/>
  <c r="EE20" i="162" s="1"/>
  <c r="D43" i="162"/>
  <c r="CS26" i="162"/>
  <c r="AY28" i="162"/>
  <c r="AY29" i="162"/>
  <c r="CO31" i="162"/>
  <c r="AY34" i="162"/>
  <c r="BG39" i="162"/>
  <c r="BO26" i="162"/>
  <c r="D30" i="162"/>
  <c r="BW26" i="162"/>
  <c r="BO27" i="162"/>
  <c r="CE29" i="162"/>
  <c r="FZ22" i="162"/>
  <c r="FZ23" i="162"/>
  <c r="AY26" i="162"/>
  <c r="CE26" i="162"/>
  <c r="AQ27" i="162"/>
  <c r="BW27" i="162"/>
  <c r="D28" i="162"/>
  <c r="BO28" i="162"/>
  <c r="CS28" i="162"/>
  <c r="BG29" i="162"/>
  <c r="CO29" i="162"/>
  <c r="AY30" i="162"/>
  <c r="CE30" i="162"/>
  <c r="AQ31" i="162"/>
  <c r="BW31" i="162"/>
  <c r="BW33" i="162"/>
  <c r="BG35" i="162"/>
  <c r="D26" i="162"/>
  <c r="CE28" i="162"/>
  <c r="BW29" i="162"/>
  <c r="BO30" i="162"/>
  <c r="D27" i="162"/>
  <c r="BW30" i="162"/>
  <c r="D31" i="162"/>
  <c r="BO31" i="162"/>
  <c r="CE34" i="162"/>
  <c r="BW36" i="162"/>
  <c r="D25" i="162"/>
  <c r="BG26" i="162"/>
  <c r="CO26" i="162"/>
  <c r="AY27" i="162"/>
  <c r="CE27" i="162"/>
  <c r="AQ28" i="162"/>
  <c r="BW28" i="162"/>
  <c r="D29" i="162"/>
  <c r="BO29" i="162"/>
  <c r="CS29" i="162"/>
  <c r="BG30" i="162"/>
  <c r="CO30" i="162"/>
  <c r="AY31" i="162"/>
  <c r="CE31" i="162"/>
  <c r="BO32" i="162"/>
  <c r="CS33" i="162"/>
  <c r="DF9" i="162"/>
  <c r="DE6" i="162"/>
  <c r="FG6" i="162"/>
  <c r="FJ6" i="162" s="1"/>
  <c r="DG6" i="162"/>
  <c r="DE7" i="162"/>
  <c r="FG7" i="162"/>
  <c r="FJ7" i="162" s="1"/>
  <c r="DG7" i="162"/>
  <c r="FI7" i="162"/>
  <c r="DG8" i="162"/>
  <c r="FG8" i="162"/>
  <c r="DE8" i="162"/>
  <c r="DY15" i="162"/>
  <c r="EF15" i="162"/>
  <c r="E23" i="162"/>
  <c r="E40" i="162" s="1"/>
  <c r="E21" i="162"/>
  <c r="FG4" i="162"/>
  <c r="M34" i="162"/>
  <c r="M33" i="162"/>
  <c r="M25" i="162"/>
  <c r="DY5" i="162"/>
  <c r="EF5" i="162"/>
  <c r="FN7" i="162"/>
  <c r="FI8" i="162"/>
  <c r="FI9" i="162"/>
  <c r="FI5" i="162"/>
  <c r="FJ5" i="162" s="1"/>
  <c r="AI23" i="162"/>
  <c r="AI43" i="162" s="1"/>
  <c r="AI21" i="162"/>
  <c r="DF6" i="162"/>
  <c r="EY6" i="162"/>
  <c r="DT6" i="162" s="1"/>
  <c r="CL36" i="162"/>
  <c r="CL39" i="162"/>
  <c r="CL35" i="162"/>
  <c r="CL38" i="162"/>
  <c r="CL34" i="162"/>
  <c r="CL33" i="162"/>
  <c r="CL32" i="162"/>
  <c r="CL37" i="162"/>
  <c r="CL31" i="162"/>
  <c r="CL30" i="162"/>
  <c r="CL29" i="162"/>
  <c r="CL28" i="162"/>
  <c r="CL27" i="162"/>
  <c r="CL26" i="162"/>
  <c r="CL25" i="162"/>
  <c r="M21" i="162"/>
  <c r="U21" i="162"/>
  <c r="U23" i="162"/>
  <c r="AC4" i="162"/>
  <c r="AK23" i="162"/>
  <c r="AK53" i="162" s="1"/>
  <c r="AK21" i="162"/>
  <c r="CK23" i="162"/>
  <c r="CK49" i="162" s="1"/>
  <c r="CK21" i="162"/>
  <c r="CN5" i="162"/>
  <c r="FU5" i="162" s="1"/>
  <c r="DT5" i="162"/>
  <c r="FT5" i="162"/>
  <c r="CV6" i="162"/>
  <c r="GC6" i="162" s="1"/>
  <c r="FK6" i="162"/>
  <c r="FN6" i="162" s="1"/>
  <c r="AC8" i="162"/>
  <c r="EX8" i="162" s="1"/>
  <c r="CN9" i="162"/>
  <c r="FU9" i="162" s="1"/>
  <c r="G10" i="162"/>
  <c r="DG11" i="162"/>
  <c r="DT11" i="162"/>
  <c r="DF13" i="162"/>
  <c r="FG13" i="162"/>
  <c r="FI13" i="162"/>
  <c r="FN13" i="162"/>
  <c r="FI14" i="162"/>
  <c r="FI15" i="162"/>
  <c r="FI16" i="162"/>
  <c r="FI18" i="162"/>
  <c r="BK21" i="162"/>
  <c r="S23" i="162"/>
  <c r="S40" i="162" s="1"/>
  <c r="S21" i="162"/>
  <c r="DE5" i="162"/>
  <c r="FG9" i="162"/>
  <c r="DE9" i="162"/>
  <c r="DY9" i="162"/>
  <c r="DT10" i="162"/>
  <c r="DE10" i="162"/>
  <c r="DY11" i="162"/>
  <c r="EF11" i="162"/>
  <c r="FI12" i="162"/>
  <c r="DG14" i="162"/>
  <c r="CV14" i="162"/>
  <c r="GC14" i="162" s="1"/>
  <c r="DT14" i="162"/>
  <c r="DE14" i="162"/>
  <c r="FT15" i="162"/>
  <c r="CN15" i="162"/>
  <c r="FU15" i="162" s="1"/>
  <c r="FK16" i="162"/>
  <c r="FN16" i="162" s="1"/>
  <c r="CV16" i="162"/>
  <c r="GC16" i="162" s="1"/>
  <c r="DG18" i="162"/>
  <c r="CV18" i="162"/>
  <c r="GC18" i="162" s="1"/>
  <c r="DT18" i="162"/>
  <c r="DE18" i="162"/>
  <c r="G4" i="162"/>
  <c r="DG4" i="162" s="1"/>
  <c r="O23" i="162"/>
  <c r="O40" i="162" s="1"/>
  <c r="W23" i="162"/>
  <c r="W40" i="162" s="1"/>
  <c r="AE23" i="162"/>
  <c r="AE49" i="162" s="1"/>
  <c r="BI23" i="162"/>
  <c r="BI49" i="162" s="1"/>
  <c r="BI21" i="162"/>
  <c r="DF4" i="162"/>
  <c r="EY4" i="162"/>
  <c r="FO23" i="162"/>
  <c r="FO21" i="162"/>
  <c r="CV5" i="162"/>
  <c r="GC5" i="162" s="1"/>
  <c r="DG5" i="162"/>
  <c r="AC7" i="162"/>
  <c r="EX7" i="162" s="1"/>
  <c r="CV9" i="162"/>
  <c r="GC9" i="162" s="1"/>
  <c r="DG9" i="162"/>
  <c r="FN9" i="162"/>
  <c r="EF10" i="162"/>
  <c r="FN10" i="162"/>
  <c r="FJ11" i="162"/>
  <c r="DE12" i="162"/>
  <c r="FG12" i="162"/>
  <c r="FJ12" i="162" s="1"/>
  <c r="DG12" i="162"/>
  <c r="EY12" i="162"/>
  <c r="FR13" i="162"/>
  <c r="DY14" i="162"/>
  <c r="EF14" i="162"/>
  <c r="FG14" i="162"/>
  <c r="FG15" i="162"/>
  <c r="DG15" i="162"/>
  <c r="DT15" i="162"/>
  <c r="DF16" i="162"/>
  <c r="DF17" i="162"/>
  <c r="DE17" i="162"/>
  <c r="FG17" i="162"/>
  <c r="FI17" i="162"/>
  <c r="FN17" i="162"/>
  <c r="DY18" i="162"/>
  <c r="EF18" i="162"/>
  <c r="FG18" i="162"/>
  <c r="CN22" i="162"/>
  <c r="FU19" i="162"/>
  <c r="CP52" i="162"/>
  <c r="CP51" i="162"/>
  <c r="CP54" i="162"/>
  <c r="CP50" i="162"/>
  <c r="CP53" i="162"/>
  <c r="CP49" i="162"/>
  <c r="CP48" i="162"/>
  <c r="CP47" i="162"/>
  <c r="CP46" i="162"/>
  <c r="CP45" i="162"/>
  <c r="CP44" i="162"/>
  <c r="CP43" i="162"/>
  <c r="CP42" i="162"/>
  <c r="CP41" i="162"/>
  <c r="CP40" i="162"/>
  <c r="FW22" i="162"/>
  <c r="CT52" i="162"/>
  <c r="CT51" i="162"/>
  <c r="CT54" i="162"/>
  <c r="CT53" i="162"/>
  <c r="CT48" i="162"/>
  <c r="CT47" i="162"/>
  <c r="CT46" i="162"/>
  <c r="CT50" i="162"/>
  <c r="CT49" i="162"/>
  <c r="CT45" i="162"/>
  <c r="CT44" i="162"/>
  <c r="CT43" i="162"/>
  <c r="CT42" i="162"/>
  <c r="CT41" i="162"/>
  <c r="CT40" i="162"/>
  <c r="GA22" i="162"/>
  <c r="K23" i="162"/>
  <c r="K51" i="162" s="1"/>
  <c r="K21" i="162"/>
  <c r="AA23" i="162"/>
  <c r="AA43" i="162" s="1"/>
  <c r="AA21" i="162"/>
  <c r="BM23" i="162"/>
  <c r="BM21" i="162"/>
  <c r="I4" i="162"/>
  <c r="I22" i="162" s="1"/>
  <c r="Q23" i="162"/>
  <c r="Q21" i="162"/>
  <c r="Y23" i="162"/>
  <c r="Y51" i="162" s="1"/>
  <c r="Y21" i="162"/>
  <c r="FM21" i="162" s="1"/>
  <c r="AG23" i="162"/>
  <c r="AG49" i="162" s="1"/>
  <c r="AG21" i="162"/>
  <c r="BK32" i="162"/>
  <c r="BK37" i="162"/>
  <c r="BK27" i="162"/>
  <c r="BK26" i="162"/>
  <c r="FQ23" i="162"/>
  <c r="FQ21" i="162"/>
  <c r="FR9" i="162"/>
  <c r="DF10" i="162"/>
  <c r="CV10" i="162"/>
  <c r="GC10" i="162" s="1"/>
  <c r="DG10" i="162"/>
  <c r="FT11" i="162"/>
  <c r="CN11" i="162"/>
  <c r="FU11" i="162" s="1"/>
  <c r="FK12" i="162"/>
  <c r="FN12" i="162" s="1"/>
  <c r="CV12" i="162"/>
  <c r="FN14" i="162"/>
  <c r="DE15" i="162"/>
  <c r="DE16" i="162"/>
  <c r="FG16" i="162"/>
  <c r="DG16" i="162"/>
  <c r="EF16" i="162"/>
  <c r="EY16" i="162"/>
  <c r="DT16" i="162" s="1"/>
  <c r="FR17" i="162"/>
  <c r="FN18" i="162"/>
  <c r="O21" i="162"/>
  <c r="M50" i="162"/>
  <c r="DJ14" i="162" s="1"/>
  <c r="M47" i="162"/>
  <c r="DJ11" i="162" s="1"/>
  <c r="M42" i="162"/>
  <c r="DJ6" i="162" s="1"/>
  <c r="U53" i="162"/>
  <c r="U52" i="162"/>
  <c r="U54" i="162"/>
  <c r="U49" i="162"/>
  <c r="U48" i="162"/>
  <c r="U47" i="162"/>
  <c r="U51" i="162"/>
  <c r="U50" i="162"/>
  <c r="U46" i="162"/>
  <c r="U45" i="162"/>
  <c r="U44" i="162"/>
  <c r="U43" i="162"/>
  <c r="U42" i="162"/>
  <c r="U41" i="162"/>
  <c r="U40" i="162"/>
  <c r="AS53" i="162"/>
  <c r="AS52" i="162"/>
  <c r="AS51" i="162"/>
  <c r="AS54" i="162"/>
  <c r="AS50" i="162"/>
  <c r="AS49" i="162"/>
  <c r="AS48" i="162"/>
  <c r="AS47" i="162"/>
  <c r="AS46" i="162"/>
  <c r="AS45" i="162"/>
  <c r="AS44" i="162"/>
  <c r="AS43" i="162"/>
  <c r="AS42" i="162"/>
  <c r="AS41" i="162"/>
  <c r="AS40" i="162"/>
  <c r="BA53" i="162"/>
  <c r="BA52" i="162"/>
  <c r="BA54" i="162"/>
  <c r="BA49" i="162"/>
  <c r="BA48" i="162"/>
  <c r="BA47" i="162"/>
  <c r="BA51" i="162"/>
  <c r="BA50" i="162"/>
  <c r="BA46" i="162"/>
  <c r="BA45" i="162"/>
  <c r="BA44" i="162"/>
  <c r="BA43" i="162"/>
  <c r="BA42" i="162"/>
  <c r="BA41" i="162"/>
  <c r="BA40" i="162"/>
  <c r="BI52" i="162"/>
  <c r="BI47" i="162"/>
  <c r="BI50" i="162"/>
  <c r="BI45" i="162"/>
  <c r="BI44" i="162"/>
  <c r="BI42" i="162"/>
  <c r="BI54" i="162"/>
  <c r="BI41" i="162"/>
  <c r="BQ53" i="162"/>
  <c r="BQ52" i="162"/>
  <c r="BQ54" i="162"/>
  <c r="BQ50" i="162"/>
  <c r="BQ49" i="162"/>
  <c r="BQ48" i="162"/>
  <c r="BQ47" i="162"/>
  <c r="BQ46" i="162"/>
  <c r="BQ51" i="162"/>
  <c r="BQ45" i="162"/>
  <c r="BQ44" i="162"/>
  <c r="BQ43" i="162"/>
  <c r="BQ42" i="162"/>
  <c r="BQ41" i="162"/>
  <c r="BQ40" i="162"/>
  <c r="BY53" i="162"/>
  <c r="BY52" i="162"/>
  <c r="BY51" i="162"/>
  <c r="BY48" i="162"/>
  <c r="BY47" i="162"/>
  <c r="BY46" i="162"/>
  <c r="BY49" i="162"/>
  <c r="BY50" i="162"/>
  <c r="BY54" i="162"/>
  <c r="BY45" i="162"/>
  <c r="BY44" i="162"/>
  <c r="BY43" i="162"/>
  <c r="BY42" i="162"/>
  <c r="BY41" i="162"/>
  <c r="BY40" i="162"/>
  <c r="CG53" i="162"/>
  <c r="CG52" i="162"/>
  <c r="CG54" i="162"/>
  <c r="CG50" i="162"/>
  <c r="CG48" i="162"/>
  <c r="CG47" i="162"/>
  <c r="CG46" i="162"/>
  <c r="CG51" i="162"/>
  <c r="CG45" i="162"/>
  <c r="CG44" i="162"/>
  <c r="CG43" i="162"/>
  <c r="CG42" i="162"/>
  <c r="CG49" i="162"/>
  <c r="CG41" i="162"/>
  <c r="CG40" i="162"/>
  <c r="CL52" i="162"/>
  <c r="CL51" i="162"/>
  <c r="CL54" i="162"/>
  <c r="CL49" i="162"/>
  <c r="CL48" i="162"/>
  <c r="CL47" i="162"/>
  <c r="CL46" i="162"/>
  <c r="CL53" i="162"/>
  <c r="CL50" i="162"/>
  <c r="CL45" i="162"/>
  <c r="CL44" i="162"/>
  <c r="CL43" i="162"/>
  <c r="CL42" i="162"/>
  <c r="CL41" i="162"/>
  <c r="CL40" i="162"/>
  <c r="DF11" i="162"/>
  <c r="DF15" i="162"/>
  <c r="O52" i="162"/>
  <c r="O51" i="162"/>
  <c r="O54" i="162"/>
  <c r="O50" i="162"/>
  <c r="O49" i="162"/>
  <c r="O48" i="162"/>
  <c r="O47" i="162"/>
  <c r="O53" i="162"/>
  <c r="O46" i="162"/>
  <c r="O45" i="162"/>
  <c r="O44" i="162"/>
  <c r="O43" i="162"/>
  <c r="O42" i="162"/>
  <c r="O41" i="162"/>
  <c r="AE47" i="162"/>
  <c r="AE42" i="162"/>
  <c r="AM52" i="162"/>
  <c r="AM51" i="162"/>
  <c r="AM54" i="162"/>
  <c r="AM49" i="162"/>
  <c r="AM48" i="162"/>
  <c r="AM47" i="162"/>
  <c r="AM46" i="162"/>
  <c r="AM53" i="162"/>
  <c r="AM50" i="162"/>
  <c r="AM45" i="162"/>
  <c r="AM44" i="162"/>
  <c r="AM43" i="162"/>
  <c r="AM42" i="162"/>
  <c r="AM41" i="162"/>
  <c r="AM40" i="162"/>
  <c r="AU52" i="162"/>
  <c r="AU51" i="162"/>
  <c r="AU54" i="162"/>
  <c r="AU50" i="162"/>
  <c r="AU49" i="162"/>
  <c r="AU48" i="162"/>
  <c r="AU47" i="162"/>
  <c r="AU46" i="162"/>
  <c r="AU53" i="162"/>
  <c r="AU45" i="162"/>
  <c r="AU44" i="162"/>
  <c r="AU43" i="162"/>
  <c r="AU42" i="162"/>
  <c r="AU41" i="162"/>
  <c r="AU40" i="162"/>
  <c r="BC52" i="162"/>
  <c r="BC51" i="162"/>
  <c r="BC54" i="162"/>
  <c r="BC53" i="162"/>
  <c r="BC49" i="162"/>
  <c r="BC48" i="162"/>
  <c r="BC47" i="162"/>
  <c r="BC46" i="162"/>
  <c r="BC50" i="162"/>
  <c r="BC45" i="162"/>
  <c r="BC44" i="162"/>
  <c r="BC43" i="162"/>
  <c r="BC42" i="162"/>
  <c r="BC41" i="162"/>
  <c r="BC40" i="162"/>
  <c r="BK51" i="162"/>
  <c r="BK48" i="162"/>
  <c r="BK46" i="162"/>
  <c r="BS51" i="162"/>
  <c r="BS54" i="162"/>
  <c r="BS50" i="162"/>
  <c r="BS53" i="162"/>
  <c r="BS49" i="162"/>
  <c r="BS48" i="162"/>
  <c r="BS47" i="162"/>
  <c r="BS46" i="162"/>
  <c r="BS45" i="162"/>
  <c r="BS44" i="162"/>
  <c r="BS43" i="162"/>
  <c r="BS42" i="162"/>
  <c r="BS52" i="162"/>
  <c r="BS41" i="162"/>
  <c r="BS40" i="162"/>
  <c r="CA51" i="162"/>
  <c r="CA54" i="162"/>
  <c r="CA50" i="162"/>
  <c r="CA53" i="162"/>
  <c r="CA48" i="162"/>
  <c r="CA47" i="162"/>
  <c r="CA46" i="162"/>
  <c r="CA52" i="162"/>
  <c r="CA49" i="162"/>
  <c r="CA45" i="162"/>
  <c r="CA44" i="162"/>
  <c r="CA43" i="162"/>
  <c r="CA42" i="162"/>
  <c r="CA41" i="162"/>
  <c r="CA40" i="162"/>
  <c r="CI51" i="162"/>
  <c r="CI54" i="162"/>
  <c r="CI50" i="162"/>
  <c r="CI53" i="162"/>
  <c r="CI48" i="162"/>
  <c r="CI47" i="162"/>
  <c r="CI46" i="162"/>
  <c r="CI49" i="162"/>
  <c r="CI52" i="162"/>
  <c r="CI45" i="162"/>
  <c r="CI44" i="162"/>
  <c r="CI43" i="162"/>
  <c r="CI42" i="162"/>
  <c r="CI41" i="162"/>
  <c r="CI40" i="162"/>
  <c r="CM51" i="162"/>
  <c r="CM54" i="162"/>
  <c r="CM50" i="162"/>
  <c r="CM53" i="162"/>
  <c r="CM48" i="162"/>
  <c r="CM47" i="162"/>
  <c r="CM46" i="162"/>
  <c r="CM52" i="162"/>
  <c r="CM45" i="162"/>
  <c r="CM44" i="162"/>
  <c r="CM43" i="162"/>
  <c r="CM42" i="162"/>
  <c r="CM49" i="162"/>
  <c r="CM41" i="162"/>
  <c r="CM40" i="162"/>
  <c r="CQ51" i="162"/>
  <c r="CQ54" i="162"/>
  <c r="CQ50" i="162"/>
  <c r="CQ53" i="162"/>
  <c r="CQ49" i="162"/>
  <c r="CQ48" i="162"/>
  <c r="CQ47" i="162"/>
  <c r="CQ46" i="162"/>
  <c r="CQ52" i="162"/>
  <c r="CQ45" i="162"/>
  <c r="CQ44" i="162"/>
  <c r="CQ43" i="162"/>
  <c r="CQ42" i="162"/>
  <c r="CQ41" i="162"/>
  <c r="CQ40" i="162"/>
  <c r="CU51" i="162"/>
  <c r="CU54" i="162"/>
  <c r="CU50" i="162"/>
  <c r="CU53" i="162"/>
  <c r="CU52" i="162"/>
  <c r="CU48" i="162"/>
  <c r="CU47" i="162"/>
  <c r="CU46" i="162"/>
  <c r="CU49" i="162"/>
  <c r="CU45" i="162"/>
  <c r="CU44" i="162"/>
  <c r="CU43" i="162"/>
  <c r="CU42" i="162"/>
  <c r="CU41" i="162"/>
  <c r="CU40" i="162"/>
  <c r="BQ37" i="162"/>
  <c r="BQ36" i="162"/>
  <c r="BQ39" i="162"/>
  <c r="BQ35" i="162"/>
  <c r="BQ34" i="162"/>
  <c r="BQ33" i="162"/>
  <c r="BQ32" i="162"/>
  <c r="BQ38" i="162"/>
  <c r="BQ31" i="162"/>
  <c r="BQ30" i="162"/>
  <c r="BQ29" i="162"/>
  <c r="BQ28" i="162"/>
  <c r="BQ27" i="162"/>
  <c r="BQ26" i="162"/>
  <c r="BQ25" i="162"/>
  <c r="BY37" i="162"/>
  <c r="BY36" i="162"/>
  <c r="BY39" i="162"/>
  <c r="BY35" i="162"/>
  <c r="BY34" i="162"/>
  <c r="BY33" i="162"/>
  <c r="BY32" i="162"/>
  <c r="BY38" i="162"/>
  <c r="BY31" i="162"/>
  <c r="BY30" i="162"/>
  <c r="BY29" i="162"/>
  <c r="BY28" i="162"/>
  <c r="BY27" i="162"/>
  <c r="BY26" i="162"/>
  <c r="BY25" i="162"/>
  <c r="CG37" i="162"/>
  <c r="CG36" i="162"/>
  <c r="CG39" i="162"/>
  <c r="CG35" i="162"/>
  <c r="CG34" i="162"/>
  <c r="CG33" i="162"/>
  <c r="CG32" i="162"/>
  <c r="CG38" i="162"/>
  <c r="CG31" i="162"/>
  <c r="CG30" i="162"/>
  <c r="CG29" i="162"/>
  <c r="CG28" i="162"/>
  <c r="CG27" i="162"/>
  <c r="CG26" i="162"/>
  <c r="CG25" i="162"/>
  <c r="CN10" i="162"/>
  <c r="FU10" i="162" s="1"/>
  <c r="CV11" i="162"/>
  <c r="AC13" i="162"/>
  <c r="EX13" i="162" s="1"/>
  <c r="CV13" i="162" s="1"/>
  <c r="CN14" i="162"/>
  <c r="FU14" i="162" s="1"/>
  <c r="CV15" i="162"/>
  <c r="AC17" i="162"/>
  <c r="EX17" i="162" s="1"/>
  <c r="CV17" i="162" s="1"/>
  <c r="CN18" i="162"/>
  <c r="FU18" i="162" s="1"/>
  <c r="Q51" i="162"/>
  <c r="Q54" i="162"/>
  <c r="Q50" i="162"/>
  <c r="Q53" i="162"/>
  <c r="Q52" i="162"/>
  <c r="Q46" i="162"/>
  <c r="Q45" i="162"/>
  <c r="Q44" i="162"/>
  <c r="Q43" i="162"/>
  <c r="Q42" i="162"/>
  <c r="Q47" i="162"/>
  <c r="Q48" i="162"/>
  <c r="Q41" i="162"/>
  <c r="AG54" i="162"/>
  <c r="AO51" i="162"/>
  <c r="AO54" i="162"/>
  <c r="AO50" i="162"/>
  <c r="AO53" i="162"/>
  <c r="AO52" i="162"/>
  <c r="AO49" i="162"/>
  <c r="AO45" i="162"/>
  <c r="AO44" i="162"/>
  <c r="AO43" i="162"/>
  <c r="AO42" i="162"/>
  <c r="AO48" i="162"/>
  <c r="AO47" i="162"/>
  <c r="AO46" i="162"/>
  <c r="AO40" i="162"/>
  <c r="AO41" i="162"/>
  <c r="AW51" i="162"/>
  <c r="AW54" i="162"/>
  <c r="AW50" i="162"/>
  <c r="AW53" i="162"/>
  <c r="AW52" i="162"/>
  <c r="AW46" i="162"/>
  <c r="AW45" i="162"/>
  <c r="AW44" i="162"/>
  <c r="AW43" i="162"/>
  <c r="AW42" i="162"/>
  <c r="AW47" i="162"/>
  <c r="AW48" i="162"/>
  <c r="AW49" i="162"/>
  <c r="AW41" i="162"/>
  <c r="BE51" i="162"/>
  <c r="BE54" i="162"/>
  <c r="BE50" i="162"/>
  <c r="BE53" i="162"/>
  <c r="BE52" i="162"/>
  <c r="BE47" i="162"/>
  <c r="BE45" i="162"/>
  <c r="BE44" i="162"/>
  <c r="BE43" i="162"/>
  <c r="BE42" i="162"/>
  <c r="BE48" i="162"/>
  <c r="BE46" i="162"/>
  <c r="BE49" i="162"/>
  <c r="BE40" i="162"/>
  <c r="BM53" i="162"/>
  <c r="BM52" i="162"/>
  <c r="BM54" i="162"/>
  <c r="BM50" i="162"/>
  <c r="BM51" i="162"/>
  <c r="BM48" i="162"/>
  <c r="BM45" i="162"/>
  <c r="BM44" i="162"/>
  <c r="BM43" i="162"/>
  <c r="BM42" i="162"/>
  <c r="BM49" i="162"/>
  <c r="BM46" i="162"/>
  <c r="BM47" i="162"/>
  <c r="BM40" i="162"/>
  <c r="BM41" i="162"/>
  <c r="BU53" i="162"/>
  <c r="BU52" i="162"/>
  <c r="BU49" i="162"/>
  <c r="BU54" i="162"/>
  <c r="BU50" i="162"/>
  <c r="BU45" i="162"/>
  <c r="BU44" i="162"/>
  <c r="BU43" i="162"/>
  <c r="BU42" i="162"/>
  <c r="BU46" i="162"/>
  <c r="BU47" i="162"/>
  <c r="BU51" i="162"/>
  <c r="BU48" i="162"/>
  <c r="BU40" i="162"/>
  <c r="BU41" i="162"/>
  <c r="CC53" i="162"/>
  <c r="CC52" i="162"/>
  <c r="CC49" i="162"/>
  <c r="CC54" i="162"/>
  <c r="CC50" i="162"/>
  <c r="CC51" i="162"/>
  <c r="CC45" i="162"/>
  <c r="CC44" i="162"/>
  <c r="CC43" i="162"/>
  <c r="CC42" i="162"/>
  <c r="CC47" i="162"/>
  <c r="CC48" i="162"/>
  <c r="CC41" i="162"/>
  <c r="CC46" i="162"/>
  <c r="CJ54" i="162"/>
  <c r="CJ50" i="162"/>
  <c r="CJ53" i="162"/>
  <c r="CJ49" i="162"/>
  <c r="CJ52" i="162"/>
  <c r="CJ51" i="162"/>
  <c r="CJ47" i="162"/>
  <c r="CJ45" i="162"/>
  <c r="CJ44" i="162"/>
  <c r="CJ43" i="162"/>
  <c r="CJ42" i="162"/>
  <c r="CJ48" i="162"/>
  <c r="CJ46" i="162"/>
  <c r="CJ40" i="162"/>
  <c r="CR54" i="162"/>
  <c r="CR50" i="162"/>
  <c r="CR53" i="162"/>
  <c r="CR49" i="162"/>
  <c r="CR52" i="162"/>
  <c r="CR51" i="162"/>
  <c r="CR45" i="162"/>
  <c r="CR44" i="162"/>
  <c r="CR43" i="162"/>
  <c r="CR42" i="162"/>
  <c r="CR46" i="162"/>
  <c r="CR47" i="162"/>
  <c r="CR48" i="162"/>
  <c r="CR40" i="162"/>
  <c r="CR41" i="162"/>
  <c r="FX22" i="162"/>
  <c r="GB22" i="162"/>
  <c r="Q40" i="162"/>
  <c r="Q49" i="162"/>
  <c r="D54" i="162"/>
  <c r="D53" i="162"/>
  <c r="D52" i="162"/>
  <c r="D50" i="162"/>
  <c r="D49" i="162"/>
  <c r="D48" i="162"/>
  <c r="D47" i="162"/>
  <c r="D51" i="162"/>
  <c r="D44" i="162"/>
  <c r="D45" i="162"/>
  <c r="D46" i="162"/>
  <c r="D42" i="162"/>
  <c r="D41" i="162"/>
  <c r="D40" i="162"/>
  <c r="K54" i="162"/>
  <c r="K52" i="162"/>
  <c r="K50" i="162"/>
  <c r="K47" i="162"/>
  <c r="K45" i="162"/>
  <c r="K42" i="162"/>
  <c r="K41" i="162"/>
  <c r="S54" i="162"/>
  <c r="S52" i="162"/>
  <c r="S48" i="162"/>
  <c r="S47" i="162"/>
  <c r="S50" i="162"/>
  <c r="S46" i="162"/>
  <c r="S44" i="162"/>
  <c r="S42" i="162"/>
  <c r="S41" i="162"/>
  <c r="AQ54" i="162"/>
  <c r="AQ53" i="162"/>
  <c r="AQ52" i="162"/>
  <c r="AQ51" i="162"/>
  <c r="AQ50" i="162"/>
  <c r="AQ49" i="162"/>
  <c r="AQ48" i="162"/>
  <c r="AQ47" i="162"/>
  <c r="AQ46" i="162"/>
  <c r="AQ45" i="162"/>
  <c r="AQ42" i="162"/>
  <c r="AQ43" i="162"/>
  <c r="AQ41" i="162"/>
  <c r="AQ40" i="162"/>
  <c r="AQ44" i="162"/>
  <c r="AY54" i="162"/>
  <c r="AY53" i="162"/>
  <c r="AY52" i="162"/>
  <c r="AY49" i="162"/>
  <c r="AY48" i="162"/>
  <c r="AY47" i="162"/>
  <c r="AY51" i="162"/>
  <c r="AY42" i="162"/>
  <c r="AY46" i="162"/>
  <c r="AY43" i="162"/>
  <c r="AY44" i="162"/>
  <c r="AY41" i="162"/>
  <c r="AY40" i="162"/>
  <c r="AY50" i="162"/>
  <c r="AY45" i="162"/>
  <c r="BG54" i="162"/>
  <c r="BG53" i="162"/>
  <c r="BG52" i="162"/>
  <c r="BG50" i="162"/>
  <c r="BG51" i="162"/>
  <c r="BG49" i="162"/>
  <c r="BG48" i="162"/>
  <c r="BG47" i="162"/>
  <c r="BG46" i="162"/>
  <c r="BG43" i="162"/>
  <c r="BG44" i="162"/>
  <c r="BG45" i="162"/>
  <c r="BG41" i="162"/>
  <c r="BG40" i="162"/>
  <c r="BG42" i="162"/>
  <c r="BO51" i="162"/>
  <c r="BO54" i="162"/>
  <c r="BO50" i="162"/>
  <c r="BO53" i="162"/>
  <c r="BO52" i="162"/>
  <c r="BO49" i="162"/>
  <c r="BO48" i="162"/>
  <c r="BO47" i="162"/>
  <c r="BO46" i="162"/>
  <c r="BO44" i="162"/>
  <c r="BO45" i="162"/>
  <c r="BO42" i="162"/>
  <c r="BO41" i="162"/>
  <c r="BO40" i="162"/>
  <c r="BO43" i="162"/>
  <c r="BW51" i="162"/>
  <c r="BW54" i="162"/>
  <c r="BW50" i="162"/>
  <c r="BW53" i="162"/>
  <c r="BW52" i="162"/>
  <c r="BW48" i="162"/>
  <c r="BW47" i="162"/>
  <c r="BW49" i="162"/>
  <c r="BW46" i="162"/>
  <c r="BW45" i="162"/>
  <c r="BW42" i="162"/>
  <c r="BW43" i="162"/>
  <c r="BW41" i="162"/>
  <c r="BW40" i="162"/>
  <c r="BW44" i="162"/>
  <c r="CE51" i="162"/>
  <c r="CE54" i="162"/>
  <c r="CE50" i="162"/>
  <c r="CE53" i="162"/>
  <c r="CE49" i="162"/>
  <c r="CE52" i="162"/>
  <c r="CE48" i="162"/>
  <c r="CE47" i="162"/>
  <c r="CE46" i="162"/>
  <c r="CE42" i="162"/>
  <c r="CE43" i="162"/>
  <c r="CE44" i="162"/>
  <c r="CE41" i="162"/>
  <c r="CE40" i="162"/>
  <c r="CE45" i="162"/>
  <c r="CO53" i="162"/>
  <c r="CO52" i="162"/>
  <c r="CO51" i="162"/>
  <c r="CO50" i="162"/>
  <c r="CO54" i="162"/>
  <c r="CO49" i="162"/>
  <c r="CO48" i="162"/>
  <c r="CO47" i="162"/>
  <c r="CO46" i="162"/>
  <c r="CO44" i="162"/>
  <c r="CO45" i="162"/>
  <c r="CO42" i="162"/>
  <c r="CO41" i="162"/>
  <c r="CO40" i="162"/>
  <c r="CO43" i="162"/>
  <c r="CS53" i="162"/>
  <c r="CS52" i="162"/>
  <c r="CS51" i="162"/>
  <c r="CS54" i="162"/>
  <c r="CS48" i="162"/>
  <c r="CS47" i="162"/>
  <c r="CS46" i="162"/>
  <c r="CS49" i="162"/>
  <c r="CS50" i="162"/>
  <c r="CS45" i="162"/>
  <c r="CS42" i="162"/>
  <c r="CS43" i="162"/>
  <c r="CS41" i="162"/>
  <c r="CS40" i="162"/>
  <c r="CS44" i="162"/>
  <c r="FF22" i="162"/>
  <c r="FK22" i="162"/>
  <c r="AS37" i="162"/>
  <c r="AS36" i="162"/>
  <c r="AS39" i="162"/>
  <c r="AS35" i="162"/>
  <c r="AS34" i="162"/>
  <c r="AS33" i="162"/>
  <c r="AS32" i="162"/>
  <c r="AS38" i="162"/>
  <c r="AS31" i="162"/>
  <c r="AS30" i="162"/>
  <c r="AS29" i="162"/>
  <c r="AS28" i="162"/>
  <c r="AS27" i="162"/>
  <c r="AS26" i="162"/>
  <c r="AS25" i="162"/>
  <c r="BA37" i="162"/>
  <c r="BA36" i="162"/>
  <c r="BA39" i="162"/>
  <c r="BA35" i="162"/>
  <c r="BA34" i="162"/>
  <c r="BA33" i="162"/>
  <c r="BA32" i="162"/>
  <c r="BA31" i="162"/>
  <c r="BA30" i="162"/>
  <c r="BA29" i="162"/>
  <c r="BA28" i="162"/>
  <c r="BA27" i="162"/>
  <c r="BA26" i="162"/>
  <c r="BA25" i="162"/>
  <c r="CP36" i="162"/>
  <c r="CP39" i="162"/>
  <c r="CP35" i="162"/>
  <c r="CP38" i="162"/>
  <c r="CP34" i="162"/>
  <c r="CP33" i="162"/>
  <c r="CP32" i="162"/>
  <c r="CP37" i="162"/>
  <c r="CP31" i="162"/>
  <c r="CP30" i="162"/>
  <c r="CP29" i="162"/>
  <c r="CP28" i="162"/>
  <c r="CP27" i="162"/>
  <c r="CP26" i="162"/>
  <c r="CP25" i="162"/>
  <c r="FW23" i="162"/>
  <c r="CT36" i="162"/>
  <c r="CT39" i="162"/>
  <c r="CT35" i="162"/>
  <c r="CT38" i="162"/>
  <c r="CT34" i="162"/>
  <c r="CT33" i="162"/>
  <c r="CT32" i="162"/>
  <c r="CT31" i="162"/>
  <c r="CT30" i="162"/>
  <c r="CT29" i="162"/>
  <c r="CT28" i="162"/>
  <c r="CT27" i="162"/>
  <c r="CT26" i="162"/>
  <c r="CT25" i="162"/>
  <c r="GA23" i="162"/>
  <c r="CT37" i="162"/>
  <c r="AW40" i="162"/>
  <c r="BE41" i="162"/>
  <c r="K44" i="162"/>
  <c r="AM36" i="162"/>
  <c r="AM39" i="162"/>
  <c r="AM35" i="162"/>
  <c r="AM34" i="162"/>
  <c r="AM33" i="162"/>
  <c r="AM32" i="162"/>
  <c r="AM38" i="162"/>
  <c r="AU36" i="162"/>
  <c r="AU39" i="162"/>
  <c r="AU35" i="162"/>
  <c r="AU34" i="162"/>
  <c r="AU33" i="162"/>
  <c r="AU32" i="162"/>
  <c r="AU38" i="162"/>
  <c r="BC36" i="162"/>
  <c r="BC39" i="162"/>
  <c r="BC35" i="162"/>
  <c r="BC34" i="162"/>
  <c r="BC33" i="162"/>
  <c r="BC32" i="162"/>
  <c r="BC38" i="162"/>
  <c r="BS39" i="162"/>
  <c r="BS35" i="162"/>
  <c r="BS38" i="162"/>
  <c r="BS34" i="162"/>
  <c r="BS33" i="162"/>
  <c r="BS32" i="162"/>
  <c r="BS37" i="162"/>
  <c r="CA39" i="162"/>
  <c r="CA35" i="162"/>
  <c r="CA38" i="162"/>
  <c r="CA34" i="162"/>
  <c r="CA33" i="162"/>
  <c r="CA32" i="162"/>
  <c r="CA37" i="162"/>
  <c r="CI39" i="162"/>
  <c r="CI35" i="162"/>
  <c r="CI38" i="162"/>
  <c r="CI34" i="162"/>
  <c r="CI33" i="162"/>
  <c r="CI32" i="162"/>
  <c r="CI37" i="162"/>
  <c r="CM39" i="162"/>
  <c r="CM35" i="162"/>
  <c r="CM38" i="162"/>
  <c r="CM34" i="162"/>
  <c r="CM33" i="162"/>
  <c r="CM32" i="162"/>
  <c r="CM37" i="162"/>
  <c r="CQ39" i="162"/>
  <c r="GL11" i="162" s="1"/>
  <c r="CQ35" i="162"/>
  <c r="CQ38" i="162"/>
  <c r="CQ34" i="162"/>
  <c r="CQ33" i="162"/>
  <c r="CQ32" i="162"/>
  <c r="CQ37" i="162"/>
  <c r="CU39" i="162"/>
  <c r="CU35" i="162"/>
  <c r="CU38" i="162"/>
  <c r="CU34" i="162"/>
  <c r="CU33" i="162"/>
  <c r="CU32" i="162"/>
  <c r="CU37" i="162"/>
  <c r="AY32" i="162"/>
  <c r="CE33" i="162"/>
  <c r="BG34" i="162"/>
  <c r="D35" i="162"/>
  <c r="BS36" i="162"/>
  <c r="CI36" i="162"/>
  <c r="D39" i="162"/>
  <c r="AO39" i="162"/>
  <c r="AO35" i="162"/>
  <c r="AO34" i="162"/>
  <c r="AO33" i="162"/>
  <c r="AO38" i="162"/>
  <c r="AO37" i="162"/>
  <c r="AW39" i="162"/>
  <c r="AW35" i="162"/>
  <c r="AW34" i="162"/>
  <c r="AW33" i="162"/>
  <c r="AW38" i="162"/>
  <c r="AW37" i="162"/>
  <c r="BE39" i="162"/>
  <c r="BE35" i="162"/>
  <c r="BE34" i="162"/>
  <c r="BE33" i="162"/>
  <c r="BE38" i="162"/>
  <c r="BE37" i="162"/>
  <c r="BU37" i="162"/>
  <c r="BU34" i="162"/>
  <c r="BU33" i="162"/>
  <c r="BU32" i="162"/>
  <c r="BU36" i="162"/>
  <c r="BU39" i="162"/>
  <c r="BU35" i="162"/>
  <c r="CC37" i="162"/>
  <c r="CC34" i="162"/>
  <c r="CC33" i="162"/>
  <c r="CC32" i="162"/>
  <c r="CC36" i="162"/>
  <c r="CC39" i="162"/>
  <c r="CC35" i="162"/>
  <c r="CJ38" i="162"/>
  <c r="CJ34" i="162"/>
  <c r="CJ33" i="162"/>
  <c r="CJ32" i="162"/>
  <c r="CJ37" i="162"/>
  <c r="CJ36" i="162"/>
  <c r="CR38" i="162"/>
  <c r="CR34" i="162"/>
  <c r="CR33" i="162"/>
  <c r="CR32" i="162"/>
  <c r="CR37" i="162"/>
  <c r="CR36" i="162"/>
  <c r="FX23" i="162"/>
  <c r="GB23" i="162"/>
  <c r="AM25" i="162"/>
  <c r="AU25" i="162"/>
  <c r="BC25" i="162"/>
  <c r="BS25" i="162"/>
  <c r="CA25" i="162"/>
  <c r="CI25" i="162"/>
  <c r="CM25" i="162"/>
  <c r="CQ25" i="162"/>
  <c r="CU25" i="162"/>
  <c r="AM26" i="162"/>
  <c r="AU26" i="162"/>
  <c r="BC26" i="162"/>
  <c r="BS26" i="162"/>
  <c r="CA26" i="162"/>
  <c r="CI26" i="162"/>
  <c r="CM26" i="162"/>
  <c r="CQ26" i="162"/>
  <c r="CU26" i="162"/>
  <c r="AM27" i="162"/>
  <c r="AU27" i="162"/>
  <c r="BC27" i="162"/>
  <c r="BS27" i="162"/>
  <c r="CA27" i="162"/>
  <c r="CI27" i="162"/>
  <c r="CM27" i="162"/>
  <c r="CQ27" i="162"/>
  <c r="CU27" i="162"/>
  <c r="AM28" i="162"/>
  <c r="AU28" i="162"/>
  <c r="BC28" i="162"/>
  <c r="BS28" i="162"/>
  <c r="CA28" i="162"/>
  <c r="CI28" i="162"/>
  <c r="CM28" i="162"/>
  <c r="CQ28" i="162"/>
  <c r="CU28" i="162"/>
  <c r="AM29" i="162"/>
  <c r="AU29" i="162"/>
  <c r="BC29" i="162"/>
  <c r="BS29" i="162"/>
  <c r="CA29" i="162"/>
  <c r="CI29" i="162"/>
  <c r="CM29" i="162"/>
  <c r="CQ29" i="162"/>
  <c r="CU29" i="162"/>
  <c r="AM30" i="162"/>
  <c r="AU30" i="162"/>
  <c r="BC30" i="162"/>
  <c r="BS30" i="162"/>
  <c r="CA30" i="162"/>
  <c r="CI30" i="162"/>
  <c r="CM30" i="162"/>
  <c r="CQ30" i="162"/>
  <c r="CU30" i="162"/>
  <c r="AM31" i="162"/>
  <c r="AU31" i="162"/>
  <c r="BC31" i="162"/>
  <c r="BS31" i="162"/>
  <c r="CA31" i="162"/>
  <c r="CI31" i="162"/>
  <c r="CM31" i="162"/>
  <c r="CQ31" i="162"/>
  <c r="CU31" i="162"/>
  <c r="D32" i="162"/>
  <c r="AO32" i="162"/>
  <c r="BE32" i="162"/>
  <c r="CE32" i="162"/>
  <c r="BO34" i="162"/>
  <c r="CO34" i="162"/>
  <c r="AQ35" i="162"/>
  <c r="CJ35" i="162"/>
  <c r="CM36" i="162"/>
  <c r="AM37" i="162"/>
  <c r="BU38" i="162"/>
  <c r="CJ39" i="162"/>
  <c r="D38" i="162"/>
  <c r="D37" i="162"/>
  <c r="D36" i="162"/>
  <c r="AQ38" i="162"/>
  <c r="AQ37" i="162"/>
  <c r="AQ36" i="162"/>
  <c r="AY38" i="162"/>
  <c r="AY37" i="162"/>
  <c r="AY36" i="162"/>
  <c r="BG38" i="162"/>
  <c r="BG37" i="162"/>
  <c r="BG36" i="162"/>
  <c r="BO39" i="162"/>
  <c r="BO35" i="162"/>
  <c r="BO38" i="162"/>
  <c r="BO37" i="162"/>
  <c r="BW39" i="162"/>
  <c r="BW35" i="162"/>
  <c r="BW38" i="162"/>
  <c r="BW37" i="162"/>
  <c r="CE39" i="162"/>
  <c r="CE35" i="162"/>
  <c r="CE38" i="162"/>
  <c r="CE37" i="162"/>
  <c r="CO37" i="162"/>
  <c r="CO36" i="162"/>
  <c r="CO39" i="162"/>
  <c r="CO35" i="162"/>
  <c r="CS37" i="162"/>
  <c r="CS36" i="162"/>
  <c r="CS39" i="162"/>
  <c r="CS35" i="162"/>
  <c r="FF23" i="162"/>
  <c r="FY23" i="162"/>
  <c r="AO25" i="162"/>
  <c r="AW25" i="162"/>
  <c r="BE25" i="162"/>
  <c r="BU25" i="162"/>
  <c r="CC25" i="162"/>
  <c r="CJ25" i="162"/>
  <c r="CR25" i="162"/>
  <c r="AO26" i="162"/>
  <c r="AW26" i="162"/>
  <c r="BE26" i="162"/>
  <c r="BU26" i="162"/>
  <c r="CC26" i="162"/>
  <c r="CJ26" i="162"/>
  <c r="CR26" i="162"/>
  <c r="AO27" i="162"/>
  <c r="AW27" i="162"/>
  <c r="BE27" i="162"/>
  <c r="BU27" i="162"/>
  <c r="CC27" i="162"/>
  <c r="CJ27" i="162"/>
  <c r="CR27" i="162"/>
  <c r="AO28" i="162"/>
  <c r="AW28" i="162"/>
  <c r="BE28" i="162"/>
  <c r="BU28" i="162"/>
  <c r="CC28" i="162"/>
  <c r="CJ28" i="162"/>
  <c r="CR28" i="162"/>
  <c r="AO29" i="162"/>
  <c r="AW29" i="162"/>
  <c r="BE29" i="162"/>
  <c r="BU29" i="162"/>
  <c r="CC29" i="162"/>
  <c r="CJ29" i="162"/>
  <c r="CR29" i="162"/>
  <c r="AO30" i="162"/>
  <c r="AW30" i="162"/>
  <c r="BE30" i="162"/>
  <c r="BU30" i="162"/>
  <c r="CC30" i="162"/>
  <c r="CJ30" i="162"/>
  <c r="CR30" i="162"/>
  <c r="AO31" i="162"/>
  <c r="AW31" i="162"/>
  <c r="BE31" i="162"/>
  <c r="BU31" i="162"/>
  <c r="CC31" i="162"/>
  <c r="CJ31" i="162"/>
  <c r="CR31" i="162"/>
  <c r="AQ32" i="162"/>
  <c r="BG32" i="162"/>
  <c r="D33" i="162"/>
  <c r="BO33" i="162"/>
  <c r="CO33" i="162"/>
  <c r="AQ34" i="162"/>
  <c r="BW34" i="162"/>
  <c r="CS34" i="162"/>
  <c r="AY35" i="162"/>
  <c r="AO36" i="162"/>
  <c r="CA36" i="162"/>
  <c r="CQ36" i="162"/>
  <c r="AU37" i="162"/>
  <c r="CS38" i="162"/>
  <c r="AY39" i="162"/>
  <c r="CH54" i="161"/>
  <c r="CF54" i="161"/>
  <c r="CD54" i="161"/>
  <c r="CB54" i="161"/>
  <c r="BZ54" i="161"/>
  <c r="BX54" i="161"/>
  <c r="BV54" i="161"/>
  <c r="BT54" i="161"/>
  <c r="BR54" i="161"/>
  <c r="BP54" i="161"/>
  <c r="BN54" i="161"/>
  <c r="BL54" i="161"/>
  <c r="BJ54" i="161"/>
  <c r="CH53" i="161"/>
  <c r="CF53" i="161"/>
  <c r="CD53" i="161"/>
  <c r="CB53" i="161"/>
  <c r="BZ53" i="161"/>
  <c r="BX53" i="161"/>
  <c r="BV53" i="161"/>
  <c r="BT53" i="161"/>
  <c r="BR53" i="161"/>
  <c r="BP53" i="161"/>
  <c r="BN53" i="161"/>
  <c r="BL53" i="161"/>
  <c r="BJ53" i="161"/>
  <c r="CH52" i="161"/>
  <c r="CF52" i="161"/>
  <c r="CD52" i="161"/>
  <c r="CB52" i="161"/>
  <c r="BZ52" i="161"/>
  <c r="BX52" i="161"/>
  <c r="BV52" i="161"/>
  <c r="BT52" i="161"/>
  <c r="BR52" i="161"/>
  <c r="BP52" i="161"/>
  <c r="BN52" i="161"/>
  <c r="BL52" i="161"/>
  <c r="BJ52" i="161"/>
  <c r="CH51" i="161"/>
  <c r="CF51" i="161"/>
  <c r="CD51" i="161"/>
  <c r="CB51" i="161"/>
  <c r="BZ51" i="161"/>
  <c r="BX51" i="161"/>
  <c r="BV51" i="161"/>
  <c r="BT51" i="161"/>
  <c r="BR51" i="161"/>
  <c r="BP51" i="161"/>
  <c r="BN51" i="161"/>
  <c r="BL51" i="161"/>
  <c r="BJ51" i="161"/>
  <c r="CH50" i="161"/>
  <c r="CF50" i="161"/>
  <c r="CD50" i="161"/>
  <c r="CB50" i="161"/>
  <c r="BZ50" i="161"/>
  <c r="BX50" i="161"/>
  <c r="BV50" i="161"/>
  <c r="BT50" i="161"/>
  <c r="BR50" i="161"/>
  <c r="BP50" i="161"/>
  <c r="BN50" i="161"/>
  <c r="BL50" i="161"/>
  <c r="BJ50" i="161"/>
  <c r="CH39" i="161"/>
  <c r="CF39" i="161"/>
  <c r="CD39" i="161"/>
  <c r="CB39" i="161"/>
  <c r="BZ39" i="161"/>
  <c r="BX39" i="161"/>
  <c r="BV39" i="161"/>
  <c r="BT39" i="161"/>
  <c r="BR39" i="161"/>
  <c r="BP39" i="161"/>
  <c r="BN39" i="161"/>
  <c r="BL39" i="161"/>
  <c r="BJ39" i="161"/>
  <c r="CH38" i="161"/>
  <c r="CF38" i="161"/>
  <c r="CD38" i="161"/>
  <c r="CB38" i="161"/>
  <c r="BZ38" i="161"/>
  <c r="BX38" i="161"/>
  <c r="BV38" i="161"/>
  <c r="BT38" i="161"/>
  <c r="BR38" i="161"/>
  <c r="BP38" i="161"/>
  <c r="BN38" i="161"/>
  <c r="BL38" i="161"/>
  <c r="BJ38" i="161"/>
  <c r="CH37" i="161"/>
  <c r="CF37" i="161"/>
  <c r="CD37" i="161"/>
  <c r="CB37" i="161"/>
  <c r="BZ37" i="161"/>
  <c r="BX37" i="161"/>
  <c r="BV37" i="161"/>
  <c r="BT37" i="161"/>
  <c r="BR37" i="161"/>
  <c r="BP37" i="161"/>
  <c r="BN37" i="161"/>
  <c r="BL37" i="161"/>
  <c r="BJ37" i="161"/>
  <c r="CH36" i="161"/>
  <c r="CF36" i="161"/>
  <c r="CD36" i="161"/>
  <c r="CB36" i="161"/>
  <c r="BZ36" i="161"/>
  <c r="BX36" i="161"/>
  <c r="BV36" i="161"/>
  <c r="BT36" i="161"/>
  <c r="BR36" i="161"/>
  <c r="BP36" i="161"/>
  <c r="BN36" i="161"/>
  <c r="BL36" i="161"/>
  <c r="BJ36" i="161"/>
  <c r="CH35" i="161"/>
  <c r="CF35" i="161"/>
  <c r="CD35" i="161"/>
  <c r="CB35" i="161"/>
  <c r="BZ35" i="161"/>
  <c r="BX35" i="161"/>
  <c r="BV35" i="161"/>
  <c r="BT35" i="161"/>
  <c r="BR35" i="161"/>
  <c r="BP35" i="161"/>
  <c r="BN35" i="161"/>
  <c r="BL35" i="161"/>
  <c r="BJ35" i="161"/>
  <c r="CU23" i="161"/>
  <c r="CT23" i="161"/>
  <c r="CS23" i="161"/>
  <c r="CR23" i="161"/>
  <c r="CQ23" i="161"/>
  <c r="CP23" i="161"/>
  <c r="CO23" i="161"/>
  <c r="CM23" i="161"/>
  <c r="CM29" i="161" s="1"/>
  <c r="CL23" i="161"/>
  <c r="CJ23" i="161"/>
  <c r="CI23" i="161"/>
  <c r="CG23" i="161"/>
  <c r="CE23" i="161"/>
  <c r="CC23" i="161"/>
  <c r="CA23" i="161"/>
  <c r="BY23" i="161"/>
  <c r="BW23" i="161"/>
  <c r="BU23" i="161"/>
  <c r="BS23" i="161"/>
  <c r="BQ23" i="161"/>
  <c r="BO23" i="161"/>
  <c r="BG23" i="161"/>
  <c r="BE23" i="161"/>
  <c r="BC23" i="161"/>
  <c r="BA23" i="161"/>
  <c r="AY23" i="161"/>
  <c r="AW23" i="161"/>
  <c r="AU23" i="161"/>
  <c r="AS23" i="161"/>
  <c r="AQ23" i="161"/>
  <c r="AO23" i="161"/>
  <c r="AM23" i="161"/>
  <c r="D23" i="161"/>
  <c r="FQ22" i="161"/>
  <c r="FO22" i="161"/>
  <c r="CU22" i="161"/>
  <c r="CT22" i="161"/>
  <c r="GA22" i="161" s="1"/>
  <c r="CS22" i="161"/>
  <c r="CR22" i="161"/>
  <c r="CQ22" i="161"/>
  <c r="CP22" i="161"/>
  <c r="FW22" i="161" s="1"/>
  <c r="CO22" i="161"/>
  <c r="CM22" i="161"/>
  <c r="CL22" i="161"/>
  <c r="CJ22" i="161"/>
  <c r="FS22" i="161" s="1"/>
  <c r="CI22" i="161"/>
  <c r="CG22" i="161"/>
  <c r="CE22" i="161"/>
  <c r="CC22" i="161"/>
  <c r="CA22" i="161"/>
  <c r="BY22" i="161"/>
  <c r="BW22" i="161"/>
  <c r="BU22" i="161"/>
  <c r="BS22" i="161"/>
  <c r="BQ22" i="161"/>
  <c r="BO22" i="161"/>
  <c r="BM22" i="161"/>
  <c r="BG22" i="161"/>
  <c r="BE22" i="161"/>
  <c r="BC22" i="161"/>
  <c r="BA22" i="161"/>
  <c r="AY22" i="161"/>
  <c r="AW22" i="161"/>
  <c r="AU22" i="161"/>
  <c r="AS22" i="161"/>
  <c r="AQ22" i="161"/>
  <c r="AO22" i="161"/>
  <c r="AM22" i="161"/>
  <c r="AK22" i="161"/>
  <c r="AA22" i="161"/>
  <c r="W22" i="161"/>
  <c r="U22" i="161"/>
  <c r="O22" i="161"/>
  <c r="M22" i="161"/>
  <c r="K22" i="161"/>
  <c r="I22" i="161"/>
  <c r="D22" i="161"/>
  <c r="CU21" i="161"/>
  <c r="GB21" i="161" s="1"/>
  <c r="CT21" i="161"/>
  <c r="GA21" i="161" s="1"/>
  <c r="CS21" i="161"/>
  <c r="FZ21" i="161" s="1"/>
  <c r="CR21" i="161"/>
  <c r="FY21" i="161" s="1"/>
  <c r="CQ21" i="161"/>
  <c r="FX21" i="161" s="1"/>
  <c r="CP21" i="161"/>
  <c r="FW21" i="161" s="1"/>
  <c r="CO21" i="161"/>
  <c r="FV21" i="161" s="1"/>
  <c r="CM21" i="161"/>
  <c r="CL21" i="161"/>
  <c r="CJ21" i="161"/>
  <c r="FS21" i="161" s="1"/>
  <c r="CI21" i="161"/>
  <c r="CG21" i="161"/>
  <c r="CE21" i="161"/>
  <c r="CC21" i="161"/>
  <c r="CA21" i="161"/>
  <c r="BY21" i="161"/>
  <c r="BW21" i="161"/>
  <c r="BU21" i="161"/>
  <c r="BS21" i="161"/>
  <c r="BQ21" i="161"/>
  <c r="BO21" i="161"/>
  <c r="BG21" i="161"/>
  <c r="BE21" i="161"/>
  <c r="BC21" i="161"/>
  <c r="BA21" i="161"/>
  <c r="AY21" i="161"/>
  <c r="AW21" i="161"/>
  <c r="AU21" i="161"/>
  <c r="AS21" i="161"/>
  <c r="AQ21" i="161"/>
  <c r="AO21" i="161"/>
  <c r="AM21" i="161"/>
  <c r="D21" i="161"/>
  <c r="FF21" i="161" s="1"/>
  <c r="GA20" i="161"/>
  <c r="FU20" i="161"/>
  <c r="FT20" i="161"/>
  <c r="FS20" i="161"/>
  <c r="ET20" i="161"/>
  <c r="EN20" i="161"/>
  <c r="EF20" i="161"/>
  <c r="DY20" i="161"/>
  <c r="CN20" i="161"/>
  <c r="GA19" i="161"/>
  <c r="FU19" i="161"/>
  <c r="FT19" i="161"/>
  <c r="FS19" i="161"/>
  <c r="ET19" i="161"/>
  <c r="EN19" i="161"/>
  <c r="EF19" i="161"/>
  <c r="DY19" i="161"/>
  <c r="CN19" i="161"/>
  <c r="GB18" i="161"/>
  <c r="GA18" i="161"/>
  <c r="FZ18" i="161"/>
  <c r="FY18" i="161"/>
  <c r="FX18" i="161"/>
  <c r="FW18" i="161"/>
  <c r="FV18" i="161"/>
  <c r="FS18" i="161"/>
  <c r="FR18" i="161"/>
  <c r="FQ18" i="161"/>
  <c r="FO18" i="161"/>
  <c r="FF18" i="161"/>
  <c r="DQ18" i="161"/>
  <c r="DP18" i="161"/>
  <c r="DO18" i="161"/>
  <c r="DD18" i="161"/>
  <c r="CK18" i="161"/>
  <c r="BM18" i="161"/>
  <c r="BK18" i="161"/>
  <c r="BI18" i="161"/>
  <c r="AK18" i="161"/>
  <c r="I18" i="161" s="1"/>
  <c r="AI18" i="161"/>
  <c r="G18" i="161" s="1"/>
  <c r="FI18" i="161" s="1"/>
  <c r="AG18" i="161"/>
  <c r="AE18" i="161"/>
  <c r="EY18" i="161" s="1"/>
  <c r="AA18" i="161"/>
  <c r="Y18" i="161"/>
  <c r="FM18" i="161" s="1"/>
  <c r="W18" i="161"/>
  <c r="FK18" i="161" s="1"/>
  <c r="U18" i="161"/>
  <c r="S18" i="161"/>
  <c r="Q18" i="161"/>
  <c r="O18" i="161"/>
  <c r="M18" i="161"/>
  <c r="K18" i="161"/>
  <c r="E18" i="161"/>
  <c r="GB17" i="161"/>
  <c r="GA17" i="161"/>
  <c r="FZ17" i="161"/>
  <c r="FY17" i="161"/>
  <c r="FX17" i="161"/>
  <c r="FW17" i="161"/>
  <c r="FV17" i="161"/>
  <c r="FS17" i="161"/>
  <c r="FQ17" i="161"/>
  <c r="FR17" i="161" s="1"/>
  <c r="FO17" i="161"/>
  <c r="FK17" i="161"/>
  <c r="FG17" i="161"/>
  <c r="FF17" i="161"/>
  <c r="DQ17" i="161"/>
  <c r="DP17" i="161"/>
  <c r="DO17" i="161"/>
  <c r="DD17" i="161"/>
  <c r="CK17" i="161"/>
  <c r="FT17" i="161" s="1"/>
  <c r="BM17" i="161"/>
  <c r="I17" i="161" s="1"/>
  <c r="BK17" i="161"/>
  <c r="BI17" i="161"/>
  <c r="AK17" i="161"/>
  <c r="AI17" i="161"/>
  <c r="AG17" i="161"/>
  <c r="E17" i="161" s="1"/>
  <c r="AE17" i="161"/>
  <c r="EY17" i="161" s="1"/>
  <c r="AA17" i="161"/>
  <c r="Y17" i="161"/>
  <c r="FM17" i="161" s="1"/>
  <c r="W17" i="161"/>
  <c r="DF17" i="161" s="1"/>
  <c r="U17" i="161"/>
  <c r="S17" i="161"/>
  <c r="Q17" i="161"/>
  <c r="O17" i="161"/>
  <c r="M17" i="161"/>
  <c r="K17" i="161"/>
  <c r="GB16" i="161"/>
  <c r="GA16" i="161"/>
  <c r="FZ16" i="161"/>
  <c r="FY16" i="161"/>
  <c r="FX16" i="161"/>
  <c r="FW16" i="161"/>
  <c r="FV16" i="161"/>
  <c r="FS16" i="161"/>
  <c r="FQ16" i="161"/>
  <c r="FO16" i="161"/>
  <c r="FR16" i="161" s="1"/>
  <c r="FF16" i="161"/>
  <c r="DQ16" i="161"/>
  <c r="DP16" i="161"/>
  <c r="DO16" i="161"/>
  <c r="DD16" i="161"/>
  <c r="CK16" i="161"/>
  <c r="CN16" i="161" s="1"/>
  <c r="FU16" i="161" s="1"/>
  <c r="BM16" i="161"/>
  <c r="BK16" i="161"/>
  <c r="BI16" i="161"/>
  <c r="AK16" i="161"/>
  <c r="AI16" i="161"/>
  <c r="G16" i="161" s="1"/>
  <c r="AG16" i="161"/>
  <c r="E16" i="161" s="1"/>
  <c r="AE16" i="161"/>
  <c r="AC16" i="161" s="1"/>
  <c r="EX16" i="161" s="1"/>
  <c r="AA16" i="161"/>
  <c r="Y16" i="161"/>
  <c r="FM16" i="161" s="1"/>
  <c r="W16" i="161"/>
  <c r="FK16" i="161" s="1"/>
  <c r="U16" i="161"/>
  <c r="S16" i="161"/>
  <c r="Q16" i="161"/>
  <c r="O16" i="161"/>
  <c r="M16" i="161"/>
  <c r="K16" i="161"/>
  <c r="I16" i="161"/>
  <c r="GB15" i="161"/>
  <c r="GA15" i="161"/>
  <c r="FZ15" i="161"/>
  <c r="FY15" i="161"/>
  <c r="FX15" i="161"/>
  <c r="FW15" i="161"/>
  <c r="FV15" i="161"/>
  <c r="FS15" i="161"/>
  <c r="FQ15" i="161"/>
  <c r="FO15" i="161"/>
  <c r="FR15" i="161" s="1"/>
  <c r="FF15" i="161"/>
  <c r="DQ15" i="161"/>
  <c r="DP15" i="161"/>
  <c r="DO15" i="161"/>
  <c r="DD15" i="161"/>
  <c r="CK15" i="161"/>
  <c r="BM15" i="161"/>
  <c r="BK15" i="161"/>
  <c r="BI15" i="161"/>
  <c r="AK15" i="161"/>
  <c r="I15" i="161" s="1"/>
  <c r="AI15" i="161"/>
  <c r="G15" i="161" s="1"/>
  <c r="AG15" i="161"/>
  <c r="E15" i="161" s="1"/>
  <c r="AE15" i="161"/>
  <c r="EY15" i="161" s="1"/>
  <c r="AC15" i="161"/>
  <c r="EX15" i="161" s="1"/>
  <c r="AA15" i="161"/>
  <c r="Y15" i="161"/>
  <c r="FM15" i="161" s="1"/>
  <c r="W15" i="161"/>
  <c r="U15" i="161"/>
  <c r="S15" i="161"/>
  <c r="Q15" i="161"/>
  <c r="O15" i="161"/>
  <c r="M15" i="161"/>
  <c r="K15" i="161"/>
  <c r="GB14" i="161"/>
  <c r="GA14" i="161"/>
  <c r="FZ14" i="161"/>
  <c r="FY14" i="161"/>
  <c r="FX14" i="161"/>
  <c r="FW14" i="161"/>
  <c r="FV14" i="161"/>
  <c r="FS14" i="161"/>
  <c r="FR14" i="161"/>
  <c r="FQ14" i="161"/>
  <c r="FO14" i="161"/>
  <c r="FF14" i="161"/>
  <c r="DQ14" i="161"/>
  <c r="DP14" i="161"/>
  <c r="DO14" i="161"/>
  <c r="DD14" i="161"/>
  <c r="CK14" i="161"/>
  <c r="FT14" i="161" s="1"/>
  <c r="BM14" i="161"/>
  <c r="BK14" i="161"/>
  <c r="BI14" i="161"/>
  <c r="AK14" i="161"/>
  <c r="AI14" i="161"/>
  <c r="AG14" i="161"/>
  <c r="E14" i="161" s="1"/>
  <c r="AE14" i="161"/>
  <c r="EY14" i="161" s="1"/>
  <c r="AC14" i="161"/>
  <c r="EX14" i="161" s="1"/>
  <c r="AA14" i="161"/>
  <c r="Y14" i="161"/>
  <c r="FM14" i="161" s="1"/>
  <c r="FN14" i="161" s="1"/>
  <c r="W14" i="161"/>
  <c r="FK14" i="161" s="1"/>
  <c r="U14" i="161"/>
  <c r="S14" i="161"/>
  <c r="Q14" i="161"/>
  <c r="O14" i="161"/>
  <c r="M14" i="161"/>
  <c r="K14" i="161"/>
  <c r="I14" i="161"/>
  <c r="GB13" i="161"/>
  <c r="GA13" i="161"/>
  <c r="FZ13" i="161"/>
  <c r="FY13" i="161"/>
  <c r="FX13" i="161"/>
  <c r="FW13" i="161"/>
  <c r="FV13" i="161"/>
  <c r="FT13" i="161"/>
  <c r="FS13" i="161"/>
  <c r="FQ13" i="161"/>
  <c r="FO13" i="161"/>
  <c r="FR13" i="161" s="1"/>
  <c r="FF13" i="161"/>
  <c r="DQ13" i="161"/>
  <c r="DP13" i="161"/>
  <c r="DO13" i="161"/>
  <c r="DD13" i="161"/>
  <c r="CN13" i="161"/>
  <c r="FU13" i="161" s="1"/>
  <c r="CK13" i="161"/>
  <c r="BM13" i="161"/>
  <c r="BK13" i="161"/>
  <c r="BI13" i="161"/>
  <c r="AK13" i="161"/>
  <c r="AI13" i="161"/>
  <c r="AG13" i="161"/>
  <c r="E13" i="161" s="1"/>
  <c r="AE13" i="161"/>
  <c r="AC13" i="161" s="1"/>
  <c r="EX13" i="161" s="1"/>
  <c r="AA13" i="161"/>
  <c r="Y13" i="161"/>
  <c r="FM13" i="161" s="1"/>
  <c r="W13" i="161"/>
  <c r="FK13" i="161" s="1"/>
  <c r="U13" i="161"/>
  <c r="S13" i="161"/>
  <c r="Q13" i="161"/>
  <c r="O13" i="161"/>
  <c r="M13" i="161"/>
  <c r="K13" i="161"/>
  <c r="I13" i="161"/>
  <c r="G13" i="161"/>
  <c r="FI13" i="161" s="1"/>
  <c r="GB12" i="161"/>
  <c r="GA12" i="161"/>
  <c r="FZ12" i="161"/>
  <c r="FY12" i="161"/>
  <c r="FX12" i="161"/>
  <c r="FW12" i="161"/>
  <c r="FV12" i="161"/>
  <c r="FS12" i="161"/>
  <c r="FQ12" i="161"/>
  <c r="FO12" i="161"/>
  <c r="FR12" i="161" s="1"/>
  <c r="FF12" i="161"/>
  <c r="DQ12" i="161"/>
  <c r="DP12" i="161"/>
  <c r="DO12" i="161"/>
  <c r="DD12" i="161"/>
  <c r="CK12" i="161"/>
  <c r="FT12" i="161" s="1"/>
  <c r="BM12" i="161"/>
  <c r="BK12" i="161"/>
  <c r="BI12" i="161"/>
  <c r="AK12" i="161"/>
  <c r="I12" i="161" s="1"/>
  <c r="AI12" i="161"/>
  <c r="AG12" i="161"/>
  <c r="AE12" i="161"/>
  <c r="EY12" i="161" s="1"/>
  <c r="AA12" i="161"/>
  <c r="Y12" i="161"/>
  <c r="FM12" i="161" s="1"/>
  <c r="W12" i="161"/>
  <c r="FK12" i="161" s="1"/>
  <c r="FN12" i="161" s="1"/>
  <c r="U12" i="161"/>
  <c r="S12" i="161"/>
  <c r="Q12" i="161"/>
  <c r="O12" i="161"/>
  <c r="M12" i="161"/>
  <c r="K12" i="161"/>
  <c r="G12" i="161"/>
  <c r="FI12" i="161" s="1"/>
  <c r="E12" i="161"/>
  <c r="FG12" i="161" s="1"/>
  <c r="FJ12" i="161" s="1"/>
  <c r="GB11" i="161"/>
  <c r="GA11" i="161"/>
  <c r="FZ11" i="161"/>
  <c r="FY11" i="161"/>
  <c r="FX11" i="161"/>
  <c r="FW11" i="161"/>
  <c r="FV11" i="161"/>
  <c r="FS11" i="161"/>
  <c r="FR11" i="161"/>
  <c r="FQ11" i="161"/>
  <c r="FO11" i="161"/>
  <c r="FM11" i="161"/>
  <c r="FF11" i="161"/>
  <c r="DQ11" i="161"/>
  <c r="DP11" i="161"/>
  <c r="DO11" i="161"/>
  <c r="DD11" i="161"/>
  <c r="CK11" i="161"/>
  <c r="FT11" i="161" s="1"/>
  <c r="BM11" i="161"/>
  <c r="BK11" i="161"/>
  <c r="BI11" i="161"/>
  <c r="AK11" i="161"/>
  <c r="I11" i="161" s="1"/>
  <c r="AI11" i="161"/>
  <c r="G11" i="161" s="1"/>
  <c r="AG11" i="161"/>
  <c r="E11" i="161" s="1"/>
  <c r="AE11" i="161"/>
  <c r="EY11" i="161" s="1"/>
  <c r="AA11" i="161"/>
  <c r="Y11" i="161"/>
  <c r="W11" i="161"/>
  <c r="FK11" i="161" s="1"/>
  <c r="FN11" i="161" s="1"/>
  <c r="U11" i="161"/>
  <c r="S11" i="161"/>
  <c r="Q11" i="161"/>
  <c r="O11" i="161"/>
  <c r="M11" i="161"/>
  <c r="K11" i="161"/>
  <c r="GB10" i="161"/>
  <c r="GA10" i="161"/>
  <c r="FZ10" i="161"/>
  <c r="FY10" i="161"/>
  <c r="FX10" i="161"/>
  <c r="FW10" i="161"/>
  <c r="FV10" i="161"/>
  <c r="FS10" i="161"/>
  <c r="FQ10" i="161"/>
  <c r="FR10" i="161" s="1"/>
  <c r="FO10" i="161"/>
  <c r="FK10" i="161"/>
  <c r="FF10" i="161"/>
  <c r="DQ10" i="161"/>
  <c r="DP10" i="161"/>
  <c r="DO10" i="161"/>
  <c r="DD10" i="161"/>
  <c r="CK10" i="161"/>
  <c r="FT10" i="161" s="1"/>
  <c r="BM10" i="161"/>
  <c r="BK10" i="161"/>
  <c r="BI10" i="161"/>
  <c r="AK10" i="161"/>
  <c r="AI10" i="161"/>
  <c r="G10" i="161" s="1"/>
  <c r="AG10" i="161"/>
  <c r="E10" i="161" s="1"/>
  <c r="AE10" i="161"/>
  <c r="EY10" i="161" s="1"/>
  <c r="AC10" i="161"/>
  <c r="EX10" i="161" s="1"/>
  <c r="AA10" i="161"/>
  <c r="Y10" i="161"/>
  <c r="FM10" i="161" s="1"/>
  <c r="W10" i="161"/>
  <c r="DF10" i="161" s="1"/>
  <c r="U10" i="161"/>
  <c r="S10" i="161"/>
  <c r="Q10" i="161"/>
  <c r="O10" i="161"/>
  <c r="M10" i="161"/>
  <c r="K10" i="161"/>
  <c r="I10" i="161"/>
  <c r="GB9" i="161"/>
  <c r="GA9" i="161"/>
  <c r="FZ9" i="161"/>
  <c r="FY9" i="161"/>
  <c r="FX9" i="161"/>
  <c r="FW9" i="161"/>
  <c r="FV9" i="161"/>
  <c r="FS9" i="161"/>
  <c r="FQ9" i="161"/>
  <c r="FO9" i="161"/>
  <c r="FR9" i="161" s="1"/>
  <c r="FF9" i="161"/>
  <c r="DQ9" i="161"/>
  <c r="DP9" i="161"/>
  <c r="DO9" i="161"/>
  <c r="DD9" i="161"/>
  <c r="CK9" i="161"/>
  <c r="FT9" i="161" s="1"/>
  <c r="BM9" i="161"/>
  <c r="BK9" i="161"/>
  <c r="BI9" i="161"/>
  <c r="AK9" i="161"/>
  <c r="AI9" i="161"/>
  <c r="G9" i="161" s="1"/>
  <c r="AG9" i="161"/>
  <c r="E9" i="161" s="1"/>
  <c r="AE9" i="161"/>
  <c r="AC9" i="161" s="1"/>
  <c r="EX9" i="161" s="1"/>
  <c r="AA9" i="161"/>
  <c r="Y9" i="161"/>
  <c r="FM9" i="161" s="1"/>
  <c r="W9" i="161"/>
  <c r="FK9" i="161" s="1"/>
  <c r="U9" i="161"/>
  <c r="S9" i="161"/>
  <c r="Q9" i="161"/>
  <c r="O9" i="161"/>
  <c r="M9" i="161"/>
  <c r="K9" i="161"/>
  <c r="I9" i="161"/>
  <c r="GB8" i="161"/>
  <c r="GA8" i="161"/>
  <c r="FZ8" i="161"/>
  <c r="FY8" i="161"/>
  <c r="FX8" i="161"/>
  <c r="FW8" i="161"/>
  <c r="FV8" i="161"/>
  <c r="FS8" i="161"/>
  <c r="FQ8" i="161"/>
  <c r="FO8" i="161"/>
  <c r="FR8" i="161" s="1"/>
  <c r="FF8" i="161"/>
  <c r="DQ8" i="161"/>
  <c r="DP8" i="161"/>
  <c r="DO8" i="161"/>
  <c r="DD8" i="161"/>
  <c r="CK8" i="161"/>
  <c r="FT8" i="161" s="1"/>
  <c r="BM8" i="161"/>
  <c r="BK8" i="161"/>
  <c r="BI8" i="161"/>
  <c r="AK8" i="161"/>
  <c r="I8" i="161" s="1"/>
  <c r="AI8" i="161"/>
  <c r="AG8" i="161"/>
  <c r="AG22" i="161" s="1"/>
  <c r="AE8" i="161"/>
  <c r="EY8" i="161" s="1"/>
  <c r="AA8" i="161"/>
  <c r="Y8" i="161"/>
  <c r="FM8" i="161" s="1"/>
  <c r="W8" i="161"/>
  <c r="U8" i="161"/>
  <c r="S8" i="161"/>
  <c r="Q8" i="161"/>
  <c r="Q22" i="161" s="1"/>
  <c r="O8" i="161"/>
  <c r="M8" i="161"/>
  <c r="K8" i="161"/>
  <c r="GB7" i="161"/>
  <c r="GA7" i="161"/>
  <c r="FZ7" i="161"/>
  <c r="FY7" i="161"/>
  <c r="FX7" i="161"/>
  <c r="FW7" i="161"/>
  <c r="FV7" i="161"/>
  <c r="FS7" i="161"/>
  <c r="FR7" i="161"/>
  <c r="FQ7" i="161"/>
  <c r="FO7" i="161"/>
  <c r="FM7" i="161"/>
  <c r="FG7" i="161"/>
  <c r="FF7" i="161"/>
  <c r="DQ7" i="161"/>
  <c r="DP7" i="161"/>
  <c r="DO7" i="161"/>
  <c r="DD7" i="161"/>
  <c r="CK7" i="161"/>
  <c r="BM7" i="161"/>
  <c r="BK7" i="161"/>
  <c r="BI7" i="161"/>
  <c r="AK7" i="161"/>
  <c r="AI7" i="161"/>
  <c r="G7" i="161" s="1"/>
  <c r="DE7" i="161" s="1"/>
  <c r="AG7" i="161"/>
  <c r="AE7" i="161"/>
  <c r="EY7" i="161" s="1"/>
  <c r="AC7" i="161"/>
  <c r="EX7" i="161" s="1"/>
  <c r="AA7" i="161"/>
  <c r="Y7" i="161"/>
  <c r="W7" i="161"/>
  <c r="FK7" i="161" s="1"/>
  <c r="U7" i="161"/>
  <c r="S7" i="161"/>
  <c r="Q7" i="161"/>
  <c r="O7" i="161"/>
  <c r="M7" i="161"/>
  <c r="K7" i="161"/>
  <c r="E7" i="161"/>
  <c r="GB6" i="161"/>
  <c r="GA6" i="161"/>
  <c r="FZ6" i="161"/>
  <c r="FY6" i="161"/>
  <c r="FX6" i="161"/>
  <c r="FW6" i="161"/>
  <c r="FV6" i="161"/>
  <c r="FS6" i="161"/>
  <c r="FR6" i="161"/>
  <c r="FQ6" i="161"/>
  <c r="FO6" i="161"/>
  <c r="FM6" i="161"/>
  <c r="FK6" i="161"/>
  <c r="FN6" i="161" s="1"/>
  <c r="FF6" i="161"/>
  <c r="DQ6" i="161"/>
  <c r="DP6" i="161"/>
  <c r="DO6" i="161"/>
  <c r="DD6" i="161"/>
  <c r="CK6" i="161"/>
  <c r="FT6" i="161" s="1"/>
  <c r="BM6" i="161"/>
  <c r="BK6" i="161"/>
  <c r="BI6" i="161"/>
  <c r="AK6" i="161"/>
  <c r="I6" i="161" s="1"/>
  <c r="AI6" i="161"/>
  <c r="AG6" i="161"/>
  <c r="AE6" i="161"/>
  <c r="EY6" i="161" s="1"/>
  <c r="AC6" i="161"/>
  <c r="EX6" i="161" s="1"/>
  <c r="EF6" i="161" s="1"/>
  <c r="AA6" i="161"/>
  <c r="Y6" i="161"/>
  <c r="W6" i="161"/>
  <c r="DF6" i="161" s="1"/>
  <c r="U6" i="161"/>
  <c r="S6" i="161"/>
  <c r="Q6" i="161"/>
  <c r="O6" i="161"/>
  <c r="M6" i="161"/>
  <c r="K6" i="161"/>
  <c r="G6" i="161"/>
  <c r="E6" i="161"/>
  <c r="DG6" i="161" s="1"/>
  <c r="GB5" i="161"/>
  <c r="GA5" i="161"/>
  <c r="FZ5" i="161"/>
  <c r="FY5" i="161"/>
  <c r="FX5" i="161"/>
  <c r="FW5" i="161"/>
  <c r="FV5" i="161"/>
  <c r="FS5" i="161"/>
  <c r="FR5" i="161"/>
  <c r="FQ5" i="161"/>
  <c r="FO5" i="161"/>
  <c r="FM5" i="161"/>
  <c r="FG5" i="161"/>
  <c r="FF5" i="161"/>
  <c r="DQ5" i="161"/>
  <c r="DP5" i="161"/>
  <c r="DO5" i="161"/>
  <c r="DD5" i="161"/>
  <c r="CK5" i="161"/>
  <c r="FT5" i="161" s="1"/>
  <c r="BM5" i="161"/>
  <c r="BK5" i="161"/>
  <c r="BI5" i="161"/>
  <c r="AK5" i="161"/>
  <c r="I5" i="161" s="1"/>
  <c r="AI5" i="161"/>
  <c r="G5" i="161" s="1"/>
  <c r="AG5" i="161"/>
  <c r="AE5" i="161"/>
  <c r="EY5" i="161" s="1"/>
  <c r="AC5" i="161"/>
  <c r="EX5" i="161" s="1"/>
  <c r="AA5" i="161"/>
  <c r="Y5" i="161"/>
  <c r="W5" i="161"/>
  <c r="FK5" i="161" s="1"/>
  <c r="FN5" i="161" s="1"/>
  <c r="U5" i="161"/>
  <c r="S5" i="161"/>
  <c r="Q5" i="161"/>
  <c r="O5" i="161"/>
  <c r="M5" i="161"/>
  <c r="K5" i="161"/>
  <c r="E5" i="161"/>
  <c r="DG5" i="161" s="1"/>
  <c r="GB4" i="161"/>
  <c r="GA4" i="161"/>
  <c r="FZ4" i="161"/>
  <c r="FY4" i="161"/>
  <c r="FX4" i="161"/>
  <c r="FW4" i="161"/>
  <c r="FV4" i="161"/>
  <c r="FS4" i="161"/>
  <c r="FQ4" i="161"/>
  <c r="FO4" i="161"/>
  <c r="FK4" i="161"/>
  <c r="FF4" i="161"/>
  <c r="DQ4" i="161"/>
  <c r="DP4" i="161"/>
  <c r="DO4" i="161"/>
  <c r="DD4" i="161"/>
  <c r="CK4" i="161"/>
  <c r="BM4" i="161"/>
  <c r="BK4" i="161"/>
  <c r="BI4" i="161"/>
  <c r="AK4" i="161"/>
  <c r="AI4" i="161"/>
  <c r="AG4" i="161"/>
  <c r="AE4" i="161"/>
  <c r="AC4" i="161"/>
  <c r="AA4" i="161"/>
  <c r="Y4" i="161"/>
  <c r="W4" i="161"/>
  <c r="U4" i="161"/>
  <c r="S4" i="161"/>
  <c r="Q4" i="161"/>
  <c r="O4" i="161"/>
  <c r="M4" i="161"/>
  <c r="K4" i="161"/>
  <c r="I4" i="161"/>
  <c r="EI9" i="165" l="1"/>
  <c r="EP12" i="165"/>
  <c r="EQ12" i="165" s="1"/>
  <c r="EI20" i="165"/>
  <c r="EO7" i="165"/>
  <c r="EQ7" i="165" s="1"/>
  <c r="ED20" i="165"/>
  <c r="DU20" i="165" s="1"/>
  <c r="EG20" i="165" s="1"/>
  <c r="EO6" i="165"/>
  <c r="EQ6" i="165" s="1"/>
  <c r="EP10" i="165"/>
  <c r="EQ10" i="165" s="1"/>
  <c r="EP5" i="165"/>
  <c r="EO5" i="165"/>
  <c r="EP15" i="165"/>
  <c r="EQ15" i="165" s="1"/>
  <c r="ED19" i="165"/>
  <c r="EP13" i="165"/>
  <c r="EQ13" i="165" s="1"/>
  <c r="EI19" i="165"/>
  <c r="EH19" i="165" s="1"/>
  <c r="DV19" i="165"/>
  <c r="EP8" i="165"/>
  <c r="EQ8" i="165" s="1"/>
  <c r="EK8" i="165"/>
  <c r="EP4" i="165"/>
  <c r="EQ4" i="165" s="1"/>
  <c r="EK10" i="165"/>
  <c r="EH20" i="165"/>
  <c r="EO9" i="165"/>
  <c r="EQ9" i="165" s="1"/>
  <c r="EO11" i="165"/>
  <c r="EQ11" i="165" s="1"/>
  <c r="EP17" i="165"/>
  <c r="EQ17" i="165" s="1"/>
  <c r="EP16" i="165"/>
  <c r="EQ16" i="165" s="1"/>
  <c r="EK18" i="165"/>
  <c r="EP14" i="165"/>
  <c r="EQ14" i="165" s="1"/>
  <c r="DX4" i="165"/>
  <c r="DU4" i="165" s="1"/>
  <c r="EJ4" i="165"/>
  <c r="DX6" i="165"/>
  <c r="DU6" i="165" s="1"/>
  <c r="EJ6" i="165"/>
  <c r="DX17" i="165"/>
  <c r="EJ17" i="165"/>
  <c r="DX16" i="165"/>
  <c r="DU16" i="165" s="1"/>
  <c r="EJ16" i="165"/>
  <c r="EK4" i="165"/>
  <c r="DX5" i="165"/>
  <c r="EJ5" i="165"/>
  <c r="DX9" i="165"/>
  <c r="EJ9" i="165"/>
  <c r="DX12" i="165"/>
  <c r="DU12" i="165" s="1"/>
  <c r="EJ12" i="165"/>
  <c r="DX15" i="165"/>
  <c r="DU15" i="165" s="1"/>
  <c r="EJ15" i="165"/>
  <c r="ED11" i="165"/>
  <c r="EK11" i="165"/>
  <c r="EK13" i="165"/>
  <c r="ED13" i="165"/>
  <c r="EQ18" i="165"/>
  <c r="DX7" i="165"/>
  <c r="EJ7" i="165"/>
  <c r="DX8" i="165"/>
  <c r="DU8" i="165" s="1"/>
  <c r="EJ8" i="165"/>
  <c r="DX11" i="165"/>
  <c r="EJ11" i="165"/>
  <c r="DX14" i="165"/>
  <c r="EJ14" i="165"/>
  <c r="EK9" i="165"/>
  <c r="ED9" i="165"/>
  <c r="EK16" i="165"/>
  <c r="EK6" i="165"/>
  <c r="EK12" i="165"/>
  <c r="EK15" i="165"/>
  <c r="ED7" i="165"/>
  <c r="EK7" i="165"/>
  <c r="DX10" i="165"/>
  <c r="DU10" i="165" s="1"/>
  <c r="EJ10" i="165"/>
  <c r="DX13" i="165"/>
  <c r="EJ13" i="165"/>
  <c r="DX18" i="165"/>
  <c r="DU18" i="165" s="1"/>
  <c r="EJ18" i="165"/>
  <c r="EK5" i="165"/>
  <c r="ED5" i="165"/>
  <c r="ED17" i="165"/>
  <c r="EK17" i="165"/>
  <c r="ED14" i="165"/>
  <c r="EK14" i="165"/>
  <c r="EY49" i="164"/>
  <c r="EY41" i="164"/>
  <c r="EY51" i="164"/>
  <c r="EY48" i="164"/>
  <c r="EY40" i="164"/>
  <c r="EY50" i="164"/>
  <c r="EY47" i="164"/>
  <c r="EY53" i="164"/>
  <c r="EY43" i="164"/>
  <c r="AC49" i="164"/>
  <c r="AC43" i="164"/>
  <c r="AC48" i="164"/>
  <c r="AC41" i="164"/>
  <c r="AC53" i="164"/>
  <c r="AC47" i="164"/>
  <c r="AC40" i="164"/>
  <c r="AC51" i="164"/>
  <c r="AC50" i="164"/>
  <c r="EX22" i="164"/>
  <c r="EF6" i="164"/>
  <c r="DT6" i="164"/>
  <c r="CV6" i="164"/>
  <c r="DY6" i="164"/>
  <c r="CN51" i="164"/>
  <c r="EB15" i="164" s="1"/>
  <c r="EE15" i="164" s="1"/>
  <c r="CN41" i="164"/>
  <c r="EB5" i="164" s="1"/>
  <c r="CN50" i="164"/>
  <c r="EB14" i="164" s="1"/>
  <c r="EE14" i="164" s="1"/>
  <c r="CN48" i="164"/>
  <c r="EB12" i="164" s="1"/>
  <c r="EE12" i="164" s="1"/>
  <c r="CN53" i="164"/>
  <c r="EB17" i="164" s="1"/>
  <c r="EE17" i="164" s="1"/>
  <c r="CN47" i="164"/>
  <c r="EB11" i="164" s="1"/>
  <c r="EE11" i="164" s="1"/>
  <c r="FU22" i="164"/>
  <c r="CN49" i="164"/>
  <c r="EB13" i="164" s="1"/>
  <c r="EE13" i="164" s="1"/>
  <c r="CN43" i="164"/>
  <c r="EB7" i="164" s="1"/>
  <c r="EE7" i="164" s="1"/>
  <c r="CN40" i="164"/>
  <c r="EB4" i="164" s="1"/>
  <c r="EE4" i="164" s="1"/>
  <c r="EY54" i="164"/>
  <c r="EY45" i="164"/>
  <c r="EY46" i="164"/>
  <c r="EY52" i="164"/>
  <c r="EY44" i="164"/>
  <c r="EY42" i="164"/>
  <c r="G46" i="164"/>
  <c r="G52" i="164"/>
  <c r="G42" i="164"/>
  <c r="G45" i="164"/>
  <c r="G54" i="164"/>
  <c r="G44" i="164"/>
  <c r="E45" i="164"/>
  <c r="E42" i="164"/>
  <c r="E52" i="164"/>
  <c r="E44" i="164"/>
  <c r="EN8" i="164" s="1"/>
  <c r="E54" i="164"/>
  <c r="E46" i="164"/>
  <c r="EM17" i="164"/>
  <c r="EM10" i="164"/>
  <c r="CN44" i="164"/>
  <c r="EB8" i="164" s="1"/>
  <c r="EE8" i="164" s="1"/>
  <c r="CN54" i="164"/>
  <c r="EB18" i="164" s="1"/>
  <c r="EE18" i="164" s="1"/>
  <c r="CN52" i="164"/>
  <c r="EB16" i="164" s="1"/>
  <c r="EE16" i="164" s="1"/>
  <c r="CN45" i="164"/>
  <c r="EB9" i="164" s="1"/>
  <c r="EE9" i="164" s="1"/>
  <c r="CN42" i="164"/>
  <c r="EB6" i="164" s="1"/>
  <c r="EE6" i="164" s="1"/>
  <c r="CN46" i="164"/>
  <c r="EB10" i="164" s="1"/>
  <c r="AC54" i="164"/>
  <c r="AC46" i="164"/>
  <c r="AC45" i="164"/>
  <c r="AC42" i="164"/>
  <c r="AC52" i="164"/>
  <c r="AC44" i="164"/>
  <c r="EM11" i="164"/>
  <c r="EY52" i="163"/>
  <c r="GL18" i="163" s="1"/>
  <c r="EY41" i="163"/>
  <c r="GL12" i="163" s="1"/>
  <c r="EY49" i="163"/>
  <c r="GL15" i="163" s="1"/>
  <c r="EY51" i="163"/>
  <c r="GL16" i="163" s="1"/>
  <c r="EY48" i="163"/>
  <c r="EY40" i="163"/>
  <c r="EY43" i="163"/>
  <c r="GL13" i="163" s="1"/>
  <c r="EY53" i="163"/>
  <c r="EY47" i="163"/>
  <c r="GL14" i="163" s="1"/>
  <c r="CN52" i="163"/>
  <c r="EB16" i="163" s="1"/>
  <c r="EE16" i="163" s="1"/>
  <c r="CN43" i="163"/>
  <c r="EB7" i="163" s="1"/>
  <c r="EE7" i="163" s="1"/>
  <c r="CN51" i="163"/>
  <c r="EB15" i="163" s="1"/>
  <c r="EE15" i="163" s="1"/>
  <c r="CN41" i="163"/>
  <c r="EB5" i="163" s="1"/>
  <c r="CN53" i="163"/>
  <c r="EB17" i="163" s="1"/>
  <c r="EE17" i="163" s="1"/>
  <c r="CN48" i="163"/>
  <c r="EB12" i="163" s="1"/>
  <c r="CN40" i="163"/>
  <c r="EB4" i="163" s="1"/>
  <c r="EE4" i="163" s="1"/>
  <c r="CN49" i="163"/>
  <c r="EB13" i="163" s="1"/>
  <c r="CN47" i="163"/>
  <c r="EB11" i="163" s="1"/>
  <c r="EE11" i="163" s="1"/>
  <c r="FU22" i="163"/>
  <c r="G53" i="163"/>
  <c r="G43" i="163"/>
  <c r="FA22" i="163"/>
  <c r="DA22" i="163" s="1"/>
  <c r="GG22" i="163" s="1"/>
  <c r="G49" i="163"/>
  <c r="G41" i="163"/>
  <c r="G52" i="163"/>
  <c r="G48" i="163"/>
  <c r="G40" i="163"/>
  <c r="G51" i="163"/>
  <c r="G47" i="163"/>
  <c r="FI22" i="163"/>
  <c r="E51" i="163"/>
  <c r="EN15" i="163" s="1"/>
  <c r="E47" i="163"/>
  <c r="EN11" i="163" s="1"/>
  <c r="EZ22" i="163"/>
  <c r="E43" i="163"/>
  <c r="EN7" i="163" s="1"/>
  <c r="FG22" i="163"/>
  <c r="FJ22" i="163" s="1"/>
  <c r="E53" i="163"/>
  <c r="E49" i="163"/>
  <c r="E41" i="163"/>
  <c r="DG22" i="163"/>
  <c r="CX22" i="163" s="1"/>
  <c r="GD22" i="163" s="1"/>
  <c r="E52" i="163"/>
  <c r="EN16" i="163" s="1"/>
  <c r="E48" i="163"/>
  <c r="EN12" i="163" s="1"/>
  <c r="E40" i="163"/>
  <c r="CV51" i="163"/>
  <c r="CV41" i="163"/>
  <c r="CV47" i="163"/>
  <c r="ET11" i="163" s="1"/>
  <c r="GC22" i="163"/>
  <c r="CV53" i="163"/>
  <c r="CV48" i="163"/>
  <c r="ET12" i="163" s="1"/>
  <c r="CV40" i="163"/>
  <c r="CV52" i="163"/>
  <c r="ET16" i="163" s="1"/>
  <c r="CV43" i="163"/>
  <c r="ET7" i="163" s="1"/>
  <c r="CV49" i="163"/>
  <c r="ET13" i="163" s="1"/>
  <c r="EZ54" i="163"/>
  <c r="EZ46" i="163"/>
  <c r="EZ42" i="163"/>
  <c r="EZ44" i="163"/>
  <c r="EZ50" i="163"/>
  <c r="EZ45" i="163"/>
  <c r="EM15" i="163"/>
  <c r="CN54" i="163"/>
  <c r="EB18" i="163" s="1"/>
  <c r="CN46" i="163"/>
  <c r="EB10" i="163" s="1"/>
  <c r="CN42" i="163"/>
  <c r="EB6" i="163" s="1"/>
  <c r="EE6" i="163" s="1"/>
  <c r="CN50" i="163"/>
  <c r="EB14" i="163" s="1"/>
  <c r="EE14" i="163" s="1"/>
  <c r="CN45" i="163"/>
  <c r="EB9" i="163" s="1"/>
  <c r="CN44" i="163"/>
  <c r="EB8" i="163" s="1"/>
  <c r="EE8" i="163" s="1"/>
  <c r="EX54" i="163"/>
  <c r="EX44" i="163"/>
  <c r="EX46" i="163"/>
  <c r="EX42" i="163"/>
  <c r="EX50" i="163"/>
  <c r="EX45" i="163"/>
  <c r="EY46" i="163"/>
  <c r="EY42" i="163"/>
  <c r="EY54" i="163"/>
  <c r="EY45" i="163"/>
  <c r="EY50" i="163"/>
  <c r="EY44" i="163"/>
  <c r="G50" i="163"/>
  <c r="EN14" i="163" s="1"/>
  <c r="G42" i="163"/>
  <c r="EN6" i="163" s="1"/>
  <c r="G45" i="163"/>
  <c r="EN9" i="163" s="1"/>
  <c r="G46" i="163"/>
  <c r="EN10" i="163" s="1"/>
  <c r="G54" i="163"/>
  <c r="EN18" i="163" s="1"/>
  <c r="EL18" i="163" s="1"/>
  <c r="EO18" i="163" s="1"/>
  <c r="G44" i="163"/>
  <c r="EN8" i="163" s="1"/>
  <c r="CV44" i="163"/>
  <c r="CV42" i="163"/>
  <c r="ET6" i="163" s="1"/>
  <c r="CV54" i="163"/>
  <c r="ET18" i="163" s="1"/>
  <c r="CV46" i="163"/>
  <c r="CV50" i="163"/>
  <c r="CV45" i="163"/>
  <c r="ET9" i="163" s="1"/>
  <c r="AC45" i="163"/>
  <c r="AC42" i="163"/>
  <c r="AC44" i="163"/>
  <c r="AC54" i="163"/>
  <c r="AC50" i="163"/>
  <c r="AC46" i="163"/>
  <c r="I50" i="163"/>
  <c r="I44" i="163"/>
  <c r="I42" i="163"/>
  <c r="I45" i="163"/>
  <c r="I46" i="163"/>
  <c r="I54" i="163"/>
  <c r="GM13" i="163"/>
  <c r="GN13" i="163" s="1"/>
  <c r="CY31" i="164"/>
  <c r="FI21" i="164"/>
  <c r="GC17" i="164"/>
  <c r="EM5" i="164"/>
  <c r="EL5" i="164" s="1"/>
  <c r="EE10" i="164"/>
  <c r="EY38" i="164"/>
  <c r="EY34" i="164"/>
  <c r="EY33" i="164"/>
  <c r="EY32" i="164"/>
  <c r="EY31" i="164"/>
  <c r="EY39" i="164"/>
  <c r="EY37" i="164"/>
  <c r="EY36" i="164"/>
  <c r="EY35" i="164"/>
  <c r="EY30" i="164"/>
  <c r="EY29" i="164"/>
  <c r="EY28" i="164"/>
  <c r="EY27" i="164"/>
  <c r="EY26" i="164"/>
  <c r="EY25" i="164"/>
  <c r="FA23" i="164"/>
  <c r="DA23" i="164" s="1"/>
  <c r="GG23" i="164" s="1"/>
  <c r="EM14" i="164"/>
  <c r="EL14" i="164" s="1"/>
  <c r="EE20" i="164"/>
  <c r="EM12" i="164"/>
  <c r="EL12" i="164" s="1"/>
  <c r="CZ31" i="164"/>
  <c r="FU21" i="164"/>
  <c r="EM7" i="164"/>
  <c r="EL7" i="164" s="1"/>
  <c r="EM6" i="164"/>
  <c r="FA21" i="164"/>
  <c r="DA21" i="164" s="1"/>
  <c r="GG21" i="164" s="1"/>
  <c r="E39" i="164"/>
  <c r="E38" i="164"/>
  <c r="E36" i="164"/>
  <c r="E35" i="164"/>
  <c r="E34" i="164"/>
  <c r="E33" i="164"/>
  <c r="E32" i="164"/>
  <c r="E37" i="164"/>
  <c r="DG23" i="164"/>
  <c r="CX23" i="164" s="1"/>
  <c r="GD23" i="164" s="1"/>
  <c r="E31" i="164"/>
  <c r="E30" i="164"/>
  <c r="E29" i="164"/>
  <c r="E28" i="164"/>
  <c r="E27" i="164"/>
  <c r="E26" i="164"/>
  <c r="E25" i="164"/>
  <c r="FG23" i="164"/>
  <c r="GM11" i="164"/>
  <c r="GN11" i="164" s="1"/>
  <c r="GO11" i="164" s="1"/>
  <c r="DI18" i="164"/>
  <c r="EM15" i="164"/>
  <c r="EL15" i="164" s="1"/>
  <c r="EX23" i="164"/>
  <c r="EZ23" i="164" s="1"/>
  <c r="EX21" i="164"/>
  <c r="DY4" i="164"/>
  <c r="EF4" i="164"/>
  <c r="EM8" i="164"/>
  <c r="EL8" i="164" s="1"/>
  <c r="DV20" i="164"/>
  <c r="EI20" i="164"/>
  <c r="EM18" i="164"/>
  <c r="EE19" i="164"/>
  <c r="EI19" i="164"/>
  <c r="DV19" i="164"/>
  <c r="EZ21" i="164"/>
  <c r="FG21" i="164"/>
  <c r="FJ21" i="164" s="1"/>
  <c r="DG21" i="164"/>
  <c r="CX21" i="164" s="1"/>
  <c r="GD21" i="164" s="1"/>
  <c r="EM9" i="164"/>
  <c r="CN37" i="164"/>
  <c r="CN36" i="164"/>
  <c r="CN31" i="164"/>
  <c r="CN35" i="164"/>
  <c r="CN39" i="164"/>
  <c r="CN38" i="164"/>
  <c r="CN34" i="164"/>
  <c r="CN33" i="164"/>
  <c r="CN30" i="164"/>
  <c r="CN29" i="164"/>
  <c r="CN28" i="164"/>
  <c r="CN27" i="164"/>
  <c r="CN26" i="164"/>
  <c r="CN25" i="164"/>
  <c r="FU23" i="164"/>
  <c r="CN32" i="164"/>
  <c r="AC39" i="164"/>
  <c r="AC36" i="164"/>
  <c r="AC38" i="164"/>
  <c r="AC35" i="164"/>
  <c r="AC34" i="164"/>
  <c r="AC33" i="164"/>
  <c r="AC32" i="164"/>
  <c r="AC37" i="164"/>
  <c r="AC31" i="164"/>
  <c r="AC30" i="164"/>
  <c r="AC29" i="164"/>
  <c r="AC28" i="164"/>
  <c r="AC27" i="164"/>
  <c r="AC26" i="164"/>
  <c r="AC25" i="164"/>
  <c r="EM4" i="164"/>
  <c r="EL4" i="164" s="1"/>
  <c r="EL17" i="164"/>
  <c r="EM13" i="164"/>
  <c r="EL13" i="164" s="1"/>
  <c r="EE5" i="164"/>
  <c r="G39" i="164"/>
  <c r="G35" i="164"/>
  <c r="G34" i="164"/>
  <c r="G33" i="164"/>
  <c r="G32" i="164"/>
  <c r="G37" i="164"/>
  <c r="G38" i="164"/>
  <c r="G36" i="164"/>
  <c r="G31" i="164"/>
  <c r="G30" i="164"/>
  <c r="G29" i="164"/>
  <c r="G28" i="164"/>
  <c r="G27" i="164"/>
  <c r="G26" i="164"/>
  <c r="G25" i="164"/>
  <c r="FI23" i="164"/>
  <c r="FN23" i="164"/>
  <c r="EM16" i="164"/>
  <c r="EL11" i="164"/>
  <c r="CV4" i="164"/>
  <c r="EI17" i="163"/>
  <c r="DV17" i="163"/>
  <c r="CV39" i="163"/>
  <c r="CV38" i="163"/>
  <c r="CV35" i="163"/>
  <c r="CV34" i="163"/>
  <c r="CV33" i="163"/>
  <c r="CV37" i="163"/>
  <c r="CV36" i="163"/>
  <c r="CV32" i="163"/>
  <c r="CV31" i="163"/>
  <c r="CV30" i="163"/>
  <c r="CV29" i="163"/>
  <c r="CV28" i="163"/>
  <c r="CV27" i="163"/>
  <c r="CV26" i="163"/>
  <c r="CV25" i="163"/>
  <c r="GC23" i="163"/>
  <c r="DV5" i="163"/>
  <c r="EI5" i="163"/>
  <c r="DL12" i="163"/>
  <c r="DL16" i="163"/>
  <c r="GM11" i="163"/>
  <c r="GN11" i="163" s="1"/>
  <c r="GO11" i="163" s="1"/>
  <c r="DI18" i="163"/>
  <c r="DL4" i="163"/>
  <c r="DL8" i="163"/>
  <c r="DW11" i="163"/>
  <c r="DL11" i="163"/>
  <c r="DL14" i="163"/>
  <c r="DL18" i="163"/>
  <c r="FN23" i="163"/>
  <c r="EM10" i="163"/>
  <c r="EL10" i="163" s="1"/>
  <c r="EM5" i="163"/>
  <c r="DW8" i="163"/>
  <c r="EM7" i="163"/>
  <c r="EL7" i="163" s="1"/>
  <c r="EY39" i="163"/>
  <c r="EY36" i="163"/>
  <c r="EY35" i="163"/>
  <c r="EY38" i="163"/>
  <c r="EY34" i="163"/>
  <c r="EY33" i="163"/>
  <c r="EY37" i="163"/>
  <c r="EY31" i="163"/>
  <c r="EY32" i="163"/>
  <c r="EY30" i="163"/>
  <c r="EY29" i="163"/>
  <c r="EY28" i="163"/>
  <c r="EY27" i="163"/>
  <c r="EY26" i="163"/>
  <c r="EY25" i="163"/>
  <c r="FA23" i="163"/>
  <c r="DA23" i="163" s="1"/>
  <c r="GG23" i="163" s="1"/>
  <c r="G39" i="163"/>
  <c r="G37" i="163"/>
  <c r="G36" i="163"/>
  <c r="G35" i="163"/>
  <c r="G34" i="163"/>
  <c r="GM8" i="163" s="1"/>
  <c r="G38" i="163"/>
  <c r="GM10" i="163" s="1"/>
  <c r="G32" i="163"/>
  <c r="GM7" i="163" s="1"/>
  <c r="G31" i="163"/>
  <c r="G30" i="163"/>
  <c r="GM6" i="163" s="1"/>
  <c r="G29" i="163"/>
  <c r="G28" i="163"/>
  <c r="G27" i="163"/>
  <c r="G26" i="163"/>
  <c r="GM4" i="163" s="1"/>
  <c r="G25" i="163"/>
  <c r="G33" i="163"/>
  <c r="FI23" i="163"/>
  <c r="EL15" i="163"/>
  <c r="EM12" i="163"/>
  <c r="DW12" i="163"/>
  <c r="DW4" i="163"/>
  <c r="DW14" i="163"/>
  <c r="AC39" i="163"/>
  <c r="AC38" i="163"/>
  <c r="AC37" i="163"/>
  <c r="AC36" i="163"/>
  <c r="AC35" i="163"/>
  <c r="AC34" i="163"/>
  <c r="AC33" i="163"/>
  <c r="AC32" i="163"/>
  <c r="AC31" i="163"/>
  <c r="AC30" i="163"/>
  <c r="AC29" i="163"/>
  <c r="AC28" i="163"/>
  <c r="AC27" i="163"/>
  <c r="AC26" i="163"/>
  <c r="AC25" i="163"/>
  <c r="DW18" i="163"/>
  <c r="DL6" i="163"/>
  <c r="DL5" i="163"/>
  <c r="DL9" i="163"/>
  <c r="FJ23" i="163"/>
  <c r="GM9" i="163"/>
  <c r="DL15" i="163"/>
  <c r="EM6" i="163"/>
  <c r="EL6" i="163" s="1"/>
  <c r="EM14" i="163"/>
  <c r="EE20" i="163"/>
  <c r="EE13" i="163"/>
  <c r="DW16" i="163"/>
  <c r="DW9" i="163"/>
  <c r="EL12" i="163"/>
  <c r="EM8" i="163"/>
  <c r="EL8" i="163" s="1"/>
  <c r="DW15" i="163"/>
  <c r="I39" i="163"/>
  <c r="I36" i="163"/>
  <c r="I35" i="163"/>
  <c r="I34" i="163"/>
  <c r="I38" i="163"/>
  <c r="I37" i="163"/>
  <c r="I31" i="163"/>
  <c r="I30" i="163"/>
  <c r="I29" i="163"/>
  <c r="I28" i="163"/>
  <c r="I27" i="163"/>
  <c r="I26" i="163"/>
  <c r="I25" i="163"/>
  <c r="I33" i="163"/>
  <c r="I32" i="163"/>
  <c r="GC13" i="163"/>
  <c r="EI13" i="163"/>
  <c r="DV13" i="163"/>
  <c r="EM4" i="163"/>
  <c r="EE18" i="163"/>
  <c r="EE5" i="163"/>
  <c r="EM11" i="163"/>
  <c r="EL11" i="163" s="1"/>
  <c r="EX38" i="163"/>
  <c r="EJ17" i="163" s="1"/>
  <c r="EX39" i="163"/>
  <c r="DZ18" i="163" s="1"/>
  <c r="EC18" i="163" s="1"/>
  <c r="EA18" i="163" s="1"/>
  <c r="EX37" i="163"/>
  <c r="DZ16" i="163" s="1"/>
  <c r="EC16" i="163" s="1"/>
  <c r="EA16" i="163" s="1"/>
  <c r="EX36" i="163"/>
  <c r="DZ15" i="163" s="1"/>
  <c r="EC15" i="163" s="1"/>
  <c r="EA15" i="163" s="1"/>
  <c r="EX35" i="163"/>
  <c r="DZ14" i="163" s="1"/>
  <c r="EC14" i="163" s="1"/>
  <c r="EA14" i="163" s="1"/>
  <c r="EX34" i="163"/>
  <c r="EX33" i="163"/>
  <c r="EX31" i="163"/>
  <c r="EX32" i="163"/>
  <c r="EX30" i="163"/>
  <c r="EX29" i="163"/>
  <c r="DZ8" i="163" s="1"/>
  <c r="EC8" i="163" s="1"/>
  <c r="EX28" i="163"/>
  <c r="EX27" i="163"/>
  <c r="EX26" i="163"/>
  <c r="EX25" i="163"/>
  <c r="DZ4" i="163" s="1"/>
  <c r="EM13" i="163"/>
  <c r="DW6" i="163"/>
  <c r="DL10" i="163"/>
  <c r="CZ31" i="163"/>
  <c r="FU21" i="163"/>
  <c r="EZ39" i="163"/>
  <c r="EZ38" i="163"/>
  <c r="EZ35" i="163"/>
  <c r="EZ34" i="163"/>
  <c r="EZ33" i="163"/>
  <c r="EZ37" i="163"/>
  <c r="EZ36" i="163"/>
  <c r="EZ32" i="163"/>
  <c r="EZ30" i="163"/>
  <c r="EZ29" i="163"/>
  <c r="EZ28" i="163"/>
  <c r="EZ27" i="163"/>
  <c r="EZ26" i="163"/>
  <c r="EZ25" i="163"/>
  <c r="EZ31" i="163"/>
  <c r="GM5" i="163"/>
  <c r="DL7" i="163"/>
  <c r="DZ13" i="163"/>
  <c r="EC13" i="163" s="1"/>
  <c r="EA13" i="163" s="1"/>
  <c r="DL13" i="163"/>
  <c r="DZ17" i="163"/>
  <c r="EC17" i="163" s="1"/>
  <c r="EA17" i="163" s="1"/>
  <c r="DL17" i="163"/>
  <c r="EM16" i="163"/>
  <c r="EL16" i="163" s="1"/>
  <c r="DW10" i="163"/>
  <c r="EM9" i="163"/>
  <c r="EL9" i="163" s="1"/>
  <c r="DW7" i="163"/>
  <c r="CN39" i="163"/>
  <c r="CN35" i="163"/>
  <c r="CN34" i="163"/>
  <c r="CN33" i="163"/>
  <c r="CN38" i="163"/>
  <c r="CN37" i="163"/>
  <c r="CN36" i="163"/>
  <c r="CN31" i="163"/>
  <c r="CN30" i="163"/>
  <c r="CN29" i="163"/>
  <c r="CN28" i="163"/>
  <c r="CN27" i="163"/>
  <c r="CN26" i="163"/>
  <c r="CN25" i="163"/>
  <c r="FU23" i="163"/>
  <c r="CN32" i="163"/>
  <c r="EM17" i="163"/>
  <c r="EE19" i="163"/>
  <c r="EE12" i="163"/>
  <c r="EE9" i="163"/>
  <c r="BK40" i="162"/>
  <c r="BK49" i="162"/>
  <c r="M41" i="162"/>
  <c r="DJ5" i="162" s="1"/>
  <c r="M52" i="162"/>
  <c r="DJ16" i="162" s="1"/>
  <c r="BK29" i="162"/>
  <c r="BK35" i="162"/>
  <c r="M28" i="162"/>
  <c r="BK43" i="162"/>
  <c r="BK53" i="162"/>
  <c r="M45" i="162"/>
  <c r="DJ9" i="162" s="1"/>
  <c r="BK25" i="162"/>
  <c r="BK30" i="162"/>
  <c r="M38" i="162"/>
  <c r="W45" i="162"/>
  <c r="W41" i="162"/>
  <c r="AA44" i="162"/>
  <c r="BK44" i="162"/>
  <c r="BK47" i="162"/>
  <c r="BK50" i="162"/>
  <c r="BK38" i="162"/>
  <c r="BK41" i="162"/>
  <c r="BK45" i="162"/>
  <c r="BK54" i="162"/>
  <c r="BK31" i="162"/>
  <c r="BK33" i="162"/>
  <c r="BK42" i="162"/>
  <c r="BK52" i="162"/>
  <c r="BK28" i="162"/>
  <c r="BK36" i="162"/>
  <c r="AA52" i="162"/>
  <c r="AA42" i="162"/>
  <c r="AA54" i="162"/>
  <c r="AA47" i="162"/>
  <c r="AA41" i="162"/>
  <c r="AA50" i="162"/>
  <c r="AG44" i="162"/>
  <c r="M44" i="162"/>
  <c r="DJ8" i="162" s="1"/>
  <c r="M54" i="162"/>
  <c r="DJ18" i="162" s="1"/>
  <c r="M31" i="162"/>
  <c r="BI40" i="162"/>
  <c r="BI43" i="162"/>
  <c r="BI46" i="162"/>
  <c r="BI51" i="162"/>
  <c r="BI48" i="162"/>
  <c r="BI53" i="162"/>
  <c r="AA49" i="162"/>
  <c r="AK43" i="162"/>
  <c r="W52" i="162"/>
  <c r="E41" i="162"/>
  <c r="DW20" i="162" s="1"/>
  <c r="W50" i="162"/>
  <c r="E42" i="162"/>
  <c r="FJ18" i="162"/>
  <c r="E54" i="162"/>
  <c r="E47" i="162"/>
  <c r="AE44" i="162"/>
  <c r="AE54" i="162"/>
  <c r="AE45" i="162"/>
  <c r="AE52" i="162"/>
  <c r="AE41" i="162"/>
  <c r="E44" i="162"/>
  <c r="E50" i="162"/>
  <c r="E45" i="162"/>
  <c r="E52" i="162"/>
  <c r="AK47" i="162"/>
  <c r="AK42" i="162"/>
  <c r="DT17" i="162"/>
  <c r="I52" i="162"/>
  <c r="I47" i="162"/>
  <c r="I42" i="162"/>
  <c r="I45" i="162"/>
  <c r="I41" i="162"/>
  <c r="I50" i="162"/>
  <c r="I54" i="162"/>
  <c r="I44" i="162"/>
  <c r="AK54" i="162"/>
  <c r="AG42" i="162"/>
  <c r="AG50" i="162"/>
  <c r="AG41" i="162"/>
  <c r="AG45" i="162"/>
  <c r="AG47" i="162"/>
  <c r="AK44" i="162"/>
  <c r="AK50" i="162"/>
  <c r="AA53" i="162"/>
  <c r="AK41" i="162"/>
  <c r="AK45" i="162"/>
  <c r="CK42" i="162"/>
  <c r="FT22" i="162"/>
  <c r="CK50" i="162"/>
  <c r="DH14" i="162" s="1"/>
  <c r="AI52" i="162"/>
  <c r="M49" i="162"/>
  <c r="DJ13" i="162" s="1"/>
  <c r="DE13" i="162"/>
  <c r="FN21" i="162"/>
  <c r="AI41" i="162"/>
  <c r="AI45" i="162"/>
  <c r="AI47" i="162"/>
  <c r="FJ13" i="162"/>
  <c r="K46" i="162"/>
  <c r="K48" i="162"/>
  <c r="DT13" i="162"/>
  <c r="AC22" i="162"/>
  <c r="AC41" i="162" s="1"/>
  <c r="EX22" i="162"/>
  <c r="Y52" i="162"/>
  <c r="FN22" i="162"/>
  <c r="Y45" i="162"/>
  <c r="W44" i="162"/>
  <c r="W54" i="162"/>
  <c r="W42" i="162"/>
  <c r="CK44" i="162"/>
  <c r="DH8" i="162" s="1"/>
  <c r="CK52" i="162"/>
  <c r="DH16" i="162" s="1"/>
  <c r="CK41" i="162"/>
  <c r="EM20" i="162" s="1"/>
  <c r="EL20" i="162" s="1"/>
  <c r="EO20" i="162" s="1"/>
  <c r="CK54" i="162"/>
  <c r="DH23" i="162"/>
  <c r="CZ23" i="162" s="1"/>
  <c r="GF23" i="162" s="1"/>
  <c r="CK45" i="162"/>
  <c r="DH9" i="162" s="1"/>
  <c r="AE43" i="162"/>
  <c r="AE53" i="162"/>
  <c r="AC42" i="162"/>
  <c r="AI44" i="162"/>
  <c r="AI54" i="162"/>
  <c r="AI42" i="162"/>
  <c r="Y43" i="162"/>
  <c r="Y46" i="162"/>
  <c r="FJ9" i="162"/>
  <c r="G22" i="162"/>
  <c r="G45" i="162" s="1"/>
  <c r="AE51" i="162"/>
  <c r="AE48" i="162"/>
  <c r="AE46" i="162"/>
  <c r="AE40" i="162"/>
  <c r="Y41" i="162"/>
  <c r="Y42" i="162"/>
  <c r="Y50" i="162"/>
  <c r="Y47" i="162"/>
  <c r="Y54" i="162"/>
  <c r="Y44" i="162"/>
  <c r="FJ15" i="162"/>
  <c r="M29" i="162"/>
  <c r="M40" i="162"/>
  <c r="DJ4" i="162" s="1"/>
  <c r="AK49" i="162"/>
  <c r="AK51" i="162"/>
  <c r="AG46" i="162"/>
  <c r="CK40" i="162"/>
  <c r="EM19" i="162" s="1"/>
  <c r="EL19" i="162" s="1"/>
  <c r="EO19" i="162" s="1"/>
  <c r="CN23" i="162"/>
  <c r="CN39" i="162" s="1"/>
  <c r="M39" i="162"/>
  <c r="DY12" i="162"/>
  <c r="EY22" i="162"/>
  <c r="EF12" i="162"/>
  <c r="GC12" i="162"/>
  <c r="DT12" i="162"/>
  <c r="Y49" i="162"/>
  <c r="Y53" i="162"/>
  <c r="Y40" i="162"/>
  <c r="Y48" i="162"/>
  <c r="AK40" i="162"/>
  <c r="AK46" i="162"/>
  <c r="AK48" i="162"/>
  <c r="M46" i="162"/>
  <c r="DJ10" i="162" s="1"/>
  <c r="M53" i="162"/>
  <c r="DJ17" i="162" s="1"/>
  <c r="M26" i="162"/>
  <c r="M30" i="162"/>
  <c r="M43" i="162"/>
  <c r="DJ7" i="162" s="1"/>
  <c r="M27" i="162"/>
  <c r="M37" i="162"/>
  <c r="M48" i="162"/>
  <c r="DJ12" i="162" s="1"/>
  <c r="M51" i="162"/>
  <c r="DJ15" i="162" s="1"/>
  <c r="M32" i="162"/>
  <c r="K40" i="162"/>
  <c r="K49" i="162"/>
  <c r="K53" i="162"/>
  <c r="K43" i="162"/>
  <c r="AI53" i="162"/>
  <c r="AG51" i="162"/>
  <c r="AG43" i="162"/>
  <c r="AI48" i="162"/>
  <c r="FJ14" i="162"/>
  <c r="AG40" i="162"/>
  <c r="AG48" i="162"/>
  <c r="E51" i="162"/>
  <c r="E49" i="162"/>
  <c r="AG53" i="162"/>
  <c r="E46" i="162"/>
  <c r="E48" i="162"/>
  <c r="E53" i="162"/>
  <c r="S49" i="162"/>
  <c r="FJ8" i="162"/>
  <c r="S43" i="162"/>
  <c r="S51" i="162"/>
  <c r="S53" i="162"/>
  <c r="CK51" i="162"/>
  <c r="DH15" i="162" s="1"/>
  <c r="CK53" i="162"/>
  <c r="DH17" i="162" s="1"/>
  <c r="CK43" i="162"/>
  <c r="DH7" i="162" s="1"/>
  <c r="CK48" i="162"/>
  <c r="DH12" i="162" s="1"/>
  <c r="CK46" i="162"/>
  <c r="DH10" i="162" s="1"/>
  <c r="AI40" i="162"/>
  <c r="AI49" i="162"/>
  <c r="AA51" i="162"/>
  <c r="W48" i="162"/>
  <c r="W51" i="162"/>
  <c r="AI51" i="162"/>
  <c r="W49" i="162"/>
  <c r="AA48" i="162"/>
  <c r="W53" i="162"/>
  <c r="AA46" i="162"/>
  <c r="W43" i="162"/>
  <c r="W46" i="162"/>
  <c r="AI46" i="162"/>
  <c r="AA40" i="162"/>
  <c r="E43" i="162"/>
  <c r="FR23" i="162"/>
  <c r="GC13" i="162"/>
  <c r="GC17" i="162"/>
  <c r="D36" i="48"/>
  <c r="CN38" i="162"/>
  <c r="CN34" i="162"/>
  <c r="CN33" i="162"/>
  <c r="CN36" i="162"/>
  <c r="CN31" i="162"/>
  <c r="CN28" i="162"/>
  <c r="CN25" i="162"/>
  <c r="DH21" i="162"/>
  <c r="CZ21" i="162" s="1"/>
  <c r="GF21" i="162" s="1"/>
  <c r="FT21" i="162"/>
  <c r="AC21" i="162"/>
  <c r="AC23" i="162"/>
  <c r="AC53" i="162" s="1"/>
  <c r="EX4" i="162"/>
  <c r="EF6" i="162"/>
  <c r="DW19" i="162"/>
  <c r="GC15" i="162"/>
  <c r="GC11" i="162"/>
  <c r="Y39" i="162"/>
  <c r="Y35" i="162"/>
  <c r="Y34" i="162"/>
  <c r="Y33" i="162"/>
  <c r="Y38" i="162"/>
  <c r="Y37" i="162"/>
  <c r="Y31" i="162"/>
  <c r="Y30" i="162"/>
  <c r="Y29" i="162"/>
  <c r="Y28" i="162"/>
  <c r="Y27" i="162"/>
  <c r="Y26" i="162"/>
  <c r="Y25" i="162"/>
  <c r="Y36" i="162"/>
  <c r="Y32" i="162"/>
  <c r="FM23" i="162"/>
  <c r="AA38" i="162"/>
  <c r="AA37" i="162"/>
  <c r="AA36" i="162"/>
  <c r="AA33" i="162"/>
  <c r="AA32" i="162"/>
  <c r="AA34" i="162"/>
  <c r="AA35" i="162"/>
  <c r="AA31" i="162"/>
  <c r="AA27" i="162"/>
  <c r="AA39" i="162"/>
  <c r="AA28" i="162"/>
  <c r="AA29" i="162"/>
  <c r="AA25" i="162"/>
  <c r="AA30" i="162"/>
  <c r="AA26" i="162"/>
  <c r="FJ17" i="162"/>
  <c r="EF7" i="162"/>
  <c r="DY7" i="162"/>
  <c r="O36" i="162"/>
  <c r="O39" i="162"/>
  <c r="O35" i="162"/>
  <c r="O34" i="162"/>
  <c r="O33" i="162"/>
  <c r="O38" i="162"/>
  <c r="O37" i="162"/>
  <c r="O31" i="162"/>
  <c r="O30" i="162"/>
  <c r="O29" i="162"/>
  <c r="O28" i="162"/>
  <c r="O27" i="162"/>
  <c r="O26" i="162"/>
  <c r="O25" i="162"/>
  <c r="O32" i="162"/>
  <c r="FI10" i="162"/>
  <c r="FJ10" i="162" s="1"/>
  <c r="DY8" i="162"/>
  <c r="EF8" i="162"/>
  <c r="CK37" i="162"/>
  <c r="DI16" i="162" s="1"/>
  <c r="CK36" i="162"/>
  <c r="DI15" i="162" s="1"/>
  <c r="CK39" i="162"/>
  <c r="EM18" i="162" s="1"/>
  <c r="CK35" i="162"/>
  <c r="DI14" i="162" s="1"/>
  <c r="CK32" i="162"/>
  <c r="DI11" i="162" s="1"/>
  <c r="CK33" i="162"/>
  <c r="DI12" i="162" s="1"/>
  <c r="FT23" i="162"/>
  <c r="CK38" i="162"/>
  <c r="DI17" i="162" s="1"/>
  <c r="CK34" i="162"/>
  <c r="DI13" i="162" s="1"/>
  <c r="CK31" i="162"/>
  <c r="DI10" i="162" s="1"/>
  <c r="CK27" i="162"/>
  <c r="DI6" i="162" s="1"/>
  <c r="CK28" i="162"/>
  <c r="DI7" i="162" s="1"/>
  <c r="CK29" i="162"/>
  <c r="DI8" i="162" s="1"/>
  <c r="CK25" i="162"/>
  <c r="DI4" i="162" s="1"/>
  <c r="CK26" i="162"/>
  <c r="DH22" i="162"/>
  <c r="CZ22" i="162" s="1"/>
  <c r="GF22" i="162" s="1"/>
  <c r="CK30" i="162"/>
  <c r="DI9" i="162" s="1"/>
  <c r="U37" i="162"/>
  <c r="U36" i="162"/>
  <c r="U39" i="162"/>
  <c r="U35" i="162"/>
  <c r="U34" i="162"/>
  <c r="U33" i="162"/>
  <c r="U32" i="162"/>
  <c r="U31" i="162"/>
  <c r="U30" i="162"/>
  <c r="U29" i="162"/>
  <c r="U28" i="162"/>
  <c r="U27" i="162"/>
  <c r="U26" i="162"/>
  <c r="U25" i="162"/>
  <c r="U38" i="162"/>
  <c r="DY6" i="162"/>
  <c r="FG21" i="162"/>
  <c r="DT8" i="162"/>
  <c r="DT7" i="162"/>
  <c r="EY23" i="162"/>
  <c r="EY53" i="162" s="1"/>
  <c r="EY21" i="162"/>
  <c r="W36" i="162"/>
  <c r="W39" i="162"/>
  <c r="W35" i="162"/>
  <c r="W34" i="162"/>
  <c r="W33" i="162"/>
  <c r="W38" i="162"/>
  <c r="FK23" i="162"/>
  <c r="W31" i="162"/>
  <c r="W30" i="162"/>
  <c r="W29" i="162"/>
  <c r="W28" i="162"/>
  <c r="W27" i="162"/>
  <c r="W26" i="162"/>
  <c r="W25" i="162"/>
  <c r="W32" i="162"/>
  <c r="W37" i="162"/>
  <c r="AI38" i="162"/>
  <c r="AI37" i="162"/>
  <c r="AI36" i="162"/>
  <c r="AI33" i="162"/>
  <c r="AI34" i="162"/>
  <c r="AI39" i="162"/>
  <c r="AI35" i="162"/>
  <c r="AI32" i="162"/>
  <c r="AI28" i="162"/>
  <c r="AI29" i="162"/>
  <c r="AI25" i="162"/>
  <c r="AI30" i="162"/>
  <c r="AI26" i="162"/>
  <c r="AI27" i="162"/>
  <c r="AI31" i="162"/>
  <c r="EF17" i="162"/>
  <c r="DY17" i="162"/>
  <c r="DH13" i="162"/>
  <c r="DY16" i="162"/>
  <c r="CN54" i="162"/>
  <c r="EB18" i="162" s="1"/>
  <c r="CN50" i="162"/>
  <c r="EB14" i="162" s="1"/>
  <c r="CN52" i="162"/>
  <c r="EB16" i="162" s="1"/>
  <c r="CN45" i="162"/>
  <c r="EB9" i="162" s="1"/>
  <c r="CN44" i="162"/>
  <c r="EB8" i="162" s="1"/>
  <c r="CN42" i="162"/>
  <c r="EB6" i="162" s="1"/>
  <c r="CN47" i="162"/>
  <c r="EB11" i="162" s="1"/>
  <c r="CN41" i="162"/>
  <c r="EB5" i="162" s="1"/>
  <c r="FU22" i="162"/>
  <c r="DH6" i="162"/>
  <c r="FR21" i="162"/>
  <c r="BI37" i="162"/>
  <c r="BI36" i="162"/>
  <c r="BI39" i="162"/>
  <c r="BI35" i="162"/>
  <c r="BI34" i="162"/>
  <c r="BI33" i="162"/>
  <c r="BI32" i="162"/>
  <c r="BI38" i="162"/>
  <c r="BI31" i="162"/>
  <c r="BI30" i="162"/>
  <c r="BI29" i="162"/>
  <c r="BI28" i="162"/>
  <c r="BI27" i="162"/>
  <c r="BI26" i="162"/>
  <c r="BI25" i="162"/>
  <c r="G23" i="162"/>
  <c r="G21" i="162"/>
  <c r="FI4" i="162"/>
  <c r="FJ4" i="162" s="1"/>
  <c r="E37" i="162"/>
  <c r="DW16" i="162" s="1"/>
  <c r="E36" i="162"/>
  <c r="DW15" i="162" s="1"/>
  <c r="EI15" i="162" s="1"/>
  <c r="E39" i="162"/>
  <c r="DW18" i="162" s="1"/>
  <c r="E35" i="162"/>
  <c r="DW14" i="162" s="1"/>
  <c r="E34" i="162"/>
  <c r="E33" i="162"/>
  <c r="DW12" i="162" s="1"/>
  <c r="E32" i="162"/>
  <c r="E38" i="162"/>
  <c r="DW17" i="162" s="1"/>
  <c r="E31" i="162"/>
  <c r="E30" i="162"/>
  <c r="E29" i="162"/>
  <c r="E28" i="162"/>
  <c r="E27" i="162"/>
  <c r="E26" i="162"/>
  <c r="E25" i="162"/>
  <c r="FG23" i="162"/>
  <c r="CV8" i="162"/>
  <c r="CV7" i="162"/>
  <c r="DH11" i="162"/>
  <c r="I23" i="162"/>
  <c r="I53" i="162" s="1"/>
  <c r="I21" i="162"/>
  <c r="EB19" i="162"/>
  <c r="EF13" i="162"/>
  <c r="DY13" i="162"/>
  <c r="FJ16" i="162"/>
  <c r="AG39" i="162"/>
  <c r="AG35" i="162"/>
  <c r="AG34" i="162"/>
  <c r="AG33" i="162"/>
  <c r="AG38" i="162"/>
  <c r="AG37" i="162"/>
  <c r="AG31" i="162"/>
  <c r="AG30" i="162"/>
  <c r="AG29" i="162"/>
  <c r="AG28" i="162"/>
  <c r="AG27" i="162"/>
  <c r="AG26" i="162"/>
  <c r="AG25" i="162"/>
  <c r="AG36" i="162"/>
  <c r="AG32" i="162"/>
  <c r="Q39" i="162"/>
  <c r="Q35" i="162"/>
  <c r="Q34" i="162"/>
  <c r="Q33" i="162"/>
  <c r="Q38" i="162"/>
  <c r="Q37" i="162"/>
  <c r="Q31" i="162"/>
  <c r="Q30" i="162"/>
  <c r="Q29" i="162"/>
  <c r="Q28" i="162"/>
  <c r="Q27" i="162"/>
  <c r="Q26" i="162"/>
  <c r="Q25" i="162"/>
  <c r="Q32" i="162"/>
  <c r="Q36" i="162"/>
  <c r="BM37" i="162"/>
  <c r="BM34" i="162"/>
  <c r="BM33" i="162"/>
  <c r="BM32" i="162"/>
  <c r="BM36" i="162"/>
  <c r="BM39" i="162"/>
  <c r="BM35" i="162"/>
  <c r="BM31" i="162"/>
  <c r="BM30" i="162"/>
  <c r="BM29" i="162"/>
  <c r="BM28" i="162"/>
  <c r="BM27" i="162"/>
  <c r="BM26" i="162"/>
  <c r="BM25" i="162"/>
  <c r="BM38" i="162"/>
  <c r="K38" i="162"/>
  <c r="K37" i="162"/>
  <c r="K36" i="162"/>
  <c r="K34" i="162"/>
  <c r="K39" i="162"/>
  <c r="K35" i="162"/>
  <c r="K32" i="162"/>
  <c r="K33" i="162"/>
  <c r="K29" i="162"/>
  <c r="K25" i="162"/>
  <c r="K30" i="162"/>
  <c r="K26" i="162"/>
  <c r="K31" i="162"/>
  <c r="K27" i="162"/>
  <c r="K28" i="162"/>
  <c r="CN21" i="162"/>
  <c r="AE36" i="162"/>
  <c r="AE39" i="162"/>
  <c r="AE35" i="162"/>
  <c r="AE34" i="162"/>
  <c r="AE33" i="162"/>
  <c r="AE32" i="162"/>
  <c r="AE38" i="162"/>
  <c r="AE31" i="162"/>
  <c r="AE30" i="162"/>
  <c r="AE29" i="162"/>
  <c r="AE28" i="162"/>
  <c r="AE27" i="162"/>
  <c r="AE26" i="162"/>
  <c r="AE25" i="162"/>
  <c r="AE37" i="162"/>
  <c r="S38" i="162"/>
  <c r="S37" i="162"/>
  <c r="S36" i="162"/>
  <c r="S39" i="162"/>
  <c r="S35" i="162"/>
  <c r="S32" i="162"/>
  <c r="S33" i="162"/>
  <c r="S34" i="162"/>
  <c r="S30" i="162"/>
  <c r="S26" i="162"/>
  <c r="S31" i="162"/>
  <c r="S27" i="162"/>
  <c r="S28" i="162"/>
  <c r="S29" i="162"/>
  <c r="S25" i="162"/>
  <c r="AK37" i="162"/>
  <c r="AK36" i="162"/>
  <c r="AK39" i="162"/>
  <c r="AK35" i="162"/>
  <c r="AK34" i="162"/>
  <c r="AK33" i="162"/>
  <c r="AK32" i="162"/>
  <c r="AK38" i="162"/>
  <c r="AK31" i="162"/>
  <c r="AK30" i="162"/>
  <c r="AK29" i="162"/>
  <c r="AK28" i="162"/>
  <c r="AK27" i="162"/>
  <c r="AK26" i="162"/>
  <c r="AK25" i="162"/>
  <c r="DH18" i="162"/>
  <c r="DE4" i="162"/>
  <c r="FN18" i="161"/>
  <c r="AE22" i="161"/>
  <c r="AC17" i="161"/>
  <c r="DG11" i="161"/>
  <c r="AC18" i="161"/>
  <c r="EX18" i="161" s="1"/>
  <c r="E8" i="161"/>
  <c r="E22" i="161" s="1"/>
  <c r="DF8" i="161"/>
  <c r="G8" i="161"/>
  <c r="FI8" i="161" s="1"/>
  <c r="S22" i="161"/>
  <c r="S50" i="161" s="1"/>
  <c r="BI22" i="161"/>
  <c r="BK22" i="161"/>
  <c r="Y22" i="161"/>
  <c r="Y52" i="161" s="1"/>
  <c r="G17" i="161"/>
  <c r="DE17" i="161" s="1"/>
  <c r="AI22" i="161"/>
  <c r="AI51" i="161" s="1"/>
  <c r="G14" i="161"/>
  <c r="FI14" i="161" s="1"/>
  <c r="FN7" i="161"/>
  <c r="FN16" i="161"/>
  <c r="EY16" i="161"/>
  <c r="DY16" i="161" s="1"/>
  <c r="DE18" i="161"/>
  <c r="CN9" i="161"/>
  <c r="FU9" i="161" s="1"/>
  <c r="CN8" i="161"/>
  <c r="FU8" i="161" s="1"/>
  <c r="CK22" i="161"/>
  <c r="FT22" i="161" s="1"/>
  <c r="FT16" i="161"/>
  <c r="CQ28" i="161"/>
  <c r="CU29" i="161"/>
  <c r="CC29" i="161"/>
  <c r="FR22" i="161"/>
  <c r="AU29" i="161"/>
  <c r="AW29" i="161"/>
  <c r="CA29" i="161"/>
  <c r="BU28" i="161"/>
  <c r="AM28" i="161"/>
  <c r="BC28" i="161"/>
  <c r="CR28" i="161"/>
  <c r="CJ28" i="161"/>
  <c r="AO28" i="161"/>
  <c r="BE28" i="161"/>
  <c r="BS28" i="161"/>
  <c r="CI28" i="161"/>
  <c r="AC11" i="161"/>
  <c r="EX11" i="161" s="1"/>
  <c r="EF11" i="161" s="1"/>
  <c r="DY5" i="161"/>
  <c r="EF5" i="161"/>
  <c r="FI5" i="161"/>
  <c r="FJ5" i="161" s="1"/>
  <c r="DY7" i="161"/>
  <c r="EF7" i="161"/>
  <c r="AG23" i="161"/>
  <c r="AG48" i="161" s="1"/>
  <c r="AG21" i="161"/>
  <c r="EF10" i="161"/>
  <c r="DY10" i="161"/>
  <c r="Y23" i="161"/>
  <c r="Y46" i="161" s="1"/>
  <c r="Y21" i="161"/>
  <c r="FM21" i="161" s="1"/>
  <c r="FQ23" i="161"/>
  <c r="FQ21" i="161"/>
  <c r="DT6" i="161"/>
  <c r="S23" i="161"/>
  <c r="S53" i="161" s="1"/>
  <c r="S21" i="161"/>
  <c r="FM4" i="161"/>
  <c r="FN4" i="161" s="1"/>
  <c r="FI6" i="161"/>
  <c r="FI7" i="161"/>
  <c r="FJ7" i="161" s="1"/>
  <c r="Q23" i="161"/>
  <c r="Q46" i="161" s="1"/>
  <c r="Q21" i="161"/>
  <c r="FR4" i="161"/>
  <c r="DE5" i="161"/>
  <c r="FT7" i="161"/>
  <c r="CN7" i="161"/>
  <c r="FU7" i="161" s="1"/>
  <c r="M21" i="161"/>
  <c r="M23" i="161"/>
  <c r="M46" i="161" s="1"/>
  <c r="DJ10" i="161" s="1"/>
  <c r="AC23" i="161"/>
  <c r="AC43" i="161" s="1"/>
  <c r="AK21" i="161"/>
  <c r="AK23" i="161"/>
  <c r="AK53" i="161" s="1"/>
  <c r="CK23" i="161"/>
  <c r="CK40" i="161" s="1"/>
  <c r="EM19" i="161" s="1"/>
  <c r="EL19" i="161" s="1"/>
  <c r="EO19" i="161" s="1"/>
  <c r="CK21" i="161"/>
  <c r="FT21" i="161" s="1"/>
  <c r="EX4" i="161"/>
  <c r="CN5" i="161"/>
  <c r="FU5" i="161" s="1"/>
  <c r="DF5" i="161"/>
  <c r="DT5" i="161"/>
  <c r="CV6" i="161"/>
  <c r="GC6" i="161" s="1"/>
  <c r="DY6" i="161"/>
  <c r="AC8" i="161"/>
  <c r="EX8" i="161" s="1"/>
  <c r="FI9" i="161"/>
  <c r="FN9" i="161"/>
  <c r="DE9" i="161"/>
  <c r="FG9" i="161"/>
  <c r="DG9" i="161"/>
  <c r="DT10" i="161"/>
  <c r="DE10" i="161"/>
  <c r="FG10" i="161"/>
  <c r="DG10" i="161"/>
  <c r="CV10" i="161"/>
  <c r="GC10" i="161" s="1"/>
  <c r="FN10" i="161"/>
  <c r="FI11" i="161"/>
  <c r="DY15" i="161"/>
  <c r="EF15" i="161"/>
  <c r="DY18" i="161"/>
  <c r="EF18" i="161"/>
  <c r="BK21" i="161"/>
  <c r="BK23" i="161"/>
  <c r="BK49" i="161" s="1"/>
  <c r="K23" i="161"/>
  <c r="K49" i="161" s="1"/>
  <c r="K21" i="161"/>
  <c r="AA23" i="161"/>
  <c r="AA44" i="161" s="1"/>
  <c r="AA21" i="161"/>
  <c r="AI23" i="161"/>
  <c r="AI44" i="161" s="1"/>
  <c r="AI21" i="161"/>
  <c r="BM23" i="161"/>
  <c r="BM48" i="161" s="1"/>
  <c r="BM21" i="161"/>
  <c r="CN6" i="161"/>
  <c r="FU6" i="161" s="1"/>
  <c r="I7" i="161"/>
  <c r="I21" i="161" s="1"/>
  <c r="E4" i="161"/>
  <c r="U21" i="161"/>
  <c r="U23" i="161"/>
  <c r="G4" i="161"/>
  <c r="O21" i="161"/>
  <c r="O23" i="161"/>
  <c r="O40" i="161" s="1"/>
  <c r="W21" i="161"/>
  <c r="FK21" i="161" s="1"/>
  <c r="W23" i="161"/>
  <c r="W40" i="161" s="1"/>
  <c r="AE21" i="161"/>
  <c r="AE23" i="161"/>
  <c r="AE46" i="161" s="1"/>
  <c r="BI21" i="161"/>
  <c r="BI23" i="161"/>
  <c r="BI48" i="161" s="1"/>
  <c r="CN4" i="161"/>
  <c r="DF4" i="161"/>
  <c r="EY4" i="161"/>
  <c r="EY22" i="161" s="1"/>
  <c r="FO23" i="161"/>
  <c r="FO21" i="161"/>
  <c r="FR21" i="161" s="1"/>
  <c r="FT4" i="161"/>
  <c r="CV5" i="161"/>
  <c r="DE6" i="161"/>
  <c r="FG6" i="161"/>
  <c r="DG7" i="161"/>
  <c r="DT7" i="161"/>
  <c r="FG8" i="161"/>
  <c r="FK8" i="161"/>
  <c r="FN8" i="161" s="1"/>
  <c r="FI10" i="161"/>
  <c r="DY11" i="161"/>
  <c r="FN13" i="161"/>
  <c r="DE13" i="161"/>
  <c r="FG13" i="161"/>
  <c r="FJ13" i="161" s="1"/>
  <c r="DG13" i="161"/>
  <c r="FG14" i="161"/>
  <c r="CV14" i="161"/>
  <c r="GC14" i="161" s="1"/>
  <c r="DF9" i="161"/>
  <c r="EY9" i="161"/>
  <c r="DT9" i="161" s="1"/>
  <c r="FG11" i="161"/>
  <c r="AC12" i="161"/>
  <c r="EX12" i="161" s="1"/>
  <c r="DE12" i="161"/>
  <c r="DF13" i="161"/>
  <c r="EY13" i="161"/>
  <c r="DY13" i="161" s="1"/>
  <c r="DY14" i="161"/>
  <c r="EF14" i="161"/>
  <c r="FT15" i="161"/>
  <c r="FI16" i="161"/>
  <c r="DE16" i="161"/>
  <c r="FG16" i="161"/>
  <c r="CV16" i="161"/>
  <c r="GC16" i="161" s="1"/>
  <c r="DF16" i="161"/>
  <c r="DT16" i="161"/>
  <c r="FT18" i="161"/>
  <c r="CN18" i="161"/>
  <c r="FU18" i="161" s="1"/>
  <c r="CV9" i="161"/>
  <c r="GC9" i="161" s="1"/>
  <c r="DE11" i="161"/>
  <c r="CN12" i="161"/>
  <c r="FU12" i="161" s="1"/>
  <c r="DF12" i="161"/>
  <c r="CV13" i="161"/>
  <c r="GC13" i="161" s="1"/>
  <c r="FG15" i="161"/>
  <c r="DG15" i="161"/>
  <c r="FK15" i="161"/>
  <c r="FN15" i="161" s="1"/>
  <c r="CV15" i="161"/>
  <c r="GC15" i="161" s="1"/>
  <c r="CN15" i="161"/>
  <c r="FU15" i="161" s="1"/>
  <c r="DE15" i="161"/>
  <c r="DG16" i="161"/>
  <c r="FN17" i="161"/>
  <c r="DF7" i="161"/>
  <c r="CN11" i="161"/>
  <c r="FU11" i="161" s="1"/>
  <c r="DF11" i="161"/>
  <c r="DT11" i="161"/>
  <c r="CV12" i="161"/>
  <c r="GC12" i="161" s="1"/>
  <c r="DG12" i="161"/>
  <c r="DF15" i="161"/>
  <c r="DT15" i="161"/>
  <c r="FI15" i="161"/>
  <c r="DG18" i="161"/>
  <c r="DT18" i="161"/>
  <c r="CV7" i="161"/>
  <c r="CN10" i="161"/>
  <c r="FU10" i="161" s="1"/>
  <c r="CV11" i="161"/>
  <c r="GC11" i="161" s="1"/>
  <c r="CN14" i="161"/>
  <c r="FU14" i="161" s="1"/>
  <c r="DF14" i="161"/>
  <c r="FG18" i="161"/>
  <c r="FJ18" i="161" s="1"/>
  <c r="O52" i="161"/>
  <c r="O47" i="161"/>
  <c r="O54" i="161"/>
  <c r="O51" i="161"/>
  <c r="O45" i="161"/>
  <c r="O50" i="161"/>
  <c r="O42" i="161"/>
  <c r="O41" i="161"/>
  <c r="W52" i="161"/>
  <c r="W50" i="161"/>
  <c r="W54" i="161"/>
  <c r="W47" i="161"/>
  <c r="W45" i="161"/>
  <c r="W51" i="161"/>
  <c r="W42" i="161"/>
  <c r="W41" i="161"/>
  <c r="AE52" i="161"/>
  <c r="AE54" i="161"/>
  <c r="AE51" i="161"/>
  <c r="AE50" i="161"/>
  <c r="AE47" i="161"/>
  <c r="AE45" i="161"/>
  <c r="AE44" i="161"/>
  <c r="AE42" i="161"/>
  <c r="AE41" i="161"/>
  <c r="AM52" i="161"/>
  <c r="AM53" i="161"/>
  <c r="AM51" i="161"/>
  <c r="AM48" i="161"/>
  <c r="AM47" i="161"/>
  <c r="AM50" i="161"/>
  <c r="AM46" i="161"/>
  <c r="AM45" i="161"/>
  <c r="AM44" i="161"/>
  <c r="AM43" i="161"/>
  <c r="AM54" i="161"/>
  <c r="AM49" i="161"/>
  <c r="AM42" i="161"/>
  <c r="AM41" i="161"/>
  <c r="AM40" i="161"/>
  <c r="AU52" i="161"/>
  <c r="AU49" i="161"/>
  <c r="AU48" i="161"/>
  <c r="AU47" i="161"/>
  <c r="AU54" i="161"/>
  <c r="AU53" i="161"/>
  <c r="AU51" i="161"/>
  <c r="AU46" i="161"/>
  <c r="AU45" i="161"/>
  <c r="AU44" i="161"/>
  <c r="AU43" i="161"/>
  <c r="AU50" i="161"/>
  <c r="AU42" i="161"/>
  <c r="AU41" i="161"/>
  <c r="AU40" i="161"/>
  <c r="BC52" i="161"/>
  <c r="BC53" i="161"/>
  <c r="BC50" i="161"/>
  <c r="BC54" i="161"/>
  <c r="BC49" i="161"/>
  <c r="BC48" i="161"/>
  <c r="BC47" i="161"/>
  <c r="BC46" i="161"/>
  <c r="BC45" i="161"/>
  <c r="BC44" i="161"/>
  <c r="BC43" i="161"/>
  <c r="BC51" i="161"/>
  <c r="BC42" i="161"/>
  <c r="BC41" i="161"/>
  <c r="BC40" i="161"/>
  <c r="BK51" i="161"/>
  <c r="BK54" i="161"/>
  <c r="BK52" i="161"/>
  <c r="BK50" i="161"/>
  <c r="BK47" i="161"/>
  <c r="BK53" i="161"/>
  <c r="BK45" i="161"/>
  <c r="BK42" i="161"/>
  <c r="BK41" i="161"/>
  <c r="BK40" i="161"/>
  <c r="BS51" i="161"/>
  <c r="BS54" i="161"/>
  <c r="BS53" i="161"/>
  <c r="BS50" i="161"/>
  <c r="BS48" i="161"/>
  <c r="BS47" i="161"/>
  <c r="BS52" i="161"/>
  <c r="BS46" i="161"/>
  <c r="BS45" i="161"/>
  <c r="BS44" i="161"/>
  <c r="BS43" i="161"/>
  <c r="BS49" i="161"/>
  <c r="BS42" i="161"/>
  <c r="BS41" i="161"/>
  <c r="BS40" i="161"/>
  <c r="CA51" i="161"/>
  <c r="CA54" i="161"/>
  <c r="CA52" i="161"/>
  <c r="CA50" i="161"/>
  <c r="CA49" i="161"/>
  <c r="CA48" i="161"/>
  <c r="CA47" i="161"/>
  <c r="CA53" i="161"/>
  <c r="CA46" i="161"/>
  <c r="CA45" i="161"/>
  <c r="CA44" i="161"/>
  <c r="CA43" i="161"/>
  <c r="CA42" i="161"/>
  <c r="CA41" i="161"/>
  <c r="CA40" i="161"/>
  <c r="CI51" i="161"/>
  <c r="CI54" i="161"/>
  <c r="CI53" i="161"/>
  <c r="CI50" i="161"/>
  <c r="CI49" i="161"/>
  <c r="CI48" i="161"/>
  <c r="CI47" i="161"/>
  <c r="CI46" i="161"/>
  <c r="CI52" i="161"/>
  <c r="CI45" i="161"/>
  <c r="CI44" i="161"/>
  <c r="CI43" i="161"/>
  <c r="CI42" i="161"/>
  <c r="CI41" i="161"/>
  <c r="CI40" i="161"/>
  <c r="CM51" i="161"/>
  <c r="CM54" i="161"/>
  <c r="CM52" i="161"/>
  <c r="CM50" i="161"/>
  <c r="CM48" i="161"/>
  <c r="CM47" i="161"/>
  <c r="CM46" i="161"/>
  <c r="CM49" i="161"/>
  <c r="CM45" i="161"/>
  <c r="CM44" i="161"/>
  <c r="CM43" i="161"/>
  <c r="CM53" i="161"/>
  <c r="CM42" i="161"/>
  <c r="CM41" i="161"/>
  <c r="CM40" i="161"/>
  <c r="CQ51" i="161"/>
  <c r="CQ54" i="161"/>
  <c r="CQ48" i="161"/>
  <c r="CQ47" i="161"/>
  <c r="CQ46" i="161"/>
  <c r="CQ53" i="161"/>
  <c r="CQ52" i="161"/>
  <c r="CQ50" i="161"/>
  <c r="CQ49" i="161"/>
  <c r="CQ45" i="161"/>
  <c r="CQ44" i="161"/>
  <c r="CQ43" i="161"/>
  <c r="CQ42" i="161"/>
  <c r="CQ41" i="161"/>
  <c r="CQ40" i="161"/>
  <c r="CU51" i="161"/>
  <c r="CU54" i="161"/>
  <c r="CU52" i="161"/>
  <c r="CU49" i="161"/>
  <c r="CU53" i="161"/>
  <c r="CU48" i="161"/>
  <c r="CU47" i="161"/>
  <c r="CU46" i="161"/>
  <c r="CU45" i="161"/>
  <c r="CU44" i="161"/>
  <c r="CU43" i="161"/>
  <c r="CU50" i="161"/>
  <c r="CU42" i="161"/>
  <c r="CU41" i="161"/>
  <c r="CU40" i="161"/>
  <c r="AS36" i="161"/>
  <c r="AS39" i="161"/>
  <c r="AS35" i="161"/>
  <c r="AS38" i="161"/>
  <c r="AS31" i="161"/>
  <c r="AS30" i="161"/>
  <c r="AS29" i="161"/>
  <c r="AS28" i="161"/>
  <c r="AS27" i="161"/>
  <c r="AS26" i="161"/>
  <c r="AS25" i="161"/>
  <c r="AS37" i="161"/>
  <c r="AS34" i="161"/>
  <c r="AS33" i="161"/>
  <c r="AS32" i="161"/>
  <c r="BA36" i="161"/>
  <c r="BA39" i="161"/>
  <c r="BA35" i="161"/>
  <c r="BA38" i="161"/>
  <c r="BA37" i="161"/>
  <c r="BA31" i="161"/>
  <c r="BA30" i="161"/>
  <c r="BA29" i="161"/>
  <c r="BA28" i="161"/>
  <c r="BA27" i="161"/>
  <c r="BA26" i="161"/>
  <c r="BA25" i="161"/>
  <c r="BA34" i="161"/>
  <c r="BA33" i="161"/>
  <c r="BA32" i="161"/>
  <c r="BQ36" i="161"/>
  <c r="BQ39" i="161"/>
  <c r="BQ35" i="161"/>
  <c r="BQ34" i="161"/>
  <c r="BQ38" i="161"/>
  <c r="BQ37" i="161"/>
  <c r="BQ31" i="161"/>
  <c r="BQ30" i="161"/>
  <c r="BQ29" i="161"/>
  <c r="BQ28" i="161"/>
  <c r="BQ27" i="161"/>
  <c r="BQ26" i="161"/>
  <c r="BQ25" i="161"/>
  <c r="BQ33" i="161"/>
  <c r="BQ32" i="161"/>
  <c r="BY36" i="161"/>
  <c r="BY39" i="161"/>
  <c r="BY35" i="161"/>
  <c r="BY34" i="161"/>
  <c r="BY38" i="161"/>
  <c r="BY37" i="161"/>
  <c r="BY31" i="161"/>
  <c r="BY30" i="161"/>
  <c r="BY29" i="161"/>
  <c r="BY28" i="161"/>
  <c r="BY27" i="161"/>
  <c r="BY26" i="161"/>
  <c r="BY25" i="161"/>
  <c r="BY33" i="161"/>
  <c r="BY32" i="161"/>
  <c r="CG36" i="161"/>
  <c r="CG39" i="161"/>
  <c r="CG35" i="161"/>
  <c r="CG34" i="161"/>
  <c r="CG38" i="161"/>
  <c r="CG37" i="161"/>
  <c r="CG31" i="161"/>
  <c r="CG30" i="161"/>
  <c r="CG29" i="161"/>
  <c r="CG28" i="161"/>
  <c r="CG27" i="161"/>
  <c r="CG26" i="161"/>
  <c r="CG25" i="161"/>
  <c r="CG33" i="161"/>
  <c r="CG32" i="161"/>
  <c r="CL39" i="161"/>
  <c r="CL35" i="161"/>
  <c r="CL38" i="161"/>
  <c r="CL34" i="161"/>
  <c r="CL37" i="161"/>
  <c r="CL36" i="161"/>
  <c r="CL31" i="161"/>
  <c r="CL30" i="161"/>
  <c r="CL29" i="161"/>
  <c r="CL28" i="161"/>
  <c r="CL27" i="161"/>
  <c r="CL26" i="161"/>
  <c r="CL25" i="161"/>
  <c r="CL33" i="161"/>
  <c r="CL32" i="161"/>
  <c r="CP39" i="161"/>
  <c r="CP35" i="161"/>
  <c r="CP38" i="161"/>
  <c r="CP34" i="161"/>
  <c r="CP37" i="161"/>
  <c r="CP31" i="161"/>
  <c r="CP30" i="161"/>
  <c r="CP29" i="161"/>
  <c r="CP28" i="161"/>
  <c r="CP27" i="161"/>
  <c r="CP26" i="161"/>
  <c r="CP25" i="161"/>
  <c r="FW23" i="161"/>
  <c r="CP36" i="161"/>
  <c r="CP33" i="161"/>
  <c r="CP32" i="161"/>
  <c r="CT39" i="161"/>
  <c r="CT35" i="161"/>
  <c r="CT38" i="161"/>
  <c r="CT34" i="161"/>
  <c r="CT37" i="161"/>
  <c r="CT36" i="161"/>
  <c r="CT31" i="161"/>
  <c r="CT30" i="161"/>
  <c r="CT29" i="161"/>
  <c r="CT28" i="161"/>
  <c r="CT27" i="161"/>
  <c r="CT26" i="161"/>
  <c r="CT25" i="161"/>
  <c r="GA23" i="161"/>
  <c r="CT33" i="161"/>
  <c r="CT32" i="161"/>
  <c r="FX23" i="161"/>
  <c r="AU25" i="161"/>
  <c r="CA25" i="161"/>
  <c r="CM25" i="161"/>
  <c r="CU25" i="161"/>
  <c r="AM26" i="161"/>
  <c r="BC26" i="161"/>
  <c r="BS26" i="161"/>
  <c r="CI26" i="161"/>
  <c r="CQ26" i="161"/>
  <c r="AU27" i="161"/>
  <c r="CA27" i="161"/>
  <c r="CM27" i="161"/>
  <c r="CU27" i="161"/>
  <c r="DF18" i="161"/>
  <c r="I51" i="161"/>
  <c r="I54" i="161"/>
  <c r="I50" i="161"/>
  <c r="I47" i="161"/>
  <c r="I52" i="161"/>
  <c r="I45" i="161"/>
  <c r="I42" i="161"/>
  <c r="I41" i="161"/>
  <c r="Q51" i="161"/>
  <c r="Q54" i="161"/>
  <c r="Q52" i="161"/>
  <c r="Q50" i="161"/>
  <c r="Q47" i="161"/>
  <c r="Q45" i="161"/>
  <c r="Q42" i="161"/>
  <c r="Q41" i="161"/>
  <c r="Y40" i="161"/>
  <c r="AG51" i="161"/>
  <c r="AG54" i="161"/>
  <c r="AG50" i="161"/>
  <c r="AG53" i="161"/>
  <c r="AG52" i="161"/>
  <c r="AG47" i="161"/>
  <c r="AG45" i="161"/>
  <c r="AG42" i="161"/>
  <c r="AG41" i="161"/>
  <c r="AO51" i="161"/>
  <c r="AO54" i="161"/>
  <c r="AO50" i="161"/>
  <c r="AO49" i="161"/>
  <c r="AO47" i="161"/>
  <c r="AO48" i="161"/>
  <c r="AO53" i="161"/>
  <c r="AO52" i="161"/>
  <c r="AO46" i="161"/>
  <c r="AO45" i="161"/>
  <c r="AO44" i="161"/>
  <c r="AO43" i="161"/>
  <c r="AO42" i="161"/>
  <c r="AO41" i="161"/>
  <c r="AO40" i="161"/>
  <c r="AW51" i="161"/>
  <c r="AW54" i="161"/>
  <c r="AW53" i="161"/>
  <c r="AW52" i="161"/>
  <c r="AW50" i="161"/>
  <c r="AW48" i="161"/>
  <c r="AW49" i="161"/>
  <c r="AW47" i="161"/>
  <c r="AW46" i="161"/>
  <c r="AW45" i="161"/>
  <c r="AW44" i="161"/>
  <c r="AW43" i="161"/>
  <c r="AW42" i="161"/>
  <c r="AW41" i="161"/>
  <c r="AW40" i="161"/>
  <c r="BE51" i="161"/>
  <c r="BE54" i="161"/>
  <c r="BE53" i="161"/>
  <c r="BE49" i="161"/>
  <c r="BE47" i="161"/>
  <c r="BE50" i="161"/>
  <c r="BE52" i="161"/>
  <c r="BE48" i="161"/>
  <c r="BE46" i="161"/>
  <c r="BE45" i="161"/>
  <c r="BE44" i="161"/>
  <c r="BE43" i="161"/>
  <c r="BE42" i="161"/>
  <c r="BE41" i="161"/>
  <c r="BE40" i="161"/>
  <c r="BM53" i="161"/>
  <c r="BM52" i="161"/>
  <c r="BM54" i="161"/>
  <c r="BM49" i="161"/>
  <c r="BM51" i="161"/>
  <c r="BM50" i="161"/>
  <c r="BM47" i="161"/>
  <c r="BM46" i="161"/>
  <c r="BM45" i="161"/>
  <c r="BM42" i="161"/>
  <c r="BM41" i="161"/>
  <c r="BU53" i="161"/>
  <c r="BU52" i="161"/>
  <c r="BU54" i="161"/>
  <c r="BU51" i="161"/>
  <c r="BU50" i="161"/>
  <c r="BU49" i="161"/>
  <c r="BU47" i="161"/>
  <c r="BU48" i="161"/>
  <c r="BU46" i="161"/>
  <c r="BU45" i="161"/>
  <c r="BU44" i="161"/>
  <c r="BU43" i="161"/>
  <c r="BU42" i="161"/>
  <c r="BU41" i="161"/>
  <c r="BU40" i="161"/>
  <c r="CC53" i="161"/>
  <c r="CC52" i="161"/>
  <c r="CC54" i="161"/>
  <c r="CC51" i="161"/>
  <c r="CC50" i="161"/>
  <c r="CC48" i="161"/>
  <c r="CC49" i="161"/>
  <c r="CC47" i="161"/>
  <c r="CC46" i="161"/>
  <c r="CC45" i="161"/>
  <c r="CC44" i="161"/>
  <c r="CC43" i="161"/>
  <c r="CC42" i="161"/>
  <c r="CC41" i="161"/>
  <c r="CC40" i="161"/>
  <c r="CJ54" i="161"/>
  <c r="CJ50" i="161"/>
  <c r="CJ53" i="161"/>
  <c r="CJ49" i="161"/>
  <c r="CJ48" i="161"/>
  <c r="CJ52" i="161"/>
  <c r="CJ51" i="161"/>
  <c r="CJ47" i="161"/>
  <c r="CJ46" i="161"/>
  <c r="CJ45" i="161"/>
  <c r="CJ44" i="161"/>
  <c r="CJ43" i="161"/>
  <c r="CJ42" i="161"/>
  <c r="CJ41" i="161"/>
  <c r="CJ40" i="161"/>
  <c r="CR54" i="161"/>
  <c r="CR50" i="161"/>
  <c r="CR53" i="161"/>
  <c r="CR48" i="161"/>
  <c r="CR52" i="161"/>
  <c r="CR51" i="161"/>
  <c r="CR49" i="161"/>
  <c r="CR47" i="161"/>
  <c r="CR46" i="161"/>
  <c r="CR45" i="161"/>
  <c r="CR44" i="161"/>
  <c r="CR43" i="161"/>
  <c r="CR41" i="161"/>
  <c r="CR40" i="161"/>
  <c r="CR42" i="161"/>
  <c r="FX22" i="161"/>
  <c r="GB22" i="161"/>
  <c r="AM39" i="161"/>
  <c r="AM35" i="161"/>
  <c r="AM38" i="161"/>
  <c r="AM34" i="161"/>
  <c r="AM33" i="161"/>
  <c r="AM32" i="161"/>
  <c r="AM36" i="161"/>
  <c r="AM37" i="161"/>
  <c r="AM31" i="161"/>
  <c r="AM30" i="161"/>
  <c r="AU39" i="161"/>
  <c r="AU35" i="161"/>
  <c r="AU38" i="161"/>
  <c r="AU36" i="161"/>
  <c r="AU37" i="161"/>
  <c r="AU34" i="161"/>
  <c r="AU33" i="161"/>
  <c r="AU32" i="161"/>
  <c r="AU31" i="161"/>
  <c r="AU30" i="161"/>
  <c r="BC39" i="161"/>
  <c r="BC35" i="161"/>
  <c r="BC38" i="161"/>
  <c r="BC34" i="161"/>
  <c r="BC33" i="161"/>
  <c r="BC32" i="161"/>
  <c r="BC36" i="161"/>
  <c r="BC37" i="161"/>
  <c r="BC31" i="161"/>
  <c r="BC30" i="161"/>
  <c r="BS38" i="161"/>
  <c r="BS34" i="161"/>
  <c r="BS37" i="161"/>
  <c r="BS39" i="161"/>
  <c r="BS35" i="161"/>
  <c r="BS36" i="161"/>
  <c r="BS33" i="161"/>
  <c r="BS32" i="161"/>
  <c r="BS31" i="161"/>
  <c r="BS30" i="161"/>
  <c r="CA38" i="161"/>
  <c r="CA34" i="161"/>
  <c r="CA37" i="161"/>
  <c r="CA39" i="161"/>
  <c r="CA33" i="161"/>
  <c r="CA32" i="161"/>
  <c r="CA35" i="161"/>
  <c r="CA36" i="161"/>
  <c r="CA31" i="161"/>
  <c r="CA30" i="161"/>
  <c r="CI38" i="161"/>
  <c r="CI34" i="161"/>
  <c r="CI37" i="161"/>
  <c r="CI39" i="161"/>
  <c r="CI35" i="161"/>
  <c r="CI36" i="161"/>
  <c r="CI33" i="161"/>
  <c r="CI32" i="161"/>
  <c r="CI31" i="161"/>
  <c r="CI30" i="161"/>
  <c r="CM38" i="161"/>
  <c r="CM34" i="161"/>
  <c r="CM37" i="161"/>
  <c r="CM39" i="161"/>
  <c r="CM33" i="161"/>
  <c r="CM32" i="161"/>
  <c r="CM35" i="161"/>
  <c r="CM36" i="161"/>
  <c r="CM31" i="161"/>
  <c r="CM30" i="161"/>
  <c r="CQ38" i="161"/>
  <c r="CQ34" i="161"/>
  <c r="CQ37" i="161"/>
  <c r="CQ39" i="161"/>
  <c r="GL11" i="161" s="1"/>
  <c r="CQ35" i="161"/>
  <c r="CQ36" i="161"/>
  <c r="CQ33" i="161"/>
  <c r="CQ32" i="161"/>
  <c r="CQ31" i="161"/>
  <c r="CQ30" i="161"/>
  <c r="CU38" i="161"/>
  <c r="CU34" i="161"/>
  <c r="CU37" i="161"/>
  <c r="CU39" i="161"/>
  <c r="CU33" i="161"/>
  <c r="CU32" i="161"/>
  <c r="CU35" i="161"/>
  <c r="CU36" i="161"/>
  <c r="CU31" i="161"/>
  <c r="CU30" i="161"/>
  <c r="FS23" i="161"/>
  <c r="FY23" i="161"/>
  <c r="AW25" i="161"/>
  <c r="CC25" i="161"/>
  <c r="AO26" i="161"/>
  <c r="BE26" i="161"/>
  <c r="BU26" i="161"/>
  <c r="CJ26" i="161"/>
  <c r="CR26" i="161"/>
  <c r="AW27" i="161"/>
  <c r="CC27" i="161"/>
  <c r="CN17" i="161"/>
  <c r="FU17" i="161" s="1"/>
  <c r="CV18" i="161"/>
  <c r="D54" i="161"/>
  <c r="D50" i="161"/>
  <c r="D53" i="161"/>
  <c r="D52" i="161"/>
  <c r="D51" i="161"/>
  <c r="D47" i="161"/>
  <c r="D49" i="161"/>
  <c r="D46" i="161"/>
  <c r="D45" i="161"/>
  <c r="D44" i="161"/>
  <c r="D43" i="161"/>
  <c r="D48" i="161"/>
  <c r="D42" i="161"/>
  <c r="D41" i="161"/>
  <c r="D40" i="161"/>
  <c r="K54" i="161"/>
  <c r="K50" i="161"/>
  <c r="K51" i="161"/>
  <c r="K52" i="161"/>
  <c r="K45" i="161"/>
  <c r="K47" i="161"/>
  <c r="K42" i="161"/>
  <c r="K41" i="161"/>
  <c r="AA54" i="161"/>
  <c r="AA50" i="161"/>
  <c r="AA52" i="161"/>
  <c r="AA51" i="161"/>
  <c r="AA45" i="161"/>
  <c r="AA47" i="161"/>
  <c r="AA42" i="161"/>
  <c r="AA41" i="161"/>
  <c r="AQ54" i="161"/>
  <c r="AQ50" i="161"/>
  <c r="AQ49" i="161"/>
  <c r="AQ53" i="161"/>
  <c r="AQ51" i="161"/>
  <c r="AQ52" i="161"/>
  <c r="AQ48" i="161"/>
  <c r="AQ46" i="161"/>
  <c r="AQ45" i="161"/>
  <c r="AQ44" i="161"/>
  <c r="AQ43" i="161"/>
  <c r="AQ47" i="161"/>
  <c r="AQ42" i="161"/>
  <c r="AQ41" i="161"/>
  <c r="AQ40" i="161"/>
  <c r="AY54" i="161"/>
  <c r="AY50" i="161"/>
  <c r="AY49" i="161"/>
  <c r="AY53" i="161"/>
  <c r="AY52" i="161"/>
  <c r="AY51" i="161"/>
  <c r="AY47" i="161"/>
  <c r="AY46" i="161"/>
  <c r="AY45" i="161"/>
  <c r="AY44" i="161"/>
  <c r="AY43" i="161"/>
  <c r="AY48" i="161"/>
  <c r="AY42" i="161"/>
  <c r="AY41" i="161"/>
  <c r="AY40" i="161"/>
  <c r="BG54" i="161"/>
  <c r="BG50" i="161"/>
  <c r="BG49" i="161"/>
  <c r="BG53" i="161"/>
  <c r="BG52" i="161"/>
  <c r="BG51" i="161"/>
  <c r="BG48" i="161"/>
  <c r="BG46" i="161"/>
  <c r="BG45" i="161"/>
  <c r="BG44" i="161"/>
  <c r="BG43" i="161"/>
  <c r="BG47" i="161"/>
  <c r="BG42" i="161"/>
  <c r="BG41" i="161"/>
  <c r="BG40" i="161"/>
  <c r="BO51" i="161"/>
  <c r="BO49" i="161"/>
  <c r="BO54" i="161"/>
  <c r="BO50" i="161"/>
  <c r="BO52" i="161"/>
  <c r="BO47" i="161"/>
  <c r="BO46" i="161"/>
  <c r="BO45" i="161"/>
  <c r="BO44" i="161"/>
  <c r="BO43" i="161"/>
  <c r="BO53" i="161"/>
  <c r="BO48" i="161"/>
  <c r="BO42" i="161"/>
  <c r="BO41" i="161"/>
  <c r="BO40" i="161"/>
  <c r="BW51" i="161"/>
  <c r="BW49" i="161"/>
  <c r="BW54" i="161"/>
  <c r="BW50" i="161"/>
  <c r="BW53" i="161"/>
  <c r="BW48" i="161"/>
  <c r="BW52" i="161"/>
  <c r="BW46" i="161"/>
  <c r="BW45" i="161"/>
  <c r="BW44" i="161"/>
  <c r="BW43" i="161"/>
  <c r="BW47" i="161"/>
  <c r="BW42" i="161"/>
  <c r="BW41" i="161"/>
  <c r="BW40" i="161"/>
  <c r="CE51" i="161"/>
  <c r="CE49" i="161"/>
  <c r="CE54" i="161"/>
  <c r="CE50" i="161"/>
  <c r="CE52" i="161"/>
  <c r="CE47" i="161"/>
  <c r="CE53" i="161"/>
  <c r="CE46" i="161"/>
  <c r="CE45" i="161"/>
  <c r="CE44" i="161"/>
  <c r="CE43" i="161"/>
  <c r="CE48" i="161"/>
  <c r="CE42" i="161"/>
  <c r="CE41" i="161"/>
  <c r="CE40" i="161"/>
  <c r="CO53" i="161"/>
  <c r="CO49" i="161"/>
  <c r="CO52" i="161"/>
  <c r="CO54" i="161"/>
  <c r="CO50" i="161"/>
  <c r="CO51" i="161"/>
  <c r="CO46" i="161"/>
  <c r="CO48" i="161"/>
  <c r="CO47" i="161"/>
  <c r="CO45" i="161"/>
  <c r="CO44" i="161"/>
  <c r="CO43" i="161"/>
  <c r="CO42" i="161"/>
  <c r="CO41" i="161"/>
  <c r="CO40" i="161"/>
  <c r="CS53" i="161"/>
  <c r="CS49" i="161"/>
  <c r="CS52" i="161"/>
  <c r="CS54" i="161"/>
  <c r="CS51" i="161"/>
  <c r="CS50" i="161"/>
  <c r="CS48" i="161"/>
  <c r="CS46" i="161"/>
  <c r="CS45" i="161"/>
  <c r="CS44" i="161"/>
  <c r="CS43" i="161"/>
  <c r="CS42" i="161"/>
  <c r="CS47" i="161"/>
  <c r="CS41" i="161"/>
  <c r="CS40" i="161"/>
  <c r="FF22" i="161"/>
  <c r="FK22" i="161"/>
  <c r="FY22" i="161"/>
  <c r="AO38" i="161"/>
  <c r="AO37" i="161"/>
  <c r="AO39" i="161"/>
  <c r="AO34" i="161"/>
  <c r="AO33" i="161"/>
  <c r="AO32" i="161"/>
  <c r="AO36" i="161"/>
  <c r="AO35" i="161"/>
  <c r="AO31" i="161"/>
  <c r="AO30" i="161"/>
  <c r="AW38" i="161"/>
  <c r="AW37" i="161"/>
  <c r="AW39" i="161"/>
  <c r="AW34" i="161"/>
  <c r="AW33" i="161"/>
  <c r="AW32" i="161"/>
  <c r="AW31" i="161"/>
  <c r="AW30" i="161"/>
  <c r="AW36" i="161"/>
  <c r="AW35" i="161"/>
  <c r="BE38" i="161"/>
  <c r="BE37" i="161"/>
  <c r="BE39" i="161"/>
  <c r="BE34" i="161"/>
  <c r="BE33" i="161"/>
  <c r="BE32" i="161"/>
  <c r="BE36" i="161"/>
  <c r="BE35" i="161"/>
  <c r="BE31" i="161"/>
  <c r="BE30" i="161"/>
  <c r="BU36" i="161"/>
  <c r="BU39" i="161"/>
  <c r="BU35" i="161"/>
  <c r="BU38" i="161"/>
  <c r="BU37" i="161"/>
  <c r="BU33" i="161"/>
  <c r="BU32" i="161"/>
  <c r="BU31" i="161"/>
  <c r="BU30" i="161"/>
  <c r="BU34" i="161"/>
  <c r="CC36" i="161"/>
  <c r="CC39" i="161"/>
  <c r="CC35" i="161"/>
  <c r="CC38" i="161"/>
  <c r="CC37" i="161"/>
  <c r="CC33" i="161"/>
  <c r="CC32" i="161"/>
  <c r="CC34" i="161"/>
  <c r="CC31" i="161"/>
  <c r="CC30" i="161"/>
  <c r="CJ37" i="161"/>
  <c r="CJ36" i="161"/>
  <c r="CJ39" i="161"/>
  <c r="CJ38" i="161"/>
  <c r="CJ33" i="161"/>
  <c r="CJ32" i="161"/>
  <c r="CJ31" i="161"/>
  <c r="CJ30" i="161"/>
  <c r="CJ35" i="161"/>
  <c r="CJ34" i="161"/>
  <c r="CR37" i="161"/>
  <c r="CR36" i="161"/>
  <c r="CR39" i="161"/>
  <c r="CR38" i="161"/>
  <c r="CR33" i="161"/>
  <c r="CR32" i="161"/>
  <c r="CR31" i="161"/>
  <c r="CR30" i="161"/>
  <c r="CR35" i="161"/>
  <c r="CR34" i="161"/>
  <c r="GB23" i="161"/>
  <c r="AM25" i="161"/>
  <c r="BC25" i="161"/>
  <c r="BS25" i="161"/>
  <c r="CI25" i="161"/>
  <c r="CQ25" i="161"/>
  <c r="AU26" i="161"/>
  <c r="CA26" i="161"/>
  <c r="CM26" i="161"/>
  <c r="CU26" i="161"/>
  <c r="AM27" i="161"/>
  <c r="BC27" i="161"/>
  <c r="BS27" i="161"/>
  <c r="CI27" i="161"/>
  <c r="CQ27" i="161"/>
  <c r="AU28" i="161"/>
  <c r="CA28" i="161"/>
  <c r="CM28" i="161"/>
  <c r="CU28" i="161"/>
  <c r="AM29" i="161"/>
  <c r="BC29" i="161"/>
  <c r="BS29" i="161"/>
  <c r="CI29" i="161"/>
  <c r="CQ29" i="161"/>
  <c r="E52" i="161"/>
  <c r="E54" i="161"/>
  <c r="E51" i="161"/>
  <c r="E47" i="161"/>
  <c r="E45" i="161"/>
  <c r="E50" i="161"/>
  <c r="E42" i="161"/>
  <c r="E41" i="161"/>
  <c r="M52" i="161"/>
  <c r="DJ16" i="161" s="1"/>
  <c r="M54" i="161"/>
  <c r="DJ18" i="161" s="1"/>
  <c r="M50" i="161"/>
  <c r="DJ14" i="161" s="1"/>
  <c r="M47" i="161"/>
  <c r="DJ11" i="161" s="1"/>
  <c r="M45" i="161"/>
  <c r="DJ9" i="161" s="1"/>
  <c r="M51" i="161"/>
  <c r="DJ15" i="161" s="1"/>
  <c r="M42" i="161"/>
  <c r="DJ6" i="161" s="1"/>
  <c r="M41" i="161"/>
  <c r="DJ5" i="161" s="1"/>
  <c r="U53" i="161"/>
  <c r="U52" i="161"/>
  <c r="U54" i="161"/>
  <c r="U51" i="161"/>
  <c r="U50" i="161"/>
  <c r="U49" i="161"/>
  <c r="U48" i="161"/>
  <c r="U47" i="161"/>
  <c r="U46" i="161"/>
  <c r="U45" i="161"/>
  <c r="U44" i="161"/>
  <c r="U43" i="161"/>
  <c r="U42" i="161"/>
  <c r="U41" i="161"/>
  <c r="U40" i="161"/>
  <c r="AK52" i="161"/>
  <c r="AK54" i="161"/>
  <c r="AK49" i="161"/>
  <c r="AK51" i="161"/>
  <c r="AK47" i="161"/>
  <c r="AK46" i="161"/>
  <c r="AK45" i="161"/>
  <c r="AK50" i="161"/>
  <c r="AK42" i="161"/>
  <c r="AK41" i="161"/>
  <c r="AS53" i="161"/>
  <c r="AS52" i="161"/>
  <c r="AS54" i="161"/>
  <c r="AS50" i="161"/>
  <c r="AS49" i="161"/>
  <c r="AS48" i="161"/>
  <c r="AS47" i="161"/>
  <c r="AS51" i="161"/>
  <c r="AS46" i="161"/>
  <c r="AS45" i="161"/>
  <c r="AS44" i="161"/>
  <c r="AS43" i="161"/>
  <c r="AS42" i="161"/>
  <c r="AS41" i="161"/>
  <c r="AS40" i="161"/>
  <c r="BA53" i="161"/>
  <c r="BA52" i="161"/>
  <c r="BA54" i="161"/>
  <c r="BA51" i="161"/>
  <c r="BA50" i="161"/>
  <c r="BA49" i="161"/>
  <c r="BA48" i="161"/>
  <c r="BA47" i="161"/>
  <c r="BA46" i="161"/>
  <c r="BA45" i="161"/>
  <c r="BA44" i="161"/>
  <c r="BA43" i="161"/>
  <c r="BA42" i="161"/>
  <c r="BA41" i="161"/>
  <c r="BA40" i="161"/>
  <c r="BI53" i="161"/>
  <c r="BI52" i="161"/>
  <c r="BI54" i="161"/>
  <c r="BI51" i="161"/>
  <c r="BI50" i="161"/>
  <c r="BI47" i="161"/>
  <c r="BI46" i="161"/>
  <c r="BI45" i="161"/>
  <c r="BI42" i="161"/>
  <c r="BI41" i="161"/>
  <c r="BQ53" i="161"/>
  <c r="BQ52" i="161"/>
  <c r="BQ54" i="161"/>
  <c r="BQ49" i="161"/>
  <c r="BQ50" i="161"/>
  <c r="BQ48" i="161"/>
  <c r="BQ47" i="161"/>
  <c r="BQ46" i="161"/>
  <c r="BQ45" i="161"/>
  <c r="BQ44" i="161"/>
  <c r="BQ43" i="161"/>
  <c r="BQ51" i="161"/>
  <c r="BQ42" i="161"/>
  <c r="BQ41" i="161"/>
  <c r="BQ40" i="161"/>
  <c r="BY53" i="161"/>
  <c r="BY52" i="161"/>
  <c r="BY54" i="161"/>
  <c r="BY51" i="161"/>
  <c r="BY49" i="161"/>
  <c r="BY50" i="161"/>
  <c r="BY48" i="161"/>
  <c r="BY47" i="161"/>
  <c r="BY46" i="161"/>
  <c r="BY45" i="161"/>
  <c r="BY44" i="161"/>
  <c r="BY43" i="161"/>
  <c r="BY42" i="161"/>
  <c r="BY41" i="161"/>
  <c r="BY40" i="161"/>
  <c r="CG53" i="161"/>
  <c r="CG52" i="161"/>
  <c r="CG54" i="161"/>
  <c r="CG50" i="161"/>
  <c r="CG49" i="161"/>
  <c r="CG48" i="161"/>
  <c r="CG47" i="161"/>
  <c r="CG51" i="161"/>
  <c r="CG46" i="161"/>
  <c r="CG45" i="161"/>
  <c r="CG44" i="161"/>
  <c r="CG43" i="161"/>
  <c r="CG42" i="161"/>
  <c r="CG41" i="161"/>
  <c r="CG40" i="161"/>
  <c r="CL52" i="161"/>
  <c r="CL51" i="161"/>
  <c r="CL54" i="161"/>
  <c r="CL53" i="161"/>
  <c r="CL50" i="161"/>
  <c r="CL48" i="161"/>
  <c r="CL47" i="161"/>
  <c r="CL49" i="161"/>
  <c r="CL45" i="161"/>
  <c r="CL44" i="161"/>
  <c r="CL43" i="161"/>
  <c r="CL46" i="161"/>
  <c r="CL42" i="161"/>
  <c r="CL41" i="161"/>
  <c r="CL40" i="161"/>
  <c r="CP52" i="161"/>
  <c r="CP51" i="161"/>
  <c r="CP54" i="161"/>
  <c r="CP53" i="161"/>
  <c r="CP49" i="161"/>
  <c r="CP48" i="161"/>
  <c r="CP47" i="161"/>
  <c r="CP45" i="161"/>
  <c r="CP44" i="161"/>
  <c r="CP43" i="161"/>
  <c r="CP50" i="161"/>
  <c r="CP46" i="161"/>
  <c r="CP41" i="161"/>
  <c r="CP40" i="161"/>
  <c r="CP42" i="161"/>
  <c r="CT52" i="161"/>
  <c r="CT51" i="161"/>
  <c r="CT54" i="161"/>
  <c r="CT53" i="161"/>
  <c r="CT50" i="161"/>
  <c r="CT49" i="161"/>
  <c r="CT48" i="161"/>
  <c r="CT47" i="161"/>
  <c r="CT46" i="161"/>
  <c r="CT45" i="161"/>
  <c r="CT44" i="161"/>
  <c r="CT43" i="161"/>
  <c r="CT42" i="161"/>
  <c r="CT41" i="161"/>
  <c r="CT40" i="161"/>
  <c r="EY54" i="161"/>
  <c r="EY45" i="161"/>
  <c r="FG22" i="161"/>
  <c r="FV22" i="161"/>
  <c r="FZ22" i="161"/>
  <c r="D37" i="161"/>
  <c r="D36" i="161"/>
  <c r="D39" i="161"/>
  <c r="D38" i="161"/>
  <c r="D31" i="161"/>
  <c r="D30" i="161"/>
  <c r="D29" i="161"/>
  <c r="D28" i="161"/>
  <c r="D27" i="161"/>
  <c r="D26" i="161"/>
  <c r="D25" i="161"/>
  <c r="D35" i="161"/>
  <c r="D34" i="161"/>
  <c r="D33" i="161"/>
  <c r="D32" i="161"/>
  <c r="AQ37" i="161"/>
  <c r="AQ36" i="161"/>
  <c r="AQ39" i="161"/>
  <c r="AQ38" i="161"/>
  <c r="AQ35" i="161"/>
  <c r="AQ31" i="161"/>
  <c r="AQ30" i="161"/>
  <c r="AQ29" i="161"/>
  <c r="AQ28" i="161"/>
  <c r="AQ27" i="161"/>
  <c r="AQ26" i="161"/>
  <c r="AQ25" i="161"/>
  <c r="AQ34" i="161"/>
  <c r="AQ33" i="161"/>
  <c r="AQ32" i="161"/>
  <c r="AY37" i="161"/>
  <c r="AY36" i="161"/>
  <c r="AY39" i="161"/>
  <c r="AY38" i="161"/>
  <c r="AY31" i="161"/>
  <c r="AY30" i="161"/>
  <c r="AY29" i="161"/>
  <c r="AY28" i="161"/>
  <c r="AY27" i="161"/>
  <c r="AY26" i="161"/>
  <c r="AY25" i="161"/>
  <c r="AY35" i="161"/>
  <c r="AY34" i="161"/>
  <c r="AY33" i="161"/>
  <c r="AY32" i="161"/>
  <c r="BG37" i="161"/>
  <c r="BG36" i="161"/>
  <c r="BG39" i="161"/>
  <c r="BG38" i="161"/>
  <c r="BG35" i="161"/>
  <c r="BG31" i="161"/>
  <c r="BG30" i="161"/>
  <c r="BG29" i="161"/>
  <c r="BG28" i="161"/>
  <c r="BG27" i="161"/>
  <c r="BG26" i="161"/>
  <c r="BG25" i="161"/>
  <c r="BG34" i="161"/>
  <c r="BG33" i="161"/>
  <c r="BG32" i="161"/>
  <c r="BO38" i="161"/>
  <c r="BO37" i="161"/>
  <c r="BO39" i="161"/>
  <c r="BO36" i="161"/>
  <c r="BO34" i="161"/>
  <c r="BO31" i="161"/>
  <c r="BO30" i="161"/>
  <c r="BO29" i="161"/>
  <c r="BO28" i="161"/>
  <c r="BO27" i="161"/>
  <c r="BO26" i="161"/>
  <c r="BO25" i="161"/>
  <c r="BO35" i="161"/>
  <c r="BO33" i="161"/>
  <c r="BO32" i="161"/>
  <c r="BW38" i="161"/>
  <c r="BW37" i="161"/>
  <c r="BW39" i="161"/>
  <c r="BW35" i="161"/>
  <c r="BW31" i="161"/>
  <c r="BW30" i="161"/>
  <c r="BW29" i="161"/>
  <c r="BW28" i="161"/>
  <c r="BW27" i="161"/>
  <c r="BW26" i="161"/>
  <c r="BW25" i="161"/>
  <c r="BW36" i="161"/>
  <c r="BW34" i="161"/>
  <c r="BW33" i="161"/>
  <c r="BW32" i="161"/>
  <c r="CE38" i="161"/>
  <c r="CE37" i="161"/>
  <c r="CE39" i="161"/>
  <c r="CE36" i="161"/>
  <c r="CE34" i="161"/>
  <c r="CE31" i="161"/>
  <c r="CE30" i="161"/>
  <c r="CE29" i="161"/>
  <c r="CE28" i="161"/>
  <c r="CE27" i="161"/>
  <c r="CE26" i="161"/>
  <c r="CE25" i="161"/>
  <c r="CE35" i="161"/>
  <c r="CE33" i="161"/>
  <c r="CE32" i="161"/>
  <c r="CO36" i="161"/>
  <c r="CO39" i="161"/>
  <c r="CO35" i="161"/>
  <c r="CO38" i="161"/>
  <c r="CO37" i="161"/>
  <c r="CO34" i="161"/>
  <c r="CO31" i="161"/>
  <c r="CO30" i="161"/>
  <c r="CO29" i="161"/>
  <c r="CO28" i="161"/>
  <c r="CO27" i="161"/>
  <c r="CO26" i="161"/>
  <c r="CO25" i="161"/>
  <c r="FV23" i="161"/>
  <c r="CO33" i="161"/>
  <c r="CO32" i="161"/>
  <c r="CS36" i="161"/>
  <c r="CS39" i="161"/>
  <c r="CS35" i="161"/>
  <c r="CS38" i="161"/>
  <c r="CS37" i="161"/>
  <c r="CS31" i="161"/>
  <c r="CS30" i="161"/>
  <c r="CS29" i="161"/>
  <c r="CS28" i="161"/>
  <c r="CS27" i="161"/>
  <c r="CS26" i="161"/>
  <c r="CS25" i="161"/>
  <c r="FZ23" i="161"/>
  <c r="CS34" i="161"/>
  <c r="CS33" i="161"/>
  <c r="CS32" i="161"/>
  <c r="FF23" i="161"/>
  <c r="AO25" i="161"/>
  <c r="BE25" i="161"/>
  <c r="BU25" i="161"/>
  <c r="CJ25" i="161"/>
  <c r="CR25" i="161"/>
  <c r="AW26" i="161"/>
  <c r="CC26" i="161"/>
  <c r="AO27" i="161"/>
  <c r="BE27" i="161"/>
  <c r="BU27" i="161"/>
  <c r="CJ27" i="161"/>
  <c r="CR27" i="161"/>
  <c r="AW28" i="161"/>
  <c r="CC28" i="161"/>
  <c r="AO29" i="161"/>
  <c r="BE29" i="161"/>
  <c r="BU29" i="161"/>
  <c r="CJ29" i="161"/>
  <c r="CR29" i="161"/>
  <c r="CT13" i="48"/>
  <c r="CH54" i="160"/>
  <c r="CF54" i="160"/>
  <c r="CD54" i="160"/>
  <c r="CB54" i="160"/>
  <c r="BZ54" i="160"/>
  <c r="BX54" i="160"/>
  <c r="BV54" i="160"/>
  <c r="BT54" i="160"/>
  <c r="BR54" i="160"/>
  <c r="BP54" i="160"/>
  <c r="BN54" i="160"/>
  <c r="BL54" i="160"/>
  <c r="BJ54" i="160"/>
  <c r="CH53" i="160"/>
  <c r="CF53" i="160"/>
  <c r="CD53" i="160"/>
  <c r="CB53" i="160"/>
  <c r="BZ53" i="160"/>
  <c r="BX53" i="160"/>
  <c r="BV53" i="160"/>
  <c r="BT53" i="160"/>
  <c r="BR53" i="160"/>
  <c r="BP53" i="160"/>
  <c r="BN53" i="160"/>
  <c r="BL53" i="160"/>
  <c r="BJ53" i="160"/>
  <c r="CH52" i="160"/>
  <c r="CF52" i="160"/>
  <c r="CD52" i="160"/>
  <c r="CB52" i="160"/>
  <c r="BZ52" i="160"/>
  <c r="BX52" i="160"/>
  <c r="BV52" i="160"/>
  <c r="BT52" i="160"/>
  <c r="BR52" i="160"/>
  <c r="BP52" i="160"/>
  <c r="BN52" i="160"/>
  <c r="BL52" i="160"/>
  <c r="BJ52" i="160"/>
  <c r="CH51" i="160"/>
  <c r="CF51" i="160"/>
  <c r="CD51" i="160"/>
  <c r="CB51" i="160"/>
  <c r="BZ51" i="160"/>
  <c r="BX51" i="160"/>
  <c r="BV51" i="160"/>
  <c r="BT51" i="160"/>
  <c r="BR51" i="160"/>
  <c r="BP51" i="160"/>
  <c r="BN51" i="160"/>
  <c r="BL51" i="160"/>
  <c r="BJ51" i="160"/>
  <c r="CH50" i="160"/>
  <c r="CF50" i="160"/>
  <c r="CD50" i="160"/>
  <c r="CB50" i="160"/>
  <c r="BZ50" i="160"/>
  <c r="BX50" i="160"/>
  <c r="BV50" i="160"/>
  <c r="BT50" i="160"/>
  <c r="BR50" i="160"/>
  <c r="BP50" i="160"/>
  <c r="BN50" i="160"/>
  <c r="BL50" i="160"/>
  <c r="BJ50" i="160"/>
  <c r="CH39" i="160"/>
  <c r="CF39" i="160"/>
  <c r="CD39" i="160"/>
  <c r="CB39" i="160"/>
  <c r="BZ39" i="160"/>
  <c r="BX39" i="160"/>
  <c r="BV39" i="160"/>
  <c r="BT39" i="160"/>
  <c r="BR39" i="160"/>
  <c r="BP39" i="160"/>
  <c r="BN39" i="160"/>
  <c r="BL39" i="160"/>
  <c r="BJ39" i="160"/>
  <c r="CH38" i="160"/>
  <c r="CF38" i="160"/>
  <c r="CD38" i="160"/>
  <c r="CB38" i="160"/>
  <c r="BZ38" i="160"/>
  <c r="BX38" i="160"/>
  <c r="BV38" i="160"/>
  <c r="BT38" i="160"/>
  <c r="BR38" i="160"/>
  <c r="BP38" i="160"/>
  <c r="BN38" i="160"/>
  <c r="BL38" i="160"/>
  <c r="BJ38" i="160"/>
  <c r="CH37" i="160"/>
  <c r="CF37" i="160"/>
  <c r="CD37" i="160"/>
  <c r="CB37" i="160"/>
  <c r="BZ37" i="160"/>
  <c r="BX37" i="160"/>
  <c r="BV37" i="160"/>
  <c r="BT37" i="160"/>
  <c r="BR37" i="160"/>
  <c r="BP37" i="160"/>
  <c r="BN37" i="160"/>
  <c r="BL37" i="160"/>
  <c r="BJ37" i="160"/>
  <c r="CH36" i="160"/>
  <c r="CF36" i="160"/>
  <c r="CD36" i="160"/>
  <c r="CB36" i="160"/>
  <c r="BZ36" i="160"/>
  <c r="BX36" i="160"/>
  <c r="BV36" i="160"/>
  <c r="BT36" i="160"/>
  <c r="BR36" i="160"/>
  <c r="BP36" i="160"/>
  <c r="BN36" i="160"/>
  <c r="BL36" i="160"/>
  <c r="BJ36" i="160"/>
  <c r="CH35" i="160"/>
  <c r="CF35" i="160"/>
  <c r="CD35" i="160"/>
  <c r="CB35" i="160"/>
  <c r="BZ35" i="160"/>
  <c r="BX35" i="160"/>
  <c r="BV35" i="160"/>
  <c r="BT35" i="160"/>
  <c r="BR35" i="160"/>
  <c r="BP35" i="160"/>
  <c r="BN35" i="160"/>
  <c r="BL35" i="160"/>
  <c r="BJ35" i="160"/>
  <c r="CU23" i="160"/>
  <c r="CU31" i="160" s="1"/>
  <c r="CT23" i="160"/>
  <c r="CS23" i="160"/>
  <c r="CR23" i="160"/>
  <c r="CQ23" i="160"/>
  <c r="CP23" i="160"/>
  <c r="CO23" i="160"/>
  <c r="CM23" i="160"/>
  <c r="CM31" i="160" s="1"/>
  <c r="CL23" i="160"/>
  <c r="CJ23" i="160"/>
  <c r="CI23" i="160"/>
  <c r="CG23" i="160"/>
  <c r="CE23" i="160"/>
  <c r="CC23" i="160"/>
  <c r="CA23" i="160"/>
  <c r="CA31" i="160" s="1"/>
  <c r="BY23" i="160"/>
  <c r="BW23" i="160"/>
  <c r="BU23" i="160"/>
  <c r="BS23" i="160"/>
  <c r="BQ23" i="160"/>
  <c r="BO23" i="160"/>
  <c r="BG23" i="160"/>
  <c r="BG33" i="160" s="1"/>
  <c r="BE23" i="160"/>
  <c r="BC23" i="160"/>
  <c r="BA23" i="160"/>
  <c r="AY23" i="160"/>
  <c r="AW23" i="160"/>
  <c r="AU23" i="160"/>
  <c r="AU31" i="160" s="1"/>
  <c r="AS23" i="160"/>
  <c r="AQ23" i="160"/>
  <c r="AQ32" i="160" s="1"/>
  <c r="AO23" i="160"/>
  <c r="AM23" i="160"/>
  <c r="D23" i="160"/>
  <c r="D33" i="160" s="1"/>
  <c r="FQ22" i="160"/>
  <c r="FO22" i="160"/>
  <c r="CU22" i="160"/>
  <c r="CT22" i="160"/>
  <c r="GA22" i="160" s="1"/>
  <c r="CS22" i="160"/>
  <c r="CR22" i="160"/>
  <c r="CQ22" i="160"/>
  <c r="CP22" i="160"/>
  <c r="FW22" i="160" s="1"/>
  <c r="CO22" i="160"/>
  <c r="CM22" i="160"/>
  <c r="CL22" i="160"/>
  <c r="CJ22" i="160"/>
  <c r="FS22" i="160" s="1"/>
  <c r="CI22" i="160"/>
  <c r="CG22" i="160"/>
  <c r="CE22" i="160"/>
  <c r="CC22" i="160"/>
  <c r="CA22" i="160"/>
  <c r="BY22" i="160"/>
  <c r="BW22" i="160"/>
  <c r="BU22" i="160"/>
  <c r="BS22" i="160"/>
  <c r="BQ22" i="160"/>
  <c r="BO22" i="160"/>
  <c r="BM22" i="160"/>
  <c r="BI22" i="160"/>
  <c r="BG22" i="160"/>
  <c r="BE22" i="160"/>
  <c r="BC22" i="160"/>
  <c r="BA22" i="160"/>
  <c r="AY22" i="160"/>
  <c r="AW22" i="160"/>
  <c r="AU22" i="160"/>
  <c r="AS22" i="160"/>
  <c r="AQ22" i="160"/>
  <c r="AO22" i="160"/>
  <c r="AM22" i="160"/>
  <c r="U22" i="160"/>
  <c r="D22" i="160"/>
  <c r="CU21" i="160"/>
  <c r="GB21" i="160" s="1"/>
  <c r="CT21" i="160"/>
  <c r="GA21" i="160" s="1"/>
  <c r="CS21" i="160"/>
  <c r="FZ21" i="160" s="1"/>
  <c r="CR21" i="160"/>
  <c r="FY21" i="160" s="1"/>
  <c r="CQ21" i="160"/>
  <c r="FX21" i="160" s="1"/>
  <c r="CP21" i="160"/>
  <c r="FW21" i="160" s="1"/>
  <c r="CO21" i="160"/>
  <c r="FV21" i="160" s="1"/>
  <c r="CM21" i="160"/>
  <c r="CL21" i="160"/>
  <c r="CJ21" i="160"/>
  <c r="CI21" i="160"/>
  <c r="CG21" i="160"/>
  <c r="CE21" i="160"/>
  <c r="CC21" i="160"/>
  <c r="CA21" i="160"/>
  <c r="BY21" i="160"/>
  <c r="BW21" i="160"/>
  <c r="BU21" i="160"/>
  <c r="BS21" i="160"/>
  <c r="BQ21" i="160"/>
  <c r="BO21" i="160"/>
  <c r="BG21" i="160"/>
  <c r="BE21" i="160"/>
  <c r="BC21" i="160"/>
  <c r="BA21" i="160"/>
  <c r="AY21" i="160"/>
  <c r="AW21" i="160"/>
  <c r="AU21" i="160"/>
  <c r="AS21" i="160"/>
  <c r="AQ21" i="160"/>
  <c r="AO21" i="160"/>
  <c r="AM21" i="160"/>
  <c r="D21" i="160"/>
  <c r="FF21" i="160" s="1"/>
  <c r="GA20" i="160"/>
  <c r="FU20" i="160"/>
  <c r="FT20" i="160"/>
  <c r="FS20" i="160"/>
  <c r="ET20" i="160"/>
  <c r="EN20" i="160"/>
  <c r="EF20" i="160"/>
  <c r="DY20" i="160"/>
  <c r="CN20" i="160"/>
  <c r="GA19" i="160"/>
  <c r="FT19" i="160"/>
  <c r="FS19" i="160"/>
  <c r="ET19" i="160"/>
  <c r="EN19" i="160"/>
  <c r="EF19" i="160"/>
  <c r="DY19" i="160"/>
  <c r="CN19" i="160"/>
  <c r="GB18" i="160"/>
  <c r="GA18" i="160"/>
  <c r="FZ18" i="160"/>
  <c r="FY18" i="160"/>
  <c r="FX18" i="160"/>
  <c r="FW18" i="160"/>
  <c r="FV18" i="160"/>
  <c r="FS18" i="160"/>
  <c r="FQ18" i="160"/>
  <c r="FO18" i="160"/>
  <c r="FR18" i="160" s="1"/>
  <c r="FF18" i="160"/>
  <c r="DQ18" i="160"/>
  <c r="DP18" i="160"/>
  <c r="DO18" i="160"/>
  <c r="DD18" i="160"/>
  <c r="CK18" i="160"/>
  <c r="BM18" i="160"/>
  <c r="BK18" i="160"/>
  <c r="BI18" i="160"/>
  <c r="E18" i="160" s="1"/>
  <c r="AK18" i="160"/>
  <c r="AI18" i="160"/>
  <c r="AG18" i="160"/>
  <c r="AE18" i="160"/>
  <c r="EY18" i="160" s="1"/>
  <c r="AC18" i="160"/>
  <c r="EX18" i="160" s="1"/>
  <c r="AA18" i="160"/>
  <c r="Y18" i="160"/>
  <c r="FM18" i="160" s="1"/>
  <c r="W18" i="160"/>
  <c r="U18" i="160"/>
  <c r="S18" i="160"/>
  <c r="Q18" i="160"/>
  <c r="O18" i="160"/>
  <c r="M18" i="160"/>
  <c r="K18" i="160"/>
  <c r="GB17" i="160"/>
  <c r="GA17" i="160"/>
  <c r="FZ17" i="160"/>
  <c r="FY17" i="160"/>
  <c r="FX17" i="160"/>
  <c r="FW17" i="160"/>
  <c r="FV17" i="160"/>
  <c r="FS17" i="160"/>
  <c r="FQ17" i="160"/>
  <c r="FO17" i="160"/>
  <c r="FR17" i="160" s="1"/>
  <c r="FF17" i="160"/>
  <c r="DQ17" i="160"/>
  <c r="DP17" i="160"/>
  <c r="DO17" i="160"/>
  <c r="DD17" i="160"/>
  <c r="CK17" i="160"/>
  <c r="FT17" i="160" s="1"/>
  <c r="BM17" i="160"/>
  <c r="BK17" i="160"/>
  <c r="BI17" i="160"/>
  <c r="AK17" i="160"/>
  <c r="I17" i="160" s="1"/>
  <c r="AI17" i="160"/>
  <c r="G17" i="160" s="1"/>
  <c r="AG17" i="160"/>
  <c r="AE17" i="160"/>
  <c r="EY17" i="160" s="1"/>
  <c r="AA17" i="160"/>
  <c r="Y17" i="160"/>
  <c r="FM17" i="160" s="1"/>
  <c r="W17" i="160"/>
  <c r="U17" i="160"/>
  <c r="S17" i="160"/>
  <c r="Q17" i="160"/>
  <c r="O17" i="160"/>
  <c r="M17" i="160"/>
  <c r="K17" i="160"/>
  <c r="E17" i="160"/>
  <c r="GB16" i="160"/>
  <c r="GA16" i="160"/>
  <c r="FZ16" i="160"/>
  <c r="FY16" i="160"/>
  <c r="FX16" i="160"/>
  <c r="FW16" i="160"/>
  <c r="FV16" i="160"/>
  <c r="FS16" i="160"/>
  <c r="FR16" i="160"/>
  <c r="FQ16" i="160"/>
  <c r="FO16" i="160"/>
  <c r="FK16" i="160"/>
  <c r="FG16" i="160"/>
  <c r="FF16" i="160"/>
  <c r="DQ16" i="160"/>
  <c r="DP16" i="160"/>
  <c r="DO16" i="160"/>
  <c r="DD16" i="160"/>
  <c r="CK16" i="160"/>
  <c r="BM16" i="160"/>
  <c r="BK16" i="160"/>
  <c r="BI16" i="160"/>
  <c r="AK16" i="160"/>
  <c r="AI16" i="160"/>
  <c r="G16" i="160" s="1"/>
  <c r="AG16" i="160"/>
  <c r="AE16" i="160"/>
  <c r="EY16" i="160" s="1"/>
  <c r="AC16" i="160"/>
  <c r="EX16" i="160" s="1"/>
  <c r="AA16" i="160"/>
  <c r="Y16" i="160"/>
  <c r="FM16" i="160" s="1"/>
  <c r="FN16" i="160" s="1"/>
  <c r="W16" i="160"/>
  <c r="DF16" i="160" s="1"/>
  <c r="U16" i="160"/>
  <c r="S16" i="160"/>
  <c r="Q16" i="160"/>
  <c r="O16" i="160"/>
  <c r="M16" i="160"/>
  <c r="K16" i="160"/>
  <c r="E16" i="160"/>
  <c r="GB15" i="160"/>
  <c r="GA15" i="160"/>
  <c r="FZ15" i="160"/>
  <c r="FY15" i="160"/>
  <c r="FX15" i="160"/>
  <c r="FW15" i="160"/>
  <c r="FV15" i="160"/>
  <c r="FU15" i="160"/>
  <c r="FT15" i="160"/>
  <c r="FS15" i="160"/>
  <c r="FR15" i="160"/>
  <c r="FQ15" i="160"/>
  <c r="FO15" i="160"/>
  <c r="FM15" i="160"/>
  <c r="FK15" i="160"/>
  <c r="FF15" i="160"/>
  <c r="DQ15" i="160"/>
  <c r="DP15" i="160"/>
  <c r="DO15" i="160"/>
  <c r="DD15" i="160"/>
  <c r="CN15" i="160"/>
  <c r="CK15" i="160"/>
  <c r="BM15" i="160"/>
  <c r="BK15" i="160"/>
  <c r="BI15" i="160"/>
  <c r="AK15" i="160"/>
  <c r="AI15" i="160"/>
  <c r="AG15" i="160"/>
  <c r="E15" i="160" s="1"/>
  <c r="AE15" i="160"/>
  <c r="EY15" i="160" s="1"/>
  <c r="AA15" i="160"/>
  <c r="Y15" i="160"/>
  <c r="W15" i="160"/>
  <c r="DF15" i="160" s="1"/>
  <c r="U15" i="160"/>
  <c r="S15" i="160"/>
  <c r="Q15" i="160"/>
  <c r="O15" i="160"/>
  <c r="M15" i="160"/>
  <c r="K15" i="160"/>
  <c r="I15" i="160"/>
  <c r="GB14" i="160"/>
  <c r="GA14" i="160"/>
  <c r="FZ14" i="160"/>
  <c r="FY14" i="160"/>
  <c r="FX14" i="160"/>
  <c r="FW14" i="160"/>
  <c r="FV14" i="160"/>
  <c r="FS14" i="160"/>
  <c r="FQ14" i="160"/>
  <c r="FO14" i="160"/>
  <c r="FR14" i="160" s="1"/>
  <c r="FF14" i="160"/>
  <c r="DQ14" i="160"/>
  <c r="DP14" i="160"/>
  <c r="DO14" i="160"/>
  <c r="CK14" i="160"/>
  <c r="FT14" i="160" s="1"/>
  <c r="BM14" i="160"/>
  <c r="BK14" i="160"/>
  <c r="BI14" i="160"/>
  <c r="AK14" i="160"/>
  <c r="AI14" i="160"/>
  <c r="G14" i="160" s="1"/>
  <c r="AG14" i="160"/>
  <c r="AE14" i="160"/>
  <c r="AC14" i="160" s="1"/>
  <c r="EX14" i="160" s="1"/>
  <c r="AA14" i="160"/>
  <c r="Y14" i="160"/>
  <c r="FM14" i="160" s="1"/>
  <c r="W14" i="160"/>
  <c r="FK14" i="160" s="1"/>
  <c r="U14" i="160"/>
  <c r="S14" i="160"/>
  <c r="Q14" i="160"/>
  <c r="O14" i="160"/>
  <c r="M14" i="160"/>
  <c r="K14" i="160"/>
  <c r="I14" i="160"/>
  <c r="GB13" i="160"/>
  <c r="GA13" i="160"/>
  <c r="FZ13" i="160"/>
  <c r="FY13" i="160"/>
  <c r="FX13" i="160"/>
  <c r="FW13" i="160"/>
  <c r="FV13" i="160"/>
  <c r="FS13" i="160"/>
  <c r="FQ13" i="160"/>
  <c r="FO13" i="160"/>
  <c r="FR13" i="160" s="1"/>
  <c r="FF13" i="160"/>
  <c r="DQ13" i="160"/>
  <c r="DP13" i="160"/>
  <c r="DO13" i="160"/>
  <c r="CK13" i="160"/>
  <c r="FT13" i="160" s="1"/>
  <c r="BM13" i="160"/>
  <c r="BK13" i="160"/>
  <c r="BI13" i="160"/>
  <c r="AK13" i="160"/>
  <c r="I13" i="160" s="1"/>
  <c r="AI13" i="160"/>
  <c r="AG13" i="160"/>
  <c r="AE13" i="160"/>
  <c r="EY13" i="160" s="1"/>
  <c r="AA13" i="160"/>
  <c r="AA22" i="160" s="1"/>
  <c r="Y13" i="160"/>
  <c r="FM13" i="160" s="1"/>
  <c r="W13" i="160"/>
  <c r="U13" i="160"/>
  <c r="S13" i="160"/>
  <c r="S22" i="160" s="1"/>
  <c r="Q13" i="160"/>
  <c r="O13" i="160"/>
  <c r="M13" i="160"/>
  <c r="K13" i="160"/>
  <c r="GB12" i="160"/>
  <c r="GA12" i="160"/>
  <c r="FZ12" i="160"/>
  <c r="FY12" i="160"/>
  <c r="FX12" i="160"/>
  <c r="FW12" i="160"/>
  <c r="FV12" i="160"/>
  <c r="FS12" i="160"/>
  <c r="FR12" i="160"/>
  <c r="FQ12" i="160"/>
  <c r="FO12" i="160"/>
  <c r="FF12" i="160"/>
  <c r="DQ12" i="160"/>
  <c r="DP12" i="160"/>
  <c r="DO12" i="160"/>
  <c r="DD12" i="160"/>
  <c r="CK12" i="160"/>
  <c r="BM12" i="160"/>
  <c r="BK12" i="160"/>
  <c r="BI12" i="160"/>
  <c r="AK12" i="160"/>
  <c r="AI12" i="160"/>
  <c r="AG12" i="160"/>
  <c r="E12" i="160" s="1"/>
  <c r="FG12" i="160" s="1"/>
  <c r="AE12" i="160"/>
  <c r="EY12" i="160" s="1"/>
  <c r="AC12" i="160"/>
  <c r="EX12" i="160" s="1"/>
  <c r="AA12" i="160"/>
  <c r="Y12" i="160"/>
  <c r="FM12" i="160" s="1"/>
  <c r="FN12" i="160" s="1"/>
  <c r="W12" i="160"/>
  <c r="FK12" i="160" s="1"/>
  <c r="U12" i="160"/>
  <c r="S12" i="160"/>
  <c r="Q12" i="160"/>
  <c r="O12" i="160"/>
  <c r="M12" i="160"/>
  <c r="K12" i="160"/>
  <c r="GB11" i="160"/>
  <c r="GA11" i="160"/>
  <c r="FZ11" i="160"/>
  <c r="FY11" i="160"/>
  <c r="FX11" i="160"/>
  <c r="FW11" i="160"/>
  <c r="FV11" i="160"/>
  <c r="FS11" i="160"/>
  <c r="FR11" i="160"/>
  <c r="FQ11" i="160"/>
  <c r="FO11" i="160"/>
  <c r="FK11" i="160"/>
  <c r="FG11" i="160"/>
  <c r="FF11" i="160"/>
  <c r="DQ11" i="160"/>
  <c r="DP11" i="160"/>
  <c r="DO11" i="160"/>
  <c r="DD11" i="160"/>
  <c r="CK11" i="160"/>
  <c r="FT11" i="160" s="1"/>
  <c r="BM11" i="160"/>
  <c r="I11" i="160" s="1"/>
  <c r="BK11" i="160"/>
  <c r="BI11" i="160"/>
  <c r="AK11" i="160"/>
  <c r="AI11" i="160"/>
  <c r="G11" i="160" s="1"/>
  <c r="AG11" i="160"/>
  <c r="E11" i="160" s="1"/>
  <c r="AE11" i="160"/>
  <c r="EY11" i="160" s="1"/>
  <c r="AC11" i="160"/>
  <c r="EX11" i="160" s="1"/>
  <c r="EF11" i="160" s="1"/>
  <c r="AA11" i="160"/>
  <c r="Y11" i="160"/>
  <c r="FM11" i="160" s="1"/>
  <c r="W11" i="160"/>
  <c r="DF11" i="160" s="1"/>
  <c r="U11" i="160"/>
  <c r="S11" i="160"/>
  <c r="Q11" i="160"/>
  <c r="O11" i="160"/>
  <c r="M11" i="160"/>
  <c r="K11" i="160"/>
  <c r="GB10" i="160"/>
  <c r="GA10" i="160"/>
  <c r="FZ10" i="160"/>
  <c r="FY10" i="160"/>
  <c r="FX10" i="160"/>
  <c r="FW10" i="160"/>
  <c r="FV10" i="160"/>
  <c r="FU10" i="160"/>
  <c r="FT10" i="160"/>
  <c r="FS10" i="160"/>
  <c r="FQ10" i="160"/>
  <c r="FO10" i="160"/>
  <c r="FR10" i="160" s="1"/>
  <c r="FK10" i="160"/>
  <c r="FF10" i="160"/>
  <c r="EY10" i="160"/>
  <c r="DQ10" i="160"/>
  <c r="DP10" i="160"/>
  <c r="DO10" i="160"/>
  <c r="DG10" i="160"/>
  <c r="CN10" i="160"/>
  <c r="CK10" i="160"/>
  <c r="BM10" i="160"/>
  <c r="BK10" i="160"/>
  <c r="BI10" i="160"/>
  <c r="AK10" i="160"/>
  <c r="AI10" i="160"/>
  <c r="AG10" i="160"/>
  <c r="E10" i="160" s="1"/>
  <c r="AE10" i="160"/>
  <c r="AC10" i="160" s="1"/>
  <c r="EX10" i="160" s="1"/>
  <c r="DY10" i="160" s="1"/>
  <c r="AA10" i="160"/>
  <c r="Y10" i="160"/>
  <c r="FM10" i="160" s="1"/>
  <c r="W10" i="160"/>
  <c r="DF10" i="160" s="1"/>
  <c r="U10" i="160"/>
  <c r="S10" i="160"/>
  <c r="Q10" i="160"/>
  <c r="O10" i="160"/>
  <c r="M10" i="160"/>
  <c r="K10" i="160"/>
  <c r="I10" i="160"/>
  <c r="G10" i="160"/>
  <c r="GB9" i="160"/>
  <c r="GA9" i="160"/>
  <c r="FZ9" i="160"/>
  <c r="FY9" i="160"/>
  <c r="FX9" i="160"/>
  <c r="FW9" i="160"/>
  <c r="FV9" i="160"/>
  <c r="FS9" i="160"/>
  <c r="FQ9" i="160"/>
  <c r="FO9" i="160"/>
  <c r="FR9" i="160" s="1"/>
  <c r="FN9" i="160"/>
  <c r="FF9" i="160"/>
  <c r="DQ9" i="160"/>
  <c r="DP9" i="160"/>
  <c r="DO9" i="160"/>
  <c r="CK9" i="160"/>
  <c r="CN9" i="160" s="1"/>
  <c r="FU9" i="160" s="1"/>
  <c r="BM9" i="160"/>
  <c r="BK9" i="160"/>
  <c r="BI9" i="160"/>
  <c r="AK9" i="160"/>
  <c r="I9" i="160" s="1"/>
  <c r="I22" i="160" s="1"/>
  <c r="AI9" i="160"/>
  <c r="G9" i="160" s="1"/>
  <c r="AG9" i="160"/>
  <c r="AE9" i="160"/>
  <c r="EY9" i="160" s="1"/>
  <c r="AC9" i="160"/>
  <c r="EX9" i="160" s="1"/>
  <c r="AA9" i="160"/>
  <c r="Y9" i="160"/>
  <c r="FM9" i="160" s="1"/>
  <c r="W9" i="160"/>
  <c r="FK9" i="160" s="1"/>
  <c r="U9" i="160"/>
  <c r="S9" i="160"/>
  <c r="Q9" i="160"/>
  <c r="Q22" i="160" s="1"/>
  <c r="O9" i="160"/>
  <c r="M9" i="160"/>
  <c r="K9" i="160"/>
  <c r="E9" i="160"/>
  <c r="GB8" i="160"/>
  <c r="GA8" i="160"/>
  <c r="FZ8" i="160"/>
  <c r="FY8" i="160"/>
  <c r="FX8" i="160"/>
  <c r="FW8" i="160"/>
  <c r="FV8" i="160"/>
  <c r="FS8" i="160"/>
  <c r="FQ8" i="160"/>
  <c r="FR8" i="160" s="1"/>
  <c r="FO8" i="160"/>
  <c r="FF8" i="160"/>
  <c r="DQ8" i="160"/>
  <c r="DP8" i="160"/>
  <c r="DO8" i="160"/>
  <c r="DD8" i="160"/>
  <c r="CK8" i="160"/>
  <c r="FT8" i="160" s="1"/>
  <c r="BM8" i="160"/>
  <c r="BK8" i="160"/>
  <c r="BI8" i="160"/>
  <c r="AK8" i="160"/>
  <c r="AI8" i="160"/>
  <c r="AG8" i="160"/>
  <c r="E8" i="160" s="1"/>
  <c r="AE8" i="160"/>
  <c r="EY8" i="160" s="1"/>
  <c r="AC8" i="160"/>
  <c r="EX8" i="160" s="1"/>
  <c r="AA8" i="160"/>
  <c r="Y8" i="160"/>
  <c r="FM8" i="160" s="1"/>
  <c r="W8" i="160"/>
  <c r="U8" i="160"/>
  <c r="S8" i="160"/>
  <c r="Q8" i="160"/>
  <c r="O8" i="160"/>
  <c r="M8" i="160"/>
  <c r="K8" i="160"/>
  <c r="GB7" i="160"/>
  <c r="GA7" i="160"/>
  <c r="FZ7" i="160"/>
  <c r="FY7" i="160"/>
  <c r="FX7" i="160"/>
  <c r="FW7" i="160"/>
  <c r="FV7" i="160"/>
  <c r="FT7" i="160"/>
  <c r="FS7" i="160"/>
  <c r="FQ7" i="160"/>
  <c r="FO7" i="160"/>
  <c r="FR7" i="160" s="1"/>
  <c r="FF7" i="160"/>
  <c r="DQ7" i="160"/>
  <c r="DP7" i="160"/>
  <c r="DO7" i="160"/>
  <c r="CN7" i="160"/>
  <c r="FU7" i="160" s="1"/>
  <c r="CK7" i="160"/>
  <c r="BM7" i="160"/>
  <c r="BK7" i="160"/>
  <c r="G7" i="160" s="1"/>
  <c r="FI7" i="160" s="1"/>
  <c r="BI7" i="160"/>
  <c r="AK7" i="160"/>
  <c r="I7" i="160" s="1"/>
  <c r="AI7" i="160"/>
  <c r="AG7" i="160"/>
  <c r="E7" i="160" s="1"/>
  <c r="AE7" i="160"/>
  <c r="AC7" i="160" s="1"/>
  <c r="EX7" i="160" s="1"/>
  <c r="AA7" i="160"/>
  <c r="Y7" i="160"/>
  <c r="FM7" i="160" s="1"/>
  <c r="W7" i="160"/>
  <c r="FK7" i="160" s="1"/>
  <c r="U7" i="160"/>
  <c r="S7" i="160"/>
  <c r="Q7" i="160"/>
  <c r="O7" i="160"/>
  <c r="M7" i="160"/>
  <c r="K7" i="160"/>
  <c r="GB6" i="160"/>
  <c r="GA6" i="160"/>
  <c r="FZ6" i="160"/>
  <c r="FY6" i="160"/>
  <c r="FX6" i="160"/>
  <c r="FW6" i="160"/>
  <c r="FV6" i="160"/>
  <c r="FS6" i="160"/>
  <c r="FQ6" i="160"/>
  <c r="FO6" i="160"/>
  <c r="FR6" i="160" s="1"/>
  <c r="FF6" i="160"/>
  <c r="DQ6" i="160"/>
  <c r="DP6" i="160"/>
  <c r="DO6" i="160"/>
  <c r="DD6" i="160"/>
  <c r="CK6" i="160"/>
  <c r="CN6" i="160" s="1"/>
  <c r="FU6" i="160" s="1"/>
  <c r="BM6" i="160"/>
  <c r="BK6" i="160"/>
  <c r="BI6" i="160"/>
  <c r="AK6" i="160"/>
  <c r="I6" i="160" s="1"/>
  <c r="AI6" i="160"/>
  <c r="G6" i="160" s="1"/>
  <c r="FI6" i="160" s="1"/>
  <c r="AG6" i="160"/>
  <c r="AE6" i="160"/>
  <c r="EY6" i="160" s="1"/>
  <c r="AC6" i="160"/>
  <c r="EX6" i="160" s="1"/>
  <c r="AA6" i="160"/>
  <c r="Y6" i="160"/>
  <c r="FM6" i="160" s="1"/>
  <c r="W6" i="160"/>
  <c r="U6" i="160"/>
  <c r="S6" i="160"/>
  <c r="Q6" i="160"/>
  <c r="O6" i="160"/>
  <c r="M6" i="160"/>
  <c r="K6" i="160"/>
  <c r="E6" i="160"/>
  <c r="FG6" i="160" s="1"/>
  <c r="GB5" i="160"/>
  <c r="GA5" i="160"/>
  <c r="FZ5" i="160"/>
  <c r="FY5" i="160"/>
  <c r="FX5" i="160"/>
  <c r="FW5" i="160"/>
  <c r="FV5" i="160"/>
  <c r="FS5" i="160"/>
  <c r="FR5" i="160"/>
  <c r="FQ5" i="160"/>
  <c r="FO5" i="160"/>
  <c r="FF5" i="160"/>
  <c r="DQ5" i="160"/>
  <c r="DP5" i="160"/>
  <c r="DO5" i="160"/>
  <c r="BM5" i="160"/>
  <c r="BK5" i="160"/>
  <c r="BI5" i="160"/>
  <c r="AK5" i="160"/>
  <c r="I5" i="160" s="1"/>
  <c r="AI5" i="160"/>
  <c r="G5" i="160" s="1"/>
  <c r="AG5" i="160"/>
  <c r="E5" i="160" s="1"/>
  <c r="AE5" i="160"/>
  <c r="EY5" i="160" s="1"/>
  <c r="AC5" i="160"/>
  <c r="EX5" i="160" s="1"/>
  <c r="AA5" i="160"/>
  <c r="Y5" i="160"/>
  <c r="FM5" i="160" s="1"/>
  <c r="W5" i="160"/>
  <c r="FK5" i="160" s="1"/>
  <c r="U5" i="160"/>
  <c r="S5" i="160"/>
  <c r="Q5" i="160"/>
  <c r="O5" i="160"/>
  <c r="M5" i="160"/>
  <c r="K5" i="160"/>
  <c r="GB4" i="160"/>
  <c r="GA4" i="160"/>
  <c r="FZ4" i="160"/>
  <c r="FY4" i="160"/>
  <c r="FX4" i="160"/>
  <c r="FW4" i="160"/>
  <c r="FV4" i="160"/>
  <c r="FS4" i="160"/>
  <c r="FQ4" i="160"/>
  <c r="FO4" i="160"/>
  <c r="FF4" i="160"/>
  <c r="DQ4" i="160"/>
  <c r="DP4" i="160"/>
  <c r="DO4" i="160"/>
  <c r="CK4" i="160"/>
  <c r="BM4" i="160"/>
  <c r="BK4" i="160"/>
  <c r="BI4" i="160"/>
  <c r="AK4" i="160"/>
  <c r="I4" i="160" s="1"/>
  <c r="AI4" i="160"/>
  <c r="AG4" i="160"/>
  <c r="AE4" i="160"/>
  <c r="AC4" i="160"/>
  <c r="AA4" i="160"/>
  <c r="Y4" i="160"/>
  <c r="FM4" i="160" s="1"/>
  <c r="W4" i="160"/>
  <c r="FK4" i="160" s="1"/>
  <c r="U4" i="160"/>
  <c r="S4" i="160"/>
  <c r="Q4" i="160"/>
  <c r="O4" i="160"/>
  <c r="M4" i="160"/>
  <c r="K4" i="160"/>
  <c r="D23" i="107"/>
  <c r="D22" i="107"/>
  <c r="DU19" i="165" l="1"/>
  <c r="EG19" i="165" s="1"/>
  <c r="EQ5" i="165"/>
  <c r="EH8" i="165"/>
  <c r="EH18" i="165"/>
  <c r="EH10" i="165"/>
  <c r="EH13" i="165"/>
  <c r="DU13" i="165"/>
  <c r="EG13" i="165" s="1"/>
  <c r="EH9" i="165"/>
  <c r="EH14" i="165"/>
  <c r="EH12" i="165"/>
  <c r="EH11" i="165"/>
  <c r="DU11" i="165"/>
  <c r="DU9" i="165"/>
  <c r="EG9" i="165" s="1"/>
  <c r="DU17" i="165"/>
  <c r="EG17" i="165" s="1"/>
  <c r="DU5" i="165"/>
  <c r="EG5" i="165" s="1"/>
  <c r="CY5" i="165" s="1"/>
  <c r="GE5" i="165" s="1"/>
  <c r="EG12" i="165"/>
  <c r="EG10" i="165"/>
  <c r="DU14" i="165"/>
  <c r="EG8" i="165"/>
  <c r="CY8" i="165" s="1"/>
  <c r="GE8" i="165" s="1"/>
  <c r="EH15" i="165"/>
  <c r="EH16" i="165"/>
  <c r="EH6" i="165"/>
  <c r="EG4" i="165"/>
  <c r="EG18" i="165"/>
  <c r="EH7" i="165"/>
  <c r="EG15" i="165"/>
  <c r="EG16" i="165"/>
  <c r="CY16" i="165" s="1"/>
  <c r="GE16" i="165" s="1"/>
  <c r="EG6" i="165"/>
  <c r="CY6" i="165" s="1"/>
  <c r="GE6" i="165" s="1"/>
  <c r="DU7" i="165"/>
  <c r="EH5" i="165"/>
  <c r="EH17" i="165"/>
  <c r="EH4" i="165"/>
  <c r="EX50" i="164"/>
  <c r="EX47" i="164"/>
  <c r="GL14" i="164" s="1"/>
  <c r="GN14" i="164" s="1"/>
  <c r="EX53" i="164"/>
  <c r="EX43" i="164"/>
  <c r="EX49" i="164"/>
  <c r="EX41" i="164"/>
  <c r="DZ20" i="164" s="1"/>
  <c r="EC20" i="164" s="1"/>
  <c r="EA20" i="164" s="1"/>
  <c r="EX51" i="164"/>
  <c r="EX48" i="164"/>
  <c r="EX40" i="164"/>
  <c r="DZ19" i="164" s="1"/>
  <c r="EC19" i="164" s="1"/>
  <c r="EA19" i="164" s="1"/>
  <c r="EZ22" i="164"/>
  <c r="GL16" i="164"/>
  <c r="GN16" i="164" s="1"/>
  <c r="CV22" i="164"/>
  <c r="GC6" i="164"/>
  <c r="GL13" i="164"/>
  <c r="GN13" i="164" s="1"/>
  <c r="GL15" i="164"/>
  <c r="GN15" i="164" s="1"/>
  <c r="EN18" i="164"/>
  <c r="EL18" i="164" s="1"/>
  <c r="EN9" i="164"/>
  <c r="EL9" i="164" s="1"/>
  <c r="EZ46" i="164"/>
  <c r="EZ54" i="164"/>
  <c r="EZ52" i="164"/>
  <c r="EZ44" i="164"/>
  <c r="EZ42" i="164"/>
  <c r="EZ45" i="164"/>
  <c r="EN16" i="164"/>
  <c r="EL16" i="164" s="1"/>
  <c r="EN10" i="164"/>
  <c r="EL10" i="164" s="1"/>
  <c r="EN6" i="164"/>
  <c r="EX52" i="164"/>
  <c r="GL18" i="164" s="1"/>
  <c r="GN18" i="164" s="1"/>
  <c r="EX46" i="164"/>
  <c r="EX42" i="164"/>
  <c r="EX45" i="164"/>
  <c r="EX54" i="164"/>
  <c r="EX44" i="164"/>
  <c r="EL6" i="164"/>
  <c r="EO6" i="164" s="1"/>
  <c r="ET10" i="163"/>
  <c r="ET17" i="163"/>
  <c r="ET15" i="163"/>
  <c r="DZ5" i="163"/>
  <c r="EC5" i="163" s="1"/>
  <c r="EA5" i="163" s="1"/>
  <c r="EK5" i="163" s="1"/>
  <c r="DZ9" i="163"/>
  <c r="EC9" i="163" s="1"/>
  <c r="EA9" i="163" s="1"/>
  <c r="DZ10" i="163"/>
  <c r="EJ11" i="163"/>
  <c r="GM15" i="163"/>
  <c r="GN15" i="163" s="1"/>
  <c r="EN13" i="163"/>
  <c r="EZ51" i="163"/>
  <c r="EZ41" i="163"/>
  <c r="EZ53" i="163"/>
  <c r="EZ48" i="163"/>
  <c r="EZ40" i="163"/>
  <c r="EZ49" i="163"/>
  <c r="EZ47" i="163"/>
  <c r="EZ52" i="163"/>
  <c r="EZ43" i="163"/>
  <c r="EL13" i="163"/>
  <c r="GM18" i="163"/>
  <c r="GN18" i="163" s="1"/>
  <c r="EN17" i="163"/>
  <c r="EL17" i="163" s="1"/>
  <c r="GM16" i="163"/>
  <c r="GN16" i="163" s="1"/>
  <c r="DW19" i="163"/>
  <c r="EN4" i="163"/>
  <c r="EL4" i="163" s="1"/>
  <c r="DZ19" i="163"/>
  <c r="EC19" i="163" s="1"/>
  <c r="EA19" i="163" s="1"/>
  <c r="DW20" i="163"/>
  <c r="DZ20" i="163"/>
  <c r="EC20" i="163" s="1"/>
  <c r="EA20" i="163" s="1"/>
  <c r="GM12" i="163"/>
  <c r="GN12" i="163" s="1"/>
  <c r="EN5" i="163"/>
  <c r="EL5" i="163" s="1"/>
  <c r="GM14" i="163"/>
  <c r="GN14" i="163" s="1"/>
  <c r="EJ7" i="163"/>
  <c r="EJ13" i="163"/>
  <c r="EH13" i="163" s="1"/>
  <c r="ET4" i="163"/>
  <c r="EJ19" i="163"/>
  <c r="DX19" i="163"/>
  <c r="EC10" i="163"/>
  <c r="EA10" i="163" s="1"/>
  <c r="DX20" i="163"/>
  <c r="ET5" i="163"/>
  <c r="EJ20" i="163"/>
  <c r="DZ6" i="163"/>
  <c r="EC6" i="163" s="1"/>
  <c r="EA6" i="163" s="1"/>
  <c r="EE10" i="163"/>
  <c r="DZ7" i="163"/>
  <c r="EC7" i="163" s="1"/>
  <c r="EA7" i="163" s="1"/>
  <c r="EK7" i="163" s="1"/>
  <c r="EJ10" i="163"/>
  <c r="EJ5" i="163"/>
  <c r="DX15" i="163"/>
  <c r="ET14" i="163"/>
  <c r="ET8" i="163"/>
  <c r="EL14" i="163"/>
  <c r="EP14" i="163" s="1"/>
  <c r="EP18" i="163"/>
  <c r="EQ18" i="163" s="1"/>
  <c r="EA8" i="163"/>
  <c r="EK8" i="163" s="1"/>
  <c r="EJ12" i="163"/>
  <c r="EJ8" i="163"/>
  <c r="GL4" i="163"/>
  <c r="GN4" i="163" s="1"/>
  <c r="GL6" i="163"/>
  <c r="DZ12" i="163"/>
  <c r="EC12" i="163" s="1"/>
  <c r="EA12" i="163" s="1"/>
  <c r="EK12" i="163" s="1"/>
  <c r="GL9" i="163"/>
  <c r="GN9" i="163" s="1"/>
  <c r="EO13" i="164"/>
  <c r="EP13" i="164"/>
  <c r="EO15" i="164"/>
  <c r="EP15" i="164"/>
  <c r="EO4" i="164"/>
  <c r="EP4" i="164"/>
  <c r="CV23" i="164"/>
  <c r="CV21" i="164"/>
  <c r="GC21" i="164" s="1"/>
  <c r="GC4" i="164"/>
  <c r="GM8" i="164"/>
  <c r="DL13" i="164"/>
  <c r="DW13" i="164"/>
  <c r="DL18" i="164"/>
  <c r="DW18" i="164"/>
  <c r="EO17" i="164"/>
  <c r="EP17" i="164"/>
  <c r="ED19" i="164"/>
  <c r="EO7" i="164"/>
  <c r="EP7" i="164"/>
  <c r="FJ23" i="164"/>
  <c r="DL6" i="164"/>
  <c r="DW6" i="164"/>
  <c r="DL10" i="164"/>
  <c r="DW10" i="164"/>
  <c r="DL12" i="164"/>
  <c r="DW12" i="164"/>
  <c r="GM10" i="164"/>
  <c r="DL17" i="164"/>
  <c r="DW17" i="164"/>
  <c r="ED20" i="164"/>
  <c r="EO12" i="164"/>
  <c r="EP12" i="164"/>
  <c r="EO14" i="164"/>
  <c r="EP14" i="164"/>
  <c r="EO11" i="164"/>
  <c r="EP11" i="164"/>
  <c r="DL4" i="164"/>
  <c r="DW4" i="164"/>
  <c r="EI4" i="164" s="1"/>
  <c r="DL8" i="164"/>
  <c r="DW8" i="164"/>
  <c r="DL16" i="164"/>
  <c r="DW16" i="164"/>
  <c r="DL14" i="164"/>
  <c r="DW14" i="164"/>
  <c r="EZ37" i="164"/>
  <c r="EZ39" i="164"/>
  <c r="EZ38" i="164"/>
  <c r="EZ36" i="164"/>
  <c r="EZ35" i="164"/>
  <c r="EZ34" i="164"/>
  <c r="EZ33" i="164"/>
  <c r="EZ32" i="164"/>
  <c r="EZ30" i="164"/>
  <c r="EZ29" i="164"/>
  <c r="EZ28" i="164"/>
  <c r="EZ27" i="164"/>
  <c r="EZ26" i="164"/>
  <c r="EZ25" i="164"/>
  <c r="EZ31" i="164"/>
  <c r="GM5" i="164"/>
  <c r="DL7" i="164"/>
  <c r="DW7" i="164"/>
  <c r="EO8" i="164"/>
  <c r="EP8" i="164"/>
  <c r="EX39" i="164"/>
  <c r="DZ18" i="164" s="1"/>
  <c r="EC18" i="164" s="1"/>
  <c r="EA18" i="164" s="1"/>
  <c r="EX38" i="164"/>
  <c r="GL10" i="164" s="1"/>
  <c r="EX35" i="164"/>
  <c r="DZ14" i="164" s="1"/>
  <c r="EC14" i="164" s="1"/>
  <c r="EA14" i="164" s="1"/>
  <c r="EX34" i="164"/>
  <c r="GL8" i="164" s="1"/>
  <c r="EX33" i="164"/>
  <c r="DZ12" i="164" s="1"/>
  <c r="EC12" i="164" s="1"/>
  <c r="EA12" i="164" s="1"/>
  <c r="EX32" i="164"/>
  <c r="EX31" i="164"/>
  <c r="DZ10" i="164" s="1"/>
  <c r="EC10" i="164" s="1"/>
  <c r="EA10" i="164" s="1"/>
  <c r="EX37" i="164"/>
  <c r="DZ16" i="164" s="1"/>
  <c r="EC16" i="164" s="1"/>
  <c r="EA16" i="164" s="1"/>
  <c r="EX36" i="164"/>
  <c r="EX30" i="164"/>
  <c r="GL6" i="164" s="1"/>
  <c r="EX29" i="164"/>
  <c r="DZ8" i="164" s="1"/>
  <c r="EC8" i="164" s="1"/>
  <c r="EA8" i="164" s="1"/>
  <c r="EX28" i="164"/>
  <c r="DZ7" i="164" s="1"/>
  <c r="EC7" i="164" s="1"/>
  <c r="EA7" i="164" s="1"/>
  <c r="EX27" i="164"/>
  <c r="DZ6" i="164" s="1"/>
  <c r="EC6" i="164" s="1"/>
  <c r="EA6" i="164" s="1"/>
  <c r="EX26" i="164"/>
  <c r="GL4" i="164" s="1"/>
  <c r="EX25" i="164"/>
  <c r="DZ4" i="164" s="1"/>
  <c r="EC4" i="164" s="1"/>
  <c r="EA4" i="164" s="1"/>
  <c r="GM4" i="164"/>
  <c r="DL5" i="164"/>
  <c r="DZ5" i="164"/>
  <c r="EC5" i="164" s="1"/>
  <c r="EA5" i="164" s="1"/>
  <c r="DW5" i="164"/>
  <c r="DZ9" i="164"/>
  <c r="EC9" i="164" s="1"/>
  <c r="EA9" i="164" s="1"/>
  <c r="GM6" i="164"/>
  <c r="DL9" i="164"/>
  <c r="DW9" i="164"/>
  <c r="DZ11" i="164"/>
  <c r="EC11" i="164" s="1"/>
  <c r="EA11" i="164" s="1"/>
  <c r="DW11" i="164"/>
  <c r="GM7" i="164"/>
  <c r="DL11" i="164"/>
  <c r="DZ15" i="164"/>
  <c r="EC15" i="164" s="1"/>
  <c r="EA15" i="164" s="1"/>
  <c r="GM9" i="164"/>
  <c r="DL15" i="164"/>
  <c r="DW15" i="164"/>
  <c r="EO5" i="164"/>
  <c r="EP5" i="164"/>
  <c r="GL9" i="164"/>
  <c r="GL7" i="164"/>
  <c r="EO9" i="163"/>
  <c r="EP9" i="163"/>
  <c r="ED13" i="163"/>
  <c r="EK13" i="163"/>
  <c r="ED9" i="163"/>
  <c r="EK9" i="163"/>
  <c r="ED18" i="163"/>
  <c r="EK18" i="163"/>
  <c r="EK16" i="163"/>
  <c r="ED16" i="163"/>
  <c r="EO13" i="163"/>
  <c r="EP13" i="163"/>
  <c r="ED6" i="163"/>
  <c r="EK6" i="163"/>
  <c r="ED14" i="163"/>
  <c r="EK14" i="163"/>
  <c r="EO8" i="163"/>
  <c r="EP8" i="163"/>
  <c r="EO16" i="163"/>
  <c r="EP16" i="163"/>
  <c r="ED7" i="163"/>
  <c r="ED15" i="163"/>
  <c r="EK15" i="163"/>
  <c r="EO11" i="163"/>
  <c r="EP11" i="163"/>
  <c r="EJ6" i="163"/>
  <c r="GN6" i="163"/>
  <c r="EJ14" i="163"/>
  <c r="DZ11" i="163"/>
  <c r="EC11" i="163" s="1"/>
  <c r="EA11" i="163" s="1"/>
  <c r="EC4" i="163"/>
  <c r="EA4" i="163" s="1"/>
  <c r="DX4" i="163"/>
  <c r="DX8" i="163"/>
  <c r="DX14" i="163"/>
  <c r="EI10" i="163"/>
  <c r="DV10" i="163"/>
  <c r="DV6" i="163"/>
  <c r="EI6" i="163"/>
  <c r="ED20" i="163"/>
  <c r="EK20" i="163"/>
  <c r="EO6" i="163"/>
  <c r="EP6" i="163"/>
  <c r="EJ9" i="163"/>
  <c r="DV12" i="163"/>
  <c r="EI12" i="163"/>
  <c r="DV8" i="163"/>
  <c r="EI8" i="163"/>
  <c r="EJ4" i="163"/>
  <c r="DX7" i="163"/>
  <c r="DX11" i="163"/>
  <c r="DX13" i="163"/>
  <c r="ED17" i="163"/>
  <c r="EK17" i="163"/>
  <c r="EH17" i="163" s="1"/>
  <c r="EI15" i="163"/>
  <c r="DV15" i="163"/>
  <c r="EO12" i="163"/>
  <c r="EP12" i="163"/>
  <c r="EI16" i="163"/>
  <c r="DV16" i="163"/>
  <c r="EJ15" i="163"/>
  <c r="EO4" i="163"/>
  <c r="EP4" i="163"/>
  <c r="EO7" i="163"/>
  <c r="EP7" i="163"/>
  <c r="EI9" i="163"/>
  <c r="DV9" i="163"/>
  <c r="EO14" i="163"/>
  <c r="DV18" i="163"/>
  <c r="EI18" i="163"/>
  <c r="DV14" i="163"/>
  <c r="EI14" i="163"/>
  <c r="EO15" i="163"/>
  <c r="EP15" i="163"/>
  <c r="GL7" i="163"/>
  <c r="GN7" i="163" s="1"/>
  <c r="GL8" i="163"/>
  <c r="GN8" i="163" s="1"/>
  <c r="EJ18" i="163"/>
  <c r="EI11" i="163"/>
  <c r="DV11" i="163"/>
  <c r="DX5" i="163"/>
  <c r="DX9" i="163"/>
  <c r="DX16" i="163"/>
  <c r="DX17" i="163"/>
  <c r="EK19" i="163"/>
  <c r="ED19" i="163"/>
  <c r="EI7" i="163"/>
  <c r="DV7" i="163"/>
  <c r="DV4" i="163"/>
  <c r="EI4" i="163"/>
  <c r="GL5" i="163"/>
  <c r="GN5" i="163" s="1"/>
  <c r="GL10" i="163"/>
  <c r="GN10" i="163" s="1"/>
  <c r="EO10" i="163"/>
  <c r="EP10" i="163"/>
  <c r="EJ16" i="163"/>
  <c r="DX6" i="163"/>
  <c r="DX10" i="163"/>
  <c r="DX12" i="163"/>
  <c r="DX18" i="163"/>
  <c r="AC50" i="162"/>
  <c r="EP20" i="162"/>
  <c r="EQ20" i="162" s="1"/>
  <c r="EN9" i="162"/>
  <c r="DH5" i="162"/>
  <c r="CN48" i="162"/>
  <c r="EB12" i="162" s="1"/>
  <c r="CN43" i="162"/>
  <c r="EB7" i="162" s="1"/>
  <c r="EE7" i="162" s="1"/>
  <c r="CN51" i="162"/>
  <c r="EB15" i="162" s="1"/>
  <c r="EE15" i="162" s="1"/>
  <c r="EX50" i="162"/>
  <c r="EX42" i="162"/>
  <c r="EX54" i="162"/>
  <c r="EX47" i="162"/>
  <c r="EX41" i="162"/>
  <c r="EX44" i="162"/>
  <c r="EX52" i="162"/>
  <c r="EX45" i="162"/>
  <c r="AC54" i="162"/>
  <c r="AC52" i="162"/>
  <c r="AC44" i="162"/>
  <c r="AC47" i="162"/>
  <c r="AC45" i="162"/>
  <c r="G42" i="162"/>
  <c r="EN6" i="162" s="1"/>
  <c r="FI22" i="162"/>
  <c r="FJ22" i="162" s="1"/>
  <c r="G47" i="162"/>
  <c r="EN11" i="162" s="1"/>
  <c r="FA22" i="162"/>
  <c r="DA22" i="162" s="1"/>
  <c r="GG22" i="162" s="1"/>
  <c r="G41" i="162"/>
  <c r="EN5" i="162" s="1"/>
  <c r="G50" i="162"/>
  <c r="EN14" i="162" s="1"/>
  <c r="G54" i="162"/>
  <c r="EN18" i="162" s="1"/>
  <c r="EL18" i="162" s="1"/>
  <c r="DG22" i="162"/>
  <c r="CX22" i="162" s="1"/>
  <c r="GD22" i="162" s="1"/>
  <c r="CN40" i="162"/>
  <c r="EB4" i="162" s="1"/>
  <c r="EE4" i="162" s="1"/>
  <c r="CN53" i="162"/>
  <c r="EB17" i="162" s="1"/>
  <c r="EE17" i="162" s="1"/>
  <c r="G44" i="162"/>
  <c r="EN8" i="162" s="1"/>
  <c r="G52" i="162"/>
  <c r="EN16" i="162" s="1"/>
  <c r="CN46" i="162"/>
  <c r="EB10" i="162" s="1"/>
  <c r="EE10" i="162" s="1"/>
  <c r="CN49" i="162"/>
  <c r="EB13" i="162" s="1"/>
  <c r="EE13" i="162" s="1"/>
  <c r="CN27" i="162"/>
  <c r="CN37" i="162"/>
  <c r="EP19" i="162"/>
  <c r="EQ19" i="162" s="1"/>
  <c r="EM4" i="162"/>
  <c r="CN26" i="162"/>
  <c r="CN30" i="162"/>
  <c r="FU23" i="162"/>
  <c r="CN35" i="162"/>
  <c r="CN32" i="162"/>
  <c r="CN29" i="162"/>
  <c r="DH4" i="162"/>
  <c r="EY47" i="162"/>
  <c r="GL14" i="162" s="1"/>
  <c r="EY42" i="162"/>
  <c r="EY50" i="162"/>
  <c r="EY52" i="162"/>
  <c r="EY41" i="162"/>
  <c r="EY44" i="162"/>
  <c r="EZ22" i="162"/>
  <c r="EY54" i="162"/>
  <c r="EY45" i="162"/>
  <c r="G51" i="162"/>
  <c r="GM16" i="162" s="1"/>
  <c r="G53" i="162"/>
  <c r="EY49" i="162"/>
  <c r="EY51" i="162"/>
  <c r="I49" i="162"/>
  <c r="I51" i="162"/>
  <c r="AC49" i="162"/>
  <c r="AC51" i="162"/>
  <c r="G48" i="162"/>
  <c r="EN12" i="162" s="1"/>
  <c r="G49" i="162"/>
  <c r="EY46" i="162"/>
  <c r="EY48" i="162"/>
  <c r="I46" i="162"/>
  <c r="I48" i="162"/>
  <c r="AC46" i="162"/>
  <c r="AC48" i="162"/>
  <c r="G43" i="162"/>
  <c r="GM13" i="162" s="1"/>
  <c r="G46" i="162"/>
  <c r="EN10" i="162" s="1"/>
  <c r="EM17" i="162"/>
  <c r="EM14" i="162"/>
  <c r="EM7" i="162"/>
  <c r="I40" i="162"/>
  <c r="I43" i="162"/>
  <c r="AC40" i="162"/>
  <c r="AC43" i="162"/>
  <c r="EY40" i="162"/>
  <c r="EY43" i="162"/>
  <c r="EM6" i="162"/>
  <c r="DG23" i="162"/>
  <c r="CX23" i="162" s="1"/>
  <c r="GD23" i="162" s="1"/>
  <c r="G40" i="162"/>
  <c r="EN4" i="162" s="1"/>
  <c r="EM15" i="162"/>
  <c r="EM16" i="162"/>
  <c r="FA21" i="162"/>
  <c r="DA21" i="162" s="1"/>
  <c r="GG21" i="162" s="1"/>
  <c r="DV16" i="162"/>
  <c r="EI16" i="162"/>
  <c r="EE8" i="162"/>
  <c r="EE16" i="162"/>
  <c r="EE18" i="162"/>
  <c r="EI18" i="162"/>
  <c r="DV18" i="162"/>
  <c r="EE9" i="162"/>
  <c r="EI17" i="162"/>
  <c r="DV17" i="162"/>
  <c r="DV12" i="162"/>
  <c r="EI12" i="162"/>
  <c r="EE5" i="162"/>
  <c r="EE12" i="162"/>
  <c r="EI20" i="162"/>
  <c r="DV20" i="162"/>
  <c r="EM9" i="162"/>
  <c r="GC7" i="162"/>
  <c r="DW4" i="162"/>
  <c r="DL4" i="162"/>
  <c r="DW8" i="162"/>
  <c r="DV8" i="162" s="1"/>
  <c r="DL8" i="162"/>
  <c r="DL14" i="162"/>
  <c r="EM8" i="162"/>
  <c r="EM13" i="162"/>
  <c r="EE14" i="162"/>
  <c r="EE11" i="162"/>
  <c r="DW5" i="162"/>
  <c r="DL5" i="162"/>
  <c r="DL11" i="162"/>
  <c r="EI19" i="162"/>
  <c r="DV19" i="162"/>
  <c r="EE6" i="162"/>
  <c r="DV15" i="162"/>
  <c r="DV14" i="162"/>
  <c r="EI14" i="162"/>
  <c r="I39" i="162"/>
  <c r="I35" i="162"/>
  <c r="I34" i="162"/>
  <c r="I33" i="162"/>
  <c r="I38" i="162"/>
  <c r="I37" i="162"/>
  <c r="I36" i="162"/>
  <c r="I31" i="162"/>
  <c r="I30" i="162"/>
  <c r="I29" i="162"/>
  <c r="I28" i="162"/>
  <c r="I27" i="162"/>
  <c r="I26" i="162"/>
  <c r="I25" i="162"/>
  <c r="I32" i="162"/>
  <c r="DW6" i="162"/>
  <c r="DL6" i="162"/>
  <c r="DW10" i="162"/>
  <c r="DL10" i="162"/>
  <c r="DL12" i="162"/>
  <c r="DL15" i="162"/>
  <c r="CY31" i="162"/>
  <c r="FI21" i="162"/>
  <c r="FJ21" i="162" s="1"/>
  <c r="EM11" i="162"/>
  <c r="FN23" i="162"/>
  <c r="EY39" i="162"/>
  <c r="EY35" i="162"/>
  <c r="EY38" i="162"/>
  <c r="EY34" i="162"/>
  <c r="EY33" i="162"/>
  <c r="EY32" i="162"/>
  <c r="EY37" i="162"/>
  <c r="EY30" i="162"/>
  <c r="EY29" i="162"/>
  <c r="EY28" i="162"/>
  <c r="EY27" i="162"/>
  <c r="EY26" i="162"/>
  <c r="EY25" i="162"/>
  <c r="FA23" i="162"/>
  <c r="DA23" i="162" s="1"/>
  <c r="GG23" i="162" s="1"/>
  <c r="EY36" i="162"/>
  <c r="EY31" i="162"/>
  <c r="EM12" i="162"/>
  <c r="EX23" i="162"/>
  <c r="EX53" i="162" s="1"/>
  <c r="EX21" i="162"/>
  <c r="EZ21" i="162" s="1"/>
  <c r="DY4" i="162"/>
  <c r="EF4" i="162"/>
  <c r="CV4" i="162"/>
  <c r="CV22" i="162" s="1"/>
  <c r="CV52" i="162" s="1"/>
  <c r="DT4" i="162"/>
  <c r="EM10" i="162"/>
  <c r="CZ31" i="162"/>
  <c r="FU21" i="162"/>
  <c r="GC8" i="162"/>
  <c r="DW9" i="162"/>
  <c r="DL9" i="162"/>
  <c r="DL18" i="162"/>
  <c r="EE19" i="162"/>
  <c r="DW7" i="162"/>
  <c r="DV7" i="162" s="1"/>
  <c r="DL7" i="162"/>
  <c r="DL17" i="162"/>
  <c r="DL13" i="162"/>
  <c r="DL16" i="162"/>
  <c r="G36" i="162"/>
  <c r="GM9" i="162" s="1"/>
  <c r="G39" i="162"/>
  <c r="G35" i="162"/>
  <c r="G34" i="162"/>
  <c r="GM8" i="162" s="1"/>
  <c r="G33" i="162"/>
  <c r="G38" i="162"/>
  <c r="GM10" i="162" s="1"/>
  <c r="G37" i="162"/>
  <c r="G31" i="162"/>
  <c r="G30" i="162"/>
  <c r="GM6" i="162" s="1"/>
  <c r="G29" i="162"/>
  <c r="G28" i="162"/>
  <c r="GM5" i="162" s="1"/>
  <c r="G27" i="162"/>
  <c r="G26" i="162"/>
  <c r="GM4" i="162" s="1"/>
  <c r="G25" i="162"/>
  <c r="FI23" i="162"/>
  <c r="FJ23" i="162" s="1"/>
  <c r="G32" i="162"/>
  <c r="GM7" i="162" s="1"/>
  <c r="DW11" i="162"/>
  <c r="DG21" i="162"/>
  <c r="CX21" i="162" s="1"/>
  <c r="GD21" i="162" s="1"/>
  <c r="EM5" i="162"/>
  <c r="DI5" i="162"/>
  <c r="GM11" i="162"/>
  <c r="GN11" i="162" s="1"/>
  <c r="GO11" i="162" s="1"/>
  <c r="DI18" i="162"/>
  <c r="DW13" i="162"/>
  <c r="AC37" i="162"/>
  <c r="AC36" i="162"/>
  <c r="AC39" i="162"/>
  <c r="AC35" i="162"/>
  <c r="AC34" i="162"/>
  <c r="AC33" i="162"/>
  <c r="AC32" i="162"/>
  <c r="AC38" i="162"/>
  <c r="AC31" i="162"/>
  <c r="AC30" i="162"/>
  <c r="AC29" i="162"/>
  <c r="AC28" i="162"/>
  <c r="AC27" i="162"/>
  <c r="AC26" i="162"/>
  <c r="AC25" i="162"/>
  <c r="EF10" i="160"/>
  <c r="AA53" i="161"/>
  <c r="AA46" i="161"/>
  <c r="AA49" i="161"/>
  <c r="DE8" i="161"/>
  <c r="Y45" i="161"/>
  <c r="Y54" i="161"/>
  <c r="FM22" i="161"/>
  <c r="Y47" i="161"/>
  <c r="Y41" i="161"/>
  <c r="Y50" i="161"/>
  <c r="Y51" i="161"/>
  <c r="Y42" i="161"/>
  <c r="BK44" i="161"/>
  <c r="W43" i="161"/>
  <c r="W49" i="161"/>
  <c r="S47" i="161"/>
  <c r="S54" i="161"/>
  <c r="S41" i="161"/>
  <c r="Q48" i="161"/>
  <c r="Q49" i="161"/>
  <c r="Q44" i="161"/>
  <c r="Q53" i="161"/>
  <c r="Q43" i="161"/>
  <c r="AC53" i="161"/>
  <c r="AC49" i="161"/>
  <c r="DG17" i="161"/>
  <c r="FI17" i="161"/>
  <c r="FJ17" i="161" s="1"/>
  <c r="G22" i="161"/>
  <c r="G41" i="161" s="1"/>
  <c r="GM12" i="161" s="1"/>
  <c r="EX17" i="161"/>
  <c r="AC22" i="161"/>
  <c r="AC31" i="161" s="1"/>
  <c r="EX22" i="161"/>
  <c r="EZ22" i="161" s="1"/>
  <c r="AI45" i="161"/>
  <c r="AK40" i="161"/>
  <c r="AK43" i="161"/>
  <c r="AK44" i="161"/>
  <c r="AK48" i="161"/>
  <c r="DT14" i="161"/>
  <c r="DG14" i="161"/>
  <c r="DE14" i="161"/>
  <c r="O53" i="161"/>
  <c r="K46" i="161"/>
  <c r="K40" i="161"/>
  <c r="K43" i="161"/>
  <c r="K48" i="161"/>
  <c r="K53" i="161"/>
  <c r="K44" i="161"/>
  <c r="EY52" i="161"/>
  <c r="EY51" i="161"/>
  <c r="EY41" i="161"/>
  <c r="EY47" i="161"/>
  <c r="AE40" i="161"/>
  <c r="EY42" i="161"/>
  <c r="EY50" i="161"/>
  <c r="S42" i="161"/>
  <c r="S51" i="161"/>
  <c r="S48" i="161"/>
  <c r="S52" i="161"/>
  <c r="S45" i="161"/>
  <c r="BI43" i="161"/>
  <c r="BI49" i="161"/>
  <c r="BI40" i="161"/>
  <c r="BI44" i="161"/>
  <c r="M40" i="161"/>
  <c r="DJ4" i="161" s="1"/>
  <c r="M43" i="161"/>
  <c r="DJ7" i="161" s="1"/>
  <c r="M44" i="161"/>
  <c r="DJ8" i="161" s="1"/>
  <c r="M48" i="161"/>
  <c r="DJ12" i="161" s="1"/>
  <c r="M49" i="161"/>
  <c r="DJ13" i="161" s="1"/>
  <c r="M53" i="161"/>
  <c r="DJ17" i="161" s="1"/>
  <c r="S46" i="161"/>
  <c r="DG8" i="161"/>
  <c r="AI52" i="161"/>
  <c r="AI50" i="161"/>
  <c r="AI42" i="161"/>
  <c r="Y49" i="161"/>
  <c r="CK50" i="161"/>
  <c r="DH14" i="161" s="1"/>
  <c r="AI47" i="161"/>
  <c r="AI54" i="161"/>
  <c r="AI41" i="161"/>
  <c r="CN22" i="161"/>
  <c r="CN54" i="161" s="1"/>
  <c r="EB18" i="161" s="1"/>
  <c r="FJ9" i="161"/>
  <c r="DH21" i="161"/>
  <c r="CZ21" i="161" s="1"/>
  <c r="GF21" i="161" s="1"/>
  <c r="AG46" i="161"/>
  <c r="AE48" i="161"/>
  <c r="AE49" i="161"/>
  <c r="AE43" i="161"/>
  <c r="AE53" i="161"/>
  <c r="S44" i="161"/>
  <c r="S49" i="161"/>
  <c r="S40" i="161"/>
  <c r="S43" i="161"/>
  <c r="CK54" i="161"/>
  <c r="DH18" i="161" s="1"/>
  <c r="CK52" i="161"/>
  <c r="DH16" i="161" s="1"/>
  <c r="CK47" i="161"/>
  <c r="DH11" i="161" s="1"/>
  <c r="BK46" i="161"/>
  <c r="BK48" i="161"/>
  <c r="Y44" i="161"/>
  <c r="BK43" i="161"/>
  <c r="FJ14" i="161"/>
  <c r="CK41" i="161"/>
  <c r="EM20" i="161" s="1"/>
  <c r="EL20" i="161" s="1"/>
  <c r="EO20" i="161" s="1"/>
  <c r="CK45" i="161"/>
  <c r="DH9" i="161" s="1"/>
  <c r="DH22" i="161"/>
  <c r="CZ22" i="161" s="1"/>
  <c r="GF22" i="161" s="1"/>
  <c r="CK42" i="161"/>
  <c r="DH6" i="161" s="1"/>
  <c r="CK51" i="161"/>
  <c r="DH15" i="161" s="1"/>
  <c r="DH23" i="161"/>
  <c r="CZ23" i="161" s="1"/>
  <c r="GF23" i="161" s="1"/>
  <c r="FN21" i="161"/>
  <c r="CK48" i="161"/>
  <c r="DH12" i="161" s="1"/>
  <c r="CK49" i="161"/>
  <c r="DH13" i="161" s="1"/>
  <c r="O49" i="161"/>
  <c r="FJ16" i="161"/>
  <c r="AG49" i="161"/>
  <c r="EF16" i="161"/>
  <c r="AI49" i="161"/>
  <c r="AI40" i="161"/>
  <c r="O46" i="161"/>
  <c r="O48" i="161"/>
  <c r="AI43" i="161"/>
  <c r="AI48" i="161"/>
  <c r="AI46" i="161"/>
  <c r="AI53" i="161"/>
  <c r="Y43" i="161"/>
  <c r="Y48" i="161"/>
  <c r="Y53" i="161"/>
  <c r="FJ8" i="161"/>
  <c r="CK43" i="161"/>
  <c r="DH7" i="161" s="1"/>
  <c r="CK53" i="161"/>
  <c r="DH17" i="161" s="1"/>
  <c r="CK46" i="161"/>
  <c r="DH10" i="161" s="1"/>
  <c r="CK44" i="161"/>
  <c r="DH8" i="161" s="1"/>
  <c r="W53" i="161"/>
  <c r="W46" i="161"/>
  <c r="AC44" i="161"/>
  <c r="AC48" i="161"/>
  <c r="AG40" i="161"/>
  <c r="W44" i="161"/>
  <c r="W48" i="161"/>
  <c r="AC46" i="161"/>
  <c r="AA40" i="161"/>
  <c r="AA43" i="161"/>
  <c r="AA48" i="161"/>
  <c r="BM43" i="161"/>
  <c r="Q40" i="161"/>
  <c r="AC40" i="161"/>
  <c r="BM40" i="161"/>
  <c r="BM44" i="161"/>
  <c r="AG43" i="161"/>
  <c r="AG44" i="161"/>
  <c r="O44" i="161"/>
  <c r="O43" i="161"/>
  <c r="FR23" i="161"/>
  <c r="CN23" i="161"/>
  <c r="CN53" i="161" s="1"/>
  <c r="EB17" i="161" s="1"/>
  <c r="EE17" i="161" s="1"/>
  <c r="CN21" i="161"/>
  <c r="FU4" i="161"/>
  <c r="E21" i="161"/>
  <c r="E23" i="161"/>
  <c r="E53" i="161" s="1"/>
  <c r="DT4" i="161"/>
  <c r="FG4" i="161"/>
  <c r="DE4" i="161"/>
  <c r="DG4" i="161"/>
  <c r="AC36" i="161"/>
  <c r="AC39" i="161"/>
  <c r="AC35" i="161"/>
  <c r="AC30" i="161"/>
  <c r="AC27" i="161"/>
  <c r="AC26" i="161"/>
  <c r="AC37" i="161"/>
  <c r="AC32" i="161"/>
  <c r="EF9" i="161"/>
  <c r="S37" i="161"/>
  <c r="S36" i="161"/>
  <c r="S39" i="161"/>
  <c r="S38" i="161"/>
  <c r="S31" i="161"/>
  <c r="S30" i="161"/>
  <c r="S29" i="161"/>
  <c r="S28" i="161"/>
  <c r="S27" i="161"/>
  <c r="S26" i="161"/>
  <c r="S25" i="161"/>
  <c r="S35" i="161"/>
  <c r="S34" i="161"/>
  <c r="S33" i="161"/>
  <c r="S32" i="161"/>
  <c r="I23" i="161"/>
  <c r="I53" i="161" s="1"/>
  <c r="AG38" i="161"/>
  <c r="AG37" i="161"/>
  <c r="AG39" i="161"/>
  <c r="AG34" i="161"/>
  <c r="AG33" i="161"/>
  <c r="AG32" i="161"/>
  <c r="AG31" i="161"/>
  <c r="AG30" i="161"/>
  <c r="AG36" i="161"/>
  <c r="AG35" i="161"/>
  <c r="AG28" i="161"/>
  <c r="AG26" i="161"/>
  <c r="AG29" i="161"/>
  <c r="AG27" i="161"/>
  <c r="AG25" i="161"/>
  <c r="FN22" i="161"/>
  <c r="GC18" i="161"/>
  <c r="GC7" i="161"/>
  <c r="BI36" i="161"/>
  <c r="BI39" i="161"/>
  <c r="BI35" i="161"/>
  <c r="BI38" i="161"/>
  <c r="BI31" i="161"/>
  <c r="BI30" i="161"/>
  <c r="BI29" i="161"/>
  <c r="BI28" i="161"/>
  <c r="BI27" i="161"/>
  <c r="BI26" i="161"/>
  <c r="BI25" i="161"/>
  <c r="BI37" i="161"/>
  <c r="BI34" i="161"/>
  <c r="BI33" i="161"/>
  <c r="BI32" i="161"/>
  <c r="W39" i="161"/>
  <c r="W35" i="161"/>
  <c r="W38" i="161"/>
  <c r="W34" i="161"/>
  <c r="W33" i="161"/>
  <c r="W32" i="161"/>
  <c r="W36" i="161"/>
  <c r="W37" i="161"/>
  <c r="W31" i="161"/>
  <c r="W30" i="161"/>
  <c r="FK23" i="161"/>
  <c r="W29" i="161"/>
  <c r="W27" i="161"/>
  <c r="W25" i="161"/>
  <c r="W28" i="161"/>
  <c r="W26" i="161"/>
  <c r="G21" i="161"/>
  <c r="G23" i="161"/>
  <c r="G53" i="161" s="1"/>
  <c r="FI4" i="161"/>
  <c r="DH4" i="161"/>
  <c r="AI37" i="161"/>
  <c r="AI36" i="161"/>
  <c r="AI39" i="161"/>
  <c r="AI38" i="161"/>
  <c r="AI31" i="161"/>
  <c r="AI30" i="161"/>
  <c r="AI29" i="161"/>
  <c r="AI28" i="161"/>
  <c r="AI27" i="161"/>
  <c r="AI26" i="161"/>
  <c r="AI25" i="161"/>
  <c r="AI35" i="161"/>
  <c r="AI34" i="161"/>
  <c r="AI33" i="161"/>
  <c r="AI32" i="161"/>
  <c r="K37" i="161"/>
  <c r="K36" i="161"/>
  <c r="K39" i="161"/>
  <c r="K38" i="161"/>
  <c r="K35" i="161"/>
  <c r="K31" i="161"/>
  <c r="K30" i="161"/>
  <c r="K29" i="161"/>
  <c r="K28" i="161"/>
  <c r="K27" i="161"/>
  <c r="K26" i="161"/>
  <c r="K25" i="161"/>
  <c r="K34" i="161"/>
  <c r="K33" i="161"/>
  <c r="K32" i="161"/>
  <c r="DY8" i="161"/>
  <c r="EF8" i="161"/>
  <c r="DT8" i="161"/>
  <c r="EX23" i="161"/>
  <c r="EX21" i="161"/>
  <c r="EZ21" i="161" s="1"/>
  <c r="EF4" i="161"/>
  <c r="CK36" i="161"/>
  <c r="DI15" i="161" s="1"/>
  <c r="CK39" i="161"/>
  <c r="EM18" i="161" s="1"/>
  <c r="CK35" i="161"/>
  <c r="DI14" i="161" s="1"/>
  <c r="CK38" i="161"/>
  <c r="DI17" i="161" s="1"/>
  <c r="CK37" i="161"/>
  <c r="DI16" i="161" s="1"/>
  <c r="CK31" i="161"/>
  <c r="DI10" i="161" s="1"/>
  <c r="CK30" i="161"/>
  <c r="DI9" i="161" s="1"/>
  <c r="CK29" i="161"/>
  <c r="DI8" i="161" s="1"/>
  <c r="CK28" i="161"/>
  <c r="DI7" i="161" s="1"/>
  <c r="CK27" i="161"/>
  <c r="DI6" i="161" s="1"/>
  <c r="CK26" i="161"/>
  <c r="DI5" i="161" s="1"/>
  <c r="CK25" i="161"/>
  <c r="DI4" i="161" s="1"/>
  <c r="CK34" i="161"/>
  <c r="DI13" i="161" s="1"/>
  <c r="CK33" i="161"/>
  <c r="DI12" i="161" s="1"/>
  <c r="CK32" i="161"/>
  <c r="DI11" i="161" s="1"/>
  <c r="FT23" i="161"/>
  <c r="AC21" i="161"/>
  <c r="Q38" i="161"/>
  <c r="Q37" i="161"/>
  <c r="Q39" i="161"/>
  <c r="Q34" i="161"/>
  <c r="Q33" i="161"/>
  <c r="Q32" i="161"/>
  <c r="Q31" i="161"/>
  <c r="Q30" i="161"/>
  <c r="Q36" i="161"/>
  <c r="Q35" i="161"/>
  <c r="Q28" i="161"/>
  <c r="Q26" i="161"/>
  <c r="Q29" i="161"/>
  <c r="Q27" i="161"/>
  <c r="Q25" i="161"/>
  <c r="DY9" i="161"/>
  <c r="DW20" i="161"/>
  <c r="DY12" i="161"/>
  <c r="EF12" i="161"/>
  <c r="DT13" i="161"/>
  <c r="GC5" i="161"/>
  <c r="EY21" i="161"/>
  <c r="EY23" i="161"/>
  <c r="EY53" i="161" s="1"/>
  <c r="U36" i="161"/>
  <c r="U39" i="161"/>
  <c r="U35" i="161"/>
  <c r="U38" i="161"/>
  <c r="U37" i="161"/>
  <c r="U31" i="161"/>
  <c r="U30" i="161"/>
  <c r="U29" i="161"/>
  <c r="U28" i="161"/>
  <c r="U27" i="161"/>
  <c r="U26" i="161"/>
  <c r="U25" i="161"/>
  <c r="U34" i="161"/>
  <c r="U33" i="161"/>
  <c r="U32" i="161"/>
  <c r="BK38" i="161"/>
  <c r="BK34" i="161"/>
  <c r="BK37" i="161"/>
  <c r="BK39" i="161"/>
  <c r="BK33" i="161"/>
  <c r="BK32" i="161"/>
  <c r="BK35" i="161"/>
  <c r="BK36" i="161"/>
  <c r="BK31" i="161"/>
  <c r="BK30" i="161"/>
  <c r="BK28" i="161"/>
  <c r="BK26" i="161"/>
  <c r="BK29" i="161"/>
  <c r="BK27" i="161"/>
  <c r="BK25" i="161"/>
  <c r="EF13" i="161"/>
  <c r="FJ10" i="161"/>
  <c r="AK36" i="161"/>
  <c r="AK39" i="161"/>
  <c r="AK35" i="161"/>
  <c r="AK38" i="161"/>
  <c r="AK37" i="161"/>
  <c r="AK31" i="161"/>
  <c r="AK30" i="161"/>
  <c r="AK29" i="161"/>
  <c r="AK28" i="161"/>
  <c r="AK27" i="161"/>
  <c r="AK26" i="161"/>
  <c r="AK25" i="161"/>
  <c r="AK34" i="161"/>
  <c r="AK33" i="161"/>
  <c r="AK32" i="161"/>
  <c r="M36" i="161"/>
  <c r="M39" i="161"/>
  <c r="M35" i="161"/>
  <c r="M38" i="161"/>
  <c r="M31" i="161"/>
  <c r="M30" i="161"/>
  <c r="M29" i="161"/>
  <c r="M28" i="161"/>
  <c r="M27" i="161"/>
  <c r="M26" i="161"/>
  <c r="M25" i="161"/>
  <c r="M37" i="161"/>
  <c r="M34" i="161"/>
  <c r="M33" i="161"/>
  <c r="M32" i="161"/>
  <c r="Y38" i="161"/>
  <c r="Y37" i="161"/>
  <c r="Y39" i="161"/>
  <c r="Y34" i="161"/>
  <c r="Y33" i="161"/>
  <c r="Y32" i="161"/>
  <c r="Y36" i="161"/>
  <c r="Y35" i="161"/>
  <c r="Y31" i="161"/>
  <c r="Y30" i="161"/>
  <c r="Y29" i="161"/>
  <c r="Y27" i="161"/>
  <c r="Y25" i="161"/>
  <c r="Y28" i="161"/>
  <c r="Y26" i="161"/>
  <c r="FM23" i="161"/>
  <c r="EB20" i="161"/>
  <c r="EP19" i="161"/>
  <c r="EQ19" i="161" s="1"/>
  <c r="FJ15" i="161"/>
  <c r="DT12" i="161"/>
  <c r="FJ11" i="161"/>
  <c r="CV8" i="161"/>
  <c r="FJ6" i="161"/>
  <c r="AE39" i="161"/>
  <c r="AE35" i="161"/>
  <c r="AE38" i="161"/>
  <c r="AE36" i="161"/>
  <c r="AE37" i="161"/>
  <c r="AE34" i="161"/>
  <c r="AE33" i="161"/>
  <c r="AE32" i="161"/>
  <c r="AE31" i="161"/>
  <c r="AE30" i="161"/>
  <c r="AE28" i="161"/>
  <c r="AE26" i="161"/>
  <c r="AE29" i="161"/>
  <c r="AE27" i="161"/>
  <c r="AE25" i="161"/>
  <c r="O39" i="161"/>
  <c r="O35" i="161"/>
  <c r="O38" i="161"/>
  <c r="O36" i="161"/>
  <c r="O37" i="161"/>
  <c r="O34" i="161"/>
  <c r="O33" i="161"/>
  <c r="O32" i="161"/>
  <c r="O31" i="161"/>
  <c r="O30" i="161"/>
  <c r="O28" i="161"/>
  <c r="O26" i="161"/>
  <c r="O29" i="161"/>
  <c r="O27" i="161"/>
  <c r="O25" i="161"/>
  <c r="BM36" i="161"/>
  <c r="BM39" i="161"/>
  <c r="BM35" i="161"/>
  <c r="BM38" i="161"/>
  <c r="BM33" i="161"/>
  <c r="BM32" i="161"/>
  <c r="BM34" i="161"/>
  <c r="BM31" i="161"/>
  <c r="BM30" i="161"/>
  <c r="BM37" i="161"/>
  <c r="BM28" i="161"/>
  <c r="BM26" i="161"/>
  <c r="BM29" i="161"/>
  <c r="BM27" i="161"/>
  <c r="BM25" i="161"/>
  <c r="AA37" i="161"/>
  <c r="AA36" i="161"/>
  <c r="AA39" i="161"/>
  <c r="AA38" i="161"/>
  <c r="AA35" i="161"/>
  <c r="AA31" i="161"/>
  <c r="AA30" i="161"/>
  <c r="AA29" i="161"/>
  <c r="AA28" i="161"/>
  <c r="AA27" i="161"/>
  <c r="AA26" i="161"/>
  <c r="AA25" i="161"/>
  <c r="AA34" i="161"/>
  <c r="AA33" i="161"/>
  <c r="AA32" i="161"/>
  <c r="DD4" i="160"/>
  <c r="DD5" i="160"/>
  <c r="DD7" i="160"/>
  <c r="DD9" i="160"/>
  <c r="DD10" i="160"/>
  <c r="DD13" i="160"/>
  <c r="DD14" i="160"/>
  <c r="CN13" i="160"/>
  <c r="FU13" i="160" s="1"/>
  <c r="DF8" i="160"/>
  <c r="E13" i="160"/>
  <c r="K22" i="160"/>
  <c r="K54" i="160" s="1"/>
  <c r="EY14" i="160"/>
  <c r="EY22" i="160" s="1"/>
  <c r="AE22" i="160"/>
  <c r="AE54" i="160" s="1"/>
  <c r="BK22" i="160"/>
  <c r="BK51" i="160" s="1"/>
  <c r="G12" i="160"/>
  <c r="DT12" i="160" s="1"/>
  <c r="CN14" i="160"/>
  <c r="FU14" i="160" s="1"/>
  <c r="FN5" i="160"/>
  <c r="I8" i="160"/>
  <c r="G8" i="160"/>
  <c r="AY33" i="160"/>
  <c r="FK8" i="160"/>
  <c r="DF14" i="160"/>
  <c r="W22" i="160"/>
  <c r="W52" i="160" s="1"/>
  <c r="DF13" i="160"/>
  <c r="Y22" i="160"/>
  <c r="Y54" i="160" s="1"/>
  <c r="G18" i="160"/>
  <c r="DG18" i="160" s="1"/>
  <c r="CE33" i="160"/>
  <c r="I18" i="160"/>
  <c r="AK22" i="160"/>
  <c r="AK52" i="160" s="1"/>
  <c r="O22" i="160"/>
  <c r="AI22" i="160"/>
  <c r="AI46" i="160" s="1"/>
  <c r="M22" i="160"/>
  <c r="M52" i="160" s="1"/>
  <c r="DJ16" i="160" s="1"/>
  <c r="AG22" i="160"/>
  <c r="AG44" i="160" s="1"/>
  <c r="G13" i="160"/>
  <c r="G22" i="160" s="1"/>
  <c r="G51" i="160" s="1"/>
  <c r="DF6" i="160"/>
  <c r="DG5" i="160"/>
  <c r="FG5" i="160"/>
  <c r="CN17" i="160"/>
  <c r="FU17" i="160" s="1"/>
  <c r="CK22" i="160"/>
  <c r="CK44" i="160" s="1"/>
  <c r="FJ6" i="160"/>
  <c r="BU32" i="160"/>
  <c r="CJ32" i="160"/>
  <c r="CJ32" i="48" s="1"/>
  <c r="BO32" i="160"/>
  <c r="BW32" i="160"/>
  <c r="CQ30" i="160"/>
  <c r="CR32" i="160"/>
  <c r="FR22" i="160"/>
  <c r="AO32" i="160"/>
  <c r="BE32" i="160"/>
  <c r="CO32" i="160"/>
  <c r="CO32" i="48" s="1"/>
  <c r="CS32" i="160"/>
  <c r="CS32" i="48" s="1"/>
  <c r="AM30" i="160"/>
  <c r="BC30" i="160"/>
  <c r="FS23" i="160"/>
  <c r="BS30" i="160"/>
  <c r="CI30" i="160"/>
  <c r="FZ23" i="160"/>
  <c r="FV23" i="160"/>
  <c r="DY9" i="160"/>
  <c r="EF9" i="160"/>
  <c r="FI8" i="160"/>
  <c r="EF8" i="160"/>
  <c r="DY8" i="160"/>
  <c r="DY12" i="160"/>
  <c r="EF12" i="160"/>
  <c r="DY6" i="160"/>
  <c r="EF6" i="160"/>
  <c r="DY16" i="160"/>
  <c r="EF16" i="160"/>
  <c r="DY5" i="160"/>
  <c r="EF5" i="160"/>
  <c r="FG18" i="160"/>
  <c r="FN4" i="160"/>
  <c r="FI5" i="160"/>
  <c r="FJ5" i="160" s="1"/>
  <c r="FN7" i="160"/>
  <c r="DE7" i="160"/>
  <c r="FG7" i="160"/>
  <c r="FJ7" i="160" s="1"/>
  <c r="DG7" i="160"/>
  <c r="DT8" i="160"/>
  <c r="FG8" i="160"/>
  <c r="DE8" i="160"/>
  <c r="DG8" i="160"/>
  <c r="CV8" i="160"/>
  <c r="GC8" i="160" s="1"/>
  <c r="FN8" i="160"/>
  <c r="FI9" i="160"/>
  <c r="AG23" i="160"/>
  <c r="AG23" i="48" s="1"/>
  <c r="AG21" i="160"/>
  <c r="AG21" i="48" s="1"/>
  <c r="DF7" i="160"/>
  <c r="EY7" i="160"/>
  <c r="EF7" i="160" s="1"/>
  <c r="FT9" i="160"/>
  <c r="FI10" i="160"/>
  <c r="DE10" i="160"/>
  <c r="FG10" i="160"/>
  <c r="FJ10" i="160" s="1"/>
  <c r="CV10" i="160"/>
  <c r="GC10" i="160" s="1"/>
  <c r="DT10" i="160"/>
  <c r="FI11" i="160"/>
  <c r="FJ11" i="160" s="1"/>
  <c r="DG12" i="160"/>
  <c r="FG13" i="160"/>
  <c r="FK13" i="160"/>
  <c r="FN13" i="160" s="1"/>
  <c r="FN14" i="160"/>
  <c r="FN15" i="160"/>
  <c r="DG16" i="160"/>
  <c r="CV16" i="160"/>
  <c r="DT16" i="160"/>
  <c r="AC17" i="160"/>
  <c r="EX17" i="160" s="1"/>
  <c r="BK23" i="160"/>
  <c r="BK50" i="160" s="1"/>
  <c r="BK21" i="160"/>
  <c r="FQ23" i="160"/>
  <c r="FQ21" i="160"/>
  <c r="DE6" i="160"/>
  <c r="S23" i="160"/>
  <c r="S41" i="160" s="1"/>
  <c r="S21" i="160"/>
  <c r="BM23" i="160"/>
  <c r="BM53" i="160" s="1"/>
  <c r="BM21" i="160"/>
  <c r="FT6" i="160"/>
  <c r="FG9" i="160"/>
  <c r="DE9" i="160"/>
  <c r="FN11" i="160"/>
  <c r="FG17" i="160"/>
  <c r="DG17" i="160"/>
  <c r="FK17" i="160"/>
  <c r="FN17" i="160" s="1"/>
  <c r="DE17" i="160"/>
  <c r="DY18" i="160"/>
  <c r="EF18" i="160"/>
  <c r="FT18" i="160"/>
  <c r="Y23" i="160"/>
  <c r="Y50" i="160" s="1"/>
  <c r="Y21" i="160"/>
  <c r="FM21" i="160" s="1"/>
  <c r="K23" i="160"/>
  <c r="K50" i="160" s="1"/>
  <c r="K21" i="160"/>
  <c r="AI23" i="160"/>
  <c r="AI50" i="160" s="1"/>
  <c r="AI21" i="160"/>
  <c r="AI21" i="48" s="1"/>
  <c r="FR4" i="160"/>
  <c r="DT6" i="160"/>
  <c r="FN10" i="160"/>
  <c r="M21" i="160"/>
  <c r="M23" i="160"/>
  <c r="M45" i="160" s="1"/>
  <c r="DJ9" i="160" s="1"/>
  <c r="U21" i="160"/>
  <c r="U23" i="160"/>
  <c r="AK21" i="160"/>
  <c r="AK21" i="48" s="1"/>
  <c r="AK23" i="160"/>
  <c r="AK23" i="48" s="1"/>
  <c r="CK23" i="160"/>
  <c r="DH22" i="160" s="1"/>
  <c r="CZ22" i="160" s="1"/>
  <c r="GF22" i="160" s="1"/>
  <c r="CK21" i="160"/>
  <c r="FT21" i="160" s="1"/>
  <c r="EX4" i="160"/>
  <c r="CN5" i="160"/>
  <c r="FU5" i="160" s="1"/>
  <c r="DF5" i="160"/>
  <c r="DT5" i="160"/>
  <c r="FT5" i="160"/>
  <c r="CV6" i="160"/>
  <c r="GC6" i="160" s="1"/>
  <c r="DG6" i="160"/>
  <c r="FK6" i="160"/>
  <c r="FN6" i="160" s="1"/>
  <c r="DF9" i="160"/>
  <c r="DT9" i="160"/>
  <c r="CV11" i="160"/>
  <c r="DG11" i="160"/>
  <c r="I12" i="160"/>
  <c r="I21" i="160" s="1"/>
  <c r="FT12" i="160"/>
  <c r="CN12" i="160"/>
  <c r="FU12" i="160" s="1"/>
  <c r="G15" i="160"/>
  <c r="I16" i="160"/>
  <c r="FT16" i="160"/>
  <c r="CN16" i="160"/>
  <c r="FU16" i="160" s="1"/>
  <c r="DE16" i="160"/>
  <c r="FI16" i="160"/>
  <c r="FJ16" i="160" s="1"/>
  <c r="DF17" i="160"/>
  <c r="FI17" i="160"/>
  <c r="FK18" i="160"/>
  <c r="FN18" i="160" s="1"/>
  <c r="CV18" i="160"/>
  <c r="GC18" i="160" s="1"/>
  <c r="DF18" i="160"/>
  <c r="CN18" i="160"/>
  <c r="FU18" i="160" s="1"/>
  <c r="Q23" i="160"/>
  <c r="Q49" i="160" s="1"/>
  <c r="Q21" i="160"/>
  <c r="AA23" i="160"/>
  <c r="AA21" i="160"/>
  <c r="DE5" i="160"/>
  <c r="CV7" i="160"/>
  <c r="GC7" i="160" s="1"/>
  <c r="E4" i="160"/>
  <c r="G4" i="160"/>
  <c r="O23" i="160"/>
  <c r="O47" i="160" s="1"/>
  <c r="O21" i="160"/>
  <c r="W23" i="160"/>
  <c r="W49" i="160" s="1"/>
  <c r="W21" i="160"/>
  <c r="FK21" i="160" s="1"/>
  <c r="AE23" i="160"/>
  <c r="AE50" i="160" s="1"/>
  <c r="AE21" i="160"/>
  <c r="BI21" i="160"/>
  <c r="BI23" i="160"/>
  <c r="BI45" i="160" s="1"/>
  <c r="CN4" i="160"/>
  <c r="DF4" i="160"/>
  <c r="EY4" i="160"/>
  <c r="FO23" i="160"/>
  <c r="FR23" i="160" s="1"/>
  <c r="FO21" i="160"/>
  <c r="FR21" i="160" s="1"/>
  <c r="FT4" i="160"/>
  <c r="CV5" i="160"/>
  <c r="CN8" i="160"/>
  <c r="FU8" i="160" s="1"/>
  <c r="CV9" i="160"/>
  <c r="GC9" i="160" s="1"/>
  <c r="DG9" i="160"/>
  <c r="DT11" i="160"/>
  <c r="DE11" i="160"/>
  <c r="DY11" i="160"/>
  <c r="AC13" i="160"/>
  <c r="EX13" i="160" s="1"/>
  <c r="FI14" i="160"/>
  <c r="E14" i="160"/>
  <c r="E22" i="160" s="1"/>
  <c r="E52" i="160" s="1"/>
  <c r="FG15" i="160"/>
  <c r="U53" i="160"/>
  <c r="U52" i="160"/>
  <c r="U51" i="160"/>
  <c r="U49" i="160"/>
  <c r="U48" i="160"/>
  <c r="U47" i="160"/>
  <c r="U46" i="160"/>
  <c r="U54" i="160"/>
  <c r="U50" i="160"/>
  <c r="U45" i="160"/>
  <c r="U44" i="160"/>
  <c r="U43" i="160"/>
  <c r="U42" i="160"/>
  <c r="U40" i="160"/>
  <c r="U41" i="160"/>
  <c r="AK44" i="160"/>
  <c r="AS53" i="160"/>
  <c r="AS52" i="160"/>
  <c r="AS51" i="160"/>
  <c r="AS54" i="160"/>
  <c r="AS50" i="160"/>
  <c r="AS48" i="160"/>
  <c r="AS47" i="160"/>
  <c r="AS46" i="160"/>
  <c r="AS45" i="160"/>
  <c r="AS49" i="160"/>
  <c r="AS44" i="160"/>
  <c r="AS43" i="160"/>
  <c r="AS42" i="160"/>
  <c r="AS41" i="160"/>
  <c r="AS40" i="160"/>
  <c r="BA53" i="160"/>
  <c r="BA52" i="160"/>
  <c r="BA51" i="160"/>
  <c r="BA49" i="160"/>
  <c r="BA48" i="160"/>
  <c r="BA47" i="160"/>
  <c r="BA46" i="160"/>
  <c r="BA45" i="160"/>
  <c r="BA54" i="160"/>
  <c r="BA50" i="160"/>
  <c r="BA44" i="160"/>
  <c r="BA43" i="160"/>
  <c r="BA42" i="160"/>
  <c r="BA40" i="160"/>
  <c r="BA41" i="160"/>
  <c r="BI52" i="160"/>
  <c r="BI51" i="160"/>
  <c r="BI46" i="160"/>
  <c r="BI54" i="160"/>
  <c r="BI44" i="160"/>
  <c r="BI43" i="160"/>
  <c r="BI42" i="160"/>
  <c r="BI40" i="160"/>
  <c r="BQ53" i="160"/>
  <c r="BQ52" i="160"/>
  <c r="BQ51" i="160"/>
  <c r="BQ54" i="160"/>
  <c r="BQ50" i="160"/>
  <c r="BQ49" i="160"/>
  <c r="BQ48" i="160"/>
  <c r="BQ47" i="160"/>
  <c r="BQ46" i="160"/>
  <c r="BQ45" i="160"/>
  <c r="BQ44" i="160"/>
  <c r="BQ43" i="160"/>
  <c r="BQ42" i="160"/>
  <c r="BQ40" i="160"/>
  <c r="BQ41" i="160"/>
  <c r="BY53" i="160"/>
  <c r="BY52" i="160"/>
  <c r="BY51" i="160"/>
  <c r="BY48" i="160"/>
  <c r="BY47" i="160"/>
  <c r="BY46" i="160"/>
  <c r="BY45" i="160"/>
  <c r="BY54" i="160"/>
  <c r="BY49" i="160"/>
  <c r="BY50" i="160"/>
  <c r="BY44" i="160"/>
  <c r="BY43" i="160"/>
  <c r="BY42" i="160"/>
  <c r="BY41" i="160"/>
  <c r="BY40" i="160"/>
  <c r="CQ51" i="160"/>
  <c r="CQ54" i="160"/>
  <c r="CQ50" i="160"/>
  <c r="CQ50" i="48" s="1"/>
  <c r="CQ53" i="160"/>
  <c r="CQ53" i="48" s="1"/>
  <c r="CQ49" i="160"/>
  <c r="CQ52" i="160"/>
  <c r="CQ47" i="160"/>
  <c r="CQ47" i="48" s="1"/>
  <c r="CQ45" i="160"/>
  <c r="CQ45" i="48" s="1"/>
  <c r="CQ48" i="160"/>
  <c r="CQ46" i="160"/>
  <c r="CQ44" i="160"/>
  <c r="CQ44" i="48" s="1"/>
  <c r="CQ43" i="160"/>
  <c r="CQ43" i="48" s="1"/>
  <c r="CQ42" i="160"/>
  <c r="CQ41" i="160"/>
  <c r="CQ40" i="160"/>
  <c r="CQ40" i="48" s="1"/>
  <c r="FX22" i="160"/>
  <c r="CU51" i="160"/>
  <c r="CU54" i="160"/>
  <c r="CU50" i="160"/>
  <c r="CU53" i="160"/>
  <c r="CU53" i="48" s="1"/>
  <c r="CU49" i="160"/>
  <c r="CU52" i="160"/>
  <c r="CU48" i="160"/>
  <c r="CU46" i="160"/>
  <c r="CU46" i="48" s="1"/>
  <c r="CU47" i="160"/>
  <c r="CU45" i="160"/>
  <c r="CU44" i="160"/>
  <c r="CU43" i="160"/>
  <c r="CU42" i="160"/>
  <c r="CU40" i="160"/>
  <c r="CU41" i="160"/>
  <c r="GB22" i="160"/>
  <c r="O52" i="160"/>
  <c r="O51" i="160"/>
  <c r="O54" i="160"/>
  <c r="O46" i="160"/>
  <c r="O44" i="160"/>
  <c r="O43" i="160"/>
  <c r="O42" i="160"/>
  <c r="O40" i="160"/>
  <c r="W46" i="160"/>
  <c r="W40" i="160"/>
  <c r="AE44" i="160"/>
  <c r="AM52" i="160"/>
  <c r="AM51" i="160"/>
  <c r="AM54" i="160"/>
  <c r="AM50" i="160"/>
  <c r="AM49" i="160"/>
  <c r="AM53" i="160"/>
  <c r="AM47" i="160"/>
  <c r="AM45" i="160"/>
  <c r="AM48" i="160"/>
  <c r="AM46" i="160"/>
  <c r="AM44" i="160"/>
  <c r="AM43" i="160"/>
  <c r="AM42" i="160"/>
  <c r="AM41" i="160"/>
  <c r="AM40" i="160"/>
  <c r="AU52" i="160"/>
  <c r="AU51" i="160"/>
  <c r="AU54" i="160"/>
  <c r="AU50" i="160"/>
  <c r="AU49" i="160"/>
  <c r="AU53" i="160"/>
  <c r="AU48" i="160"/>
  <c r="AU46" i="160"/>
  <c r="AU47" i="160"/>
  <c r="AU45" i="160"/>
  <c r="AU44" i="160"/>
  <c r="AU43" i="160"/>
  <c r="AU42" i="160"/>
  <c r="AU40" i="160"/>
  <c r="AU41" i="160"/>
  <c r="BC52" i="160"/>
  <c r="BC51" i="160"/>
  <c r="BC54" i="160"/>
  <c r="BC50" i="160"/>
  <c r="BC49" i="160"/>
  <c r="BC53" i="160"/>
  <c r="BC47" i="160"/>
  <c r="BC45" i="160"/>
  <c r="BC48" i="160"/>
  <c r="BC46" i="160"/>
  <c r="BC44" i="160"/>
  <c r="BC43" i="160"/>
  <c r="BC42" i="160"/>
  <c r="BC41" i="160"/>
  <c r="BC40" i="160"/>
  <c r="BK52" i="160"/>
  <c r="BK42" i="160"/>
  <c r="BS51" i="160"/>
  <c r="BS54" i="160"/>
  <c r="BS50" i="160"/>
  <c r="BS53" i="160"/>
  <c r="BS49" i="160"/>
  <c r="BS47" i="160"/>
  <c r="BS45" i="160"/>
  <c r="BS48" i="160"/>
  <c r="BS46" i="160"/>
  <c r="BS44" i="160"/>
  <c r="BS43" i="160"/>
  <c r="BS42" i="160"/>
  <c r="BS52" i="160"/>
  <c r="BS41" i="160"/>
  <c r="BS40" i="160"/>
  <c r="CA51" i="160"/>
  <c r="CA54" i="160"/>
  <c r="CA50" i="160"/>
  <c r="CA53" i="160"/>
  <c r="CA49" i="160"/>
  <c r="CA52" i="160"/>
  <c r="CA48" i="160"/>
  <c r="CA46" i="160"/>
  <c r="CA47" i="160"/>
  <c r="CA45" i="160"/>
  <c r="CA44" i="160"/>
  <c r="CA43" i="160"/>
  <c r="CA42" i="160"/>
  <c r="CA40" i="160"/>
  <c r="CA41" i="160"/>
  <c r="CI51" i="160"/>
  <c r="CI54" i="160"/>
  <c r="CI50" i="160"/>
  <c r="CI53" i="160"/>
  <c r="CI49" i="160"/>
  <c r="CI47" i="160"/>
  <c r="CI45" i="160"/>
  <c r="CI52" i="160"/>
  <c r="CI48" i="160"/>
  <c r="CI46" i="160"/>
  <c r="CI44" i="160"/>
  <c r="CI43" i="160"/>
  <c r="CI42" i="160"/>
  <c r="CI41" i="160"/>
  <c r="CI40" i="160"/>
  <c r="CM51" i="160"/>
  <c r="CM51" i="48" s="1"/>
  <c r="CM54" i="160"/>
  <c r="CM54" i="48" s="1"/>
  <c r="CM50" i="160"/>
  <c r="CM50" i="48" s="1"/>
  <c r="CM53" i="160"/>
  <c r="CM53" i="48" s="1"/>
  <c r="CM49" i="160"/>
  <c r="CM49" i="48" s="1"/>
  <c r="CM52" i="160"/>
  <c r="CM52" i="48" s="1"/>
  <c r="CM48" i="160"/>
  <c r="CM48" i="48" s="1"/>
  <c r="CM46" i="160"/>
  <c r="CM46" i="48" s="1"/>
  <c r="CM47" i="160"/>
  <c r="CM47" i="48" s="1"/>
  <c r="CM45" i="160"/>
  <c r="CM45" i="48" s="1"/>
  <c r="CM44" i="160"/>
  <c r="CM44" i="48" s="1"/>
  <c r="CM43" i="160"/>
  <c r="CM43" i="48" s="1"/>
  <c r="CM42" i="160"/>
  <c r="CM42" i="48" s="1"/>
  <c r="CM40" i="160"/>
  <c r="CM40" i="48" s="1"/>
  <c r="CM41" i="160"/>
  <c r="CM41" i="48" s="1"/>
  <c r="DF12" i="160"/>
  <c r="AC15" i="160"/>
  <c r="EX15" i="160" s="1"/>
  <c r="CV15" i="160" s="1"/>
  <c r="FU19" i="160"/>
  <c r="CN11" i="160"/>
  <c r="FU11" i="160" s="1"/>
  <c r="CV12" i="160"/>
  <c r="FS21" i="160"/>
  <c r="AS39" i="160"/>
  <c r="AS38" i="160"/>
  <c r="AS36" i="160"/>
  <c r="AS35" i="160"/>
  <c r="AS34" i="160"/>
  <c r="AS33" i="160"/>
  <c r="AS32" i="160"/>
  <c r="AS37" i="160"/>
  <c r="BA39" i="160"/>
  <c r="BA38" i="160"/>
  <c r="BA36" i="160"/>
  <c r="BA35" i="160"/>
  <c r="BA34" i="160"/>
  <c r="BA33" i="160"/>
  <c r="BA32" i="160"/>
  <c r="BA37" i="160"/>
  <c r="BQ39" i="160"/>
  <c r="BQ38" i="160"/>
  <c r="BQ36" i="160"/>
  <c r="BQ35" i="160"/>
  <c r="BQ34" i="160"/>
  <c r="BQ33" i="160"/>
  <c r="BQ32" i="160"/>
  <c r="BQ37" i="160"/>
  <c r="BY39" i="160"/>
  <c r="BY38" i="160"/>
  <c r="BY36" i="160"/>
  <c r="BY35" i="160"/>
  <c r="BY34" i="160"/>
  <c r="BY33" i="160"/>
  <c r="BY32" i="160"/>
  <c r="BY37" i="160"/>
  <c r="CG39" i="160"/>
  <c r="CG38" i="160"/>
  <c r="CG36" i="160"/>
  <c r="CG37" i="160"/>
  <c r="CG35" i="160"/>
  <c r="CG34" i="160"/>
  <c r="CG33" i="160"/>
  <c r="CG32" i="160"/>
  <c r="CL38" i="160"/>
  <c r="CL37" i="160"/>
  <c r="CL37" i="48" s="1"/>
  <c r="CL39" i="160"/>
  <c r="CL35" i="160"/>
  <c r="CL35" i="48" s="1"/>
  <c r="CL34" i="160"/>
  <c r="CL33" i="160"/>
  <c r="CL33" i="48" s="1"/>
  <c r="CL32" i="160"/>
  <c r="CL32" i="48" s="1"/>
  <c r="CL36" i="160"/>
  <c r="CL36" i="48" s="1"/>
  <c r="CP38" i="160"/>
  <c r="CP38" i="48" s="1"/>
  <c r="CP37" i="160"/>
  <c r="CP37" i="48" s="1"/>
  <c r="CP35" i="160"/>
  <c r="CP35" i="48" s="1"/>
  <c r="CP34" i="160"/>
  <c r="CP34" i="48" s="1"/>
  <c r="CP33" i="160"/>
  <c r="CP33" i="48" s="1"/>
  <c r="CP32" i="160"/>
  <c r="CP32" i="48" s="1"/>
  <c r="CP39" i="160"/>
  <c r="CP39" i="48" s="1"/>
  <c r="CP36" i="160"/>
  <c r="CP36" i="48" s="1"/>
  <c r="CT38" i="160"/>
  <c r="CT38" i="48" s="1"/>
  <c r="CT37" i="160"/>
  <c r="CT37" i="48" s="1"/>
  <c r="CT39" i="160"/>
  <c r="CT39" i="48" s="1"/>
  <c r="CT35" i="160"/>
  <c r="CT35" i="48" s="1"/>
  <c r="CT34" i="160"/>
  <c r="CT34" i="48" s="1"/>
  <c r="CT33" i="160"/>
  <c r="CT32" i="160"/>
  <c r="CT32" i="48" s="1"/>
  <c r="CT36" i="160"/>
  <c r="CT36" i="48" s="1"/>
  <c r="D25" i="160"/>
  <c r="AQ25" i="160"/>
  <c r="AY25" i="160"/>
  <c r="BG25" i="160"/>
  <c r="BO25" i="160"/>
  <c r="BW25" i="160"/>
  <c r="CE25" i="160"/>
  <c r="CO25" i="160"/>
  <c r="CS25" i="160"/>
  <c r="CS25" i="48" s="1"/>
  <c r="D26" i="160"/>
  <c r="AQ26" i="160"/>
  <c r="AY26" i="160"/>
  <c r="BG26" i="160"/>
  <c r="BO26" i="160"/>
  <c r="BW26" i="160"/>
  <c r="CE26" i="160"/>
  <c r="CO26" i="160"/>
  <c r="CO26" i="48" s="1"/>
  <c r="CS26" i="160"/>
  <c r="D27" i="160"/>
  <c r="AQ27" i="160"/>
  <c r="AY27" i="160"/>
  <c r="BG27" i="160"/>
  <c r="BO27" i="160"/>
  <c r="BW27" i="160"/>
  <c r="CE27" i="160"/>
  <c r="CO27" i="160"/>
  <c r="CO27" i="48" s="1"/>
  <c r="CS27" i="160"/>
  <c r="D28" i="160"/>
  <c r="AQ28" i="160"/>
  <c r="AY28" i="160"/>
  <c r="BG28" i="160"/>
  <c r="BO28" i="160"/>
  <c r="BW28" i="160"/>
  <c r="CE28" i="160"/>
  <c r="CO28" i="160"/>
  <c r="CO28" i="48" s="1"/>
  <c r="CS28" i="160"/>
  <c r="CS28" i="48" s="1"/>
  <c r="D29" i="160"/>
  <c r="AU29" i="160"/>
  <c r="CA29" i="160"/>
  <c r="CM29" i="160"/>
  <c r="CM29" i="48" s="1"/>
  <c r="CU29" i="160"/>
  <c r="CU29" i="48" s="1"/>
  <c r="D32" i="160"/>
  <c r="AY32" i="160"/>
  <c r="CE32" i="160"/>
  <c r="AQ33" i="160"/>
  <c r="BW33" i="160"/>
  <c r="CS33" i="160"/>
  <c r="CS33" i="48" s="1"/>
  <c r="I51" i="160"/>
  <c r="I54" i="160"/>
  <c r="I52" i="160"/>
  <c r="I46" i="160"/>
  <c r="I44" i="160"/>
  <c r="I43" i="160"/>
  <c r="I42" i="160"/>
  <c r="I40" i="160"/>
  <c r="Q51" i="160"/>
  <c r="Q54" i="160"/>
  <c r="Q50" i="160"/>
  <c r="Q53" i="160"/>
  <c r="Q52" i="160"/>
  <c r="Q47" i="160"/>
  <c r="Q45" i="160"/>
  <c r="Q44" i="160"/>
  <c r="Q43" i="160"/>
  <c r="Q42" i="160"/>
  <c r="Q41" i="160"/>
  <c r="Q40" i="160"/>
  <c r="Q48" i="160"/>
  <c r="Q46" i="160"/>
  <c r="Y46" i="160"/>
  <c r="Y44" i="160"/>
  <c r="AG45" i="160"/>
  <c r="AO51" i="160"/>
  <c r="AO54" i="160"/>
  <c r="AO50" i="160"/>
  <c r="AO53" i="160"/>
  <c r="AO52" i="160"/>
  <c r="AO49" i="160"/>
  <c r="AO48" i="160"/>
  <c r="AO46" i="160"/>
  <c r="AO44" i="160"/>
  <c r="AO43" i="160"/>
  <c r="AO42" i="160"/>
  <c r="AO41" i="160"/>
  <c r="AO40" i="160"/>
  <c r="AO47" i="160"/>
  <c r="AO45" i="160"/>
  <c r="AW51" i="160"/>
  <c r="AW54" i="160"/>
  <c r="AW50" i="160"/>
  <c r="AW53" i="160"/>
  <c r="AW49" i="160"/>
  <c r="AW52" i="160"/>
  <c r="AW47" i="160"/>
  <c r="AW45" i="160"/>
  <c r="AW44" i="160"/>
  <c r="AW43" i="160"/>
  <c r="AW42" i="160"/>
  <c r="AW41" i="160"/>
  <c r="AW40" i="160"/>
  <c r="AW48" i="160"/>
  <c r="AW46" i="160"/>
  <c r="BE51" i="160"/>
  <c r="BE54" i="160"/>
  <c r="BE50" i="160"/>
  <c r="BE53" i="160"/>
  <c r="BE52" i="160"/>
  <c r="BE48" i="160"/>
  <c r="BE46" i="160"/>
  <c r="BE44" i="160"/>
  <c r="BE43" i="160"/>
  <c r="BE42" i="160"/>
  <c r="BE41" i="160"/>
  <c r="BE40" i="160"/>
  <c r="BE49" i="160"/>
  <c r="BE47" i="160"/>
  <c r="BE45" i="160"/>
  <c r="BM52" i="160"/>
  <c r="BM51" i="160"/>
  <c r="BM49" i="160"/>
  <c r="BM54" i="160"/>
  <c r="BM47" i="160"/>
  <c r="BM45" i="160"/>
  <c r="BM44" i="160"/>
  <c r="BM43" i="160"/>
  <c r="BM42" i="160"/>
  <c r="BM41" i="160"/>
  <c r="BM40" i="160"/>
  <c r="BM46" i="160"/>
  <c r="BU53" i="160"/>
  <c r="BU52" i="160"/>
  <c r="BU49" i="160"/>
  <c r="BU51" i="160"/>
  <c r="BU54" i="160"/>
  <c r="BU50" i="160"/>
  <c r="BU48" i="160"/>
  <c r="BU46" i="160"/>
  <c r="BU44" i="160"/>
  <c r="BU43" i="160"/>
  <c r="BU42" i="160"/>
  <c r="BU41" i="160"/>
  <c r="BU40" i="160"/>
  <c r="BU47" i="160"/>
  <c r="BU45" i="160"/>
  <c r="CC53" i="160"/>
  <c r="CC52" i="160"/>
  <c r="CC49" i="160"/>
  <c r="CC51" i="160"/>
  <c r="CC54" i="160"/>
  <c r="CC50" i="160"/>
  <c r="CC47" i="160"/>
  <c r="CC45" i="160"/>
  <c r="CC44" i="160"/>
  <c r="CC43" i="160"/>
  <c r="CC42" i="160"/>
  <c r="CC41" i="160"/>
  <c r="CC40" i="160"/>
  <c r="CC48" i="160"/>
  <c r="CC46" i="160"/>
  <c r="CJ54" i="160"/>
  <c r="CJ50" i="160"/>
  <c r="CJ53" i="160"/>
  <c r="CJ49" i="160"/>
  <c r="CJ49" i="48" s="1"/>
  <c r="CJ52" i="160"/>
  <c r="CJ51" i="160"/>
  <c r="CJ48" i="160"/>
  <c r="CJ48" i="48" s="1"/>
  <c r="CJ46" i="160"/>
  <c r="CJ46" i="48" s="1"/>
  <c r="CJ44" i="160"/>
  <c r="CJ43" i="160"/>
  <c r="CJ42" i="160"/>
  <c r="CJ42" i="48" s="1"/>
  <c r="CJ41" i="160"/>
  <c r="CJ41" i="48" s="1"/>
  <c r="CJ40" i="160"/>
  <c r="CJ47" i="160"/>
  <c r="CJ45" i="160"/>
  <c r="CJ45" i="48" s="1"/>
  <c r="CR54" i="160"/>
  <c r="CR54" i="48" s="1"/>
  <c r="CR50" i="160"/>
  <c r="CR50" i="48" s="1"/>
  <c r="CR53" i="160"/>
  <c r="CR53" i="48" s="1"/>
  <c r="CR49" i="160"/>
  <c r="CR52" i="160"/>
  <c r="CR52" i="48" s="1"/>
  <c r="CR51" i="160"/>
  <c r="CR48" i="160"/>
  <c r="CR48" i="48" s="1"/>
  <c r="CR46" i="160"/>
  <c r="CR44" i="160"/>
  <c r="CR44" i="48" s="1"/>
  <c r="CR43" i="160"/>
  <c r="CR43" i="48" s="1"/>
  <c r="CR42" i="160"/>
  <c r="CR41" i="160"/>
  <c r="CR40" i="160"/>
  <c r="CR40" i="48" s="1"/>
  <c r="CR47" i="160"/>
  <c r="CR45" i="160"/>
  <c r="AM38" i="160"/>
  <c r="AM35" i="160"/>
  <c r="AM34" i="160"/>
  <c r="AM33" i="160"/>
  <c r="AM32" i="160"/>
  <c r="AM39" i="160"/>
  <c r="AM37" i="160"/>
  <c r="AM36" i="160"/>
  <c r="AU38" i="160"/>
  <c r="AU39" i="160"/>
  <c r="AU35" i="160"/>
  <c r="AU34" i="160"/>
  <c r="AU33" i="160"/>
  <c r="AU32" i="160"/>
  <c r="AU37" i="160"/>
  <c r="AU36" i="160"/>
  <c r="BC38" i="160"/>
  <c r="BC35" i="160"/>
  <c r="BC34" i="160"/>
  <c r="BC33" i="160"/>
  <c r="BC32" i="160"/>
  <c r="BC39" i="160"/>
  <c r="BC37" i="160"/>
  <c r="BC36" i="160"/>
  <c r="BS38" i="160"/>
  <c r="BS34" i="160"/>
  <c r="BS33" i="160"/>
  <c r="BS32" i="160"/>
  <c r="BS39" i="160"/>
  <c r="BS37" i="160"/>
  <c r="BS36" i="160"/>
  <c r="BS35" i="160"/>
  <c r="CA37" i="160"/>
  <c r="CA34" i="160"/>
  <c r="CA33" i="160"/>
  <c r="CA32" i="160"/>
  <c r="CA38" i="160"/>
  <c r="CA36" i="160"/>
  <c r="CA39" i="160"/>
  <c r="CA35" i="160"/>
  <c r="CI37" i="160"/>
  <c r="CI38" i="160"/>
  <c r="CI34" i="160"/>
  <c r="CI33" i="160"/>
  <c r="CI32" i="160"/>
  <c r="CI39" i="160"/>
  <c r="CI36" i="160"/>
  <c r="CI35" i="160"/>
  <c r="CM37" i="160"/>
  <c r="CM37" i="48" s="1"/>
  <c r="CM34" i="160"/>
  <c r="CM34" i="48" s="1"/>
  <c r="CM33" i="160"/>
  <c r="CM33" i="48" s="1"/>
  <c r="CM32" i="160"/>
  <c r="CM32" i="48" s="1"/>
  <c r="CM38" i="160"/>
  <c r="CM38" i="48" s="1"/>
  <c r="CM36" i="160"/>
  <c r="CM36" i="48" s="1"/>
  <c r="CM39" i="160"/>
  <c r="CM39" i="48" s="1"/>
  <c r="CM35" i="160"/>
  <c r="CM35" i="48" s="1"/>
  <c r="CQ37" i="160"/>
  <c r="CQ37" i="48" s="1"/>
  <c r="CQ38" i="160"/>
  <c r="CQ38" i="48" s="1"/>
  <c r="CQ34" i="160"/>
  <c r="CQ34" i="48" s="1"/>
  <c r="CQ33" i="160"/>
  <c r="CQ32" i="160"/>
  <c r="CQ32" i="48" s="1"/>
  <c r="CQ39" i="160"/>
  <c r="GL11" i="160" s="1"/>
  <c r="CQ36" i="160"/>
  <c r="CQ36" i="48" s="1"/>
  <c r="CQ35" i="160"/>
  <c r="CU37" i="160"/>
  <c r="CU34" i="160"/>
  <c r="CU33" i="160"/>
  <c r="CU33" i="48" s="1"/>
  <c r="CU32" i="160"/>
  <c r="CU38" i="160"/>
  <c r="CU36" i="160"/>
  <c r="CU39" i="160"/>
  <c r="CU39" i="48" s="1"/>
  <c r="CU35" i="160"/>
  <c r="FW23" i="160"/>
  <c r="GA23" i="160"/>
  <c r="AS25" i="160"/>
  <c r="BA25" i="160"/>
  <c r="BQ25" i="160"/>
  <c r="BY25" i="160"/>
  <c r="CG25" i="160"/>
  <c r="CL25" i="160"/>
  <c r="CP25" i="160"/>
  <c r="CP25" i="48" s="1"/>
  <c r="CT25" i="160"/>
  <c r="CT25" i="48" s="1"/>
  <c r="AS26" i="160"/>
  <c r="BA26" i="160"/>
  <c r="BQ26" i="160"/>
  <c r="BY26" i="160"/>
  <c r="CG26" i="160"/>
  <c r="CL26" i="160"/>
  <c r="CL26" i="48" s="1"/>
  <c r="CP26" i="160"/>
  <c r="CP26" i="48" s="1"/>
  <c r="CT26" i="160"/>
  <c r="CT26" i="48" s="1"/>
  <c r="AS27" i="160"/>
  <c r="BA27" i="160"/>
  <c r="BQ27" i="160"/>
  <c r="BY27" i="160"/>
  <c r="CG27" i="160"/>
  <c r="CL27" i="160"/>
  <c r="CP27" i="160"/>
  <c r="CP27" i="48" s="1"/>
  <c r="CT27" i="160"/>
  <c r="CT27" i="48" s="1"/>
  <c r="AS28" i="160"/>
  <c r="BA28" i="160"/>
  <c r="BQ28" i="160"/>
  <c r="BY28" i="160"/>
  <c r="CG28" i="160"/>
  <c r="CL28" i="160"/>
  <c r="CL28" i="48" s="1"/>
  <c r="CP28" i="160"/>
  <c r="CP28" i="48" s="1"/>
  <c r="CT28" i="160"/>
  <c r="CT28" i="48" s="1"/>
  <c r="BA29" i="160"/>
  <c r="BQ29" i="160"/>
  <c r="CG29" i="160"/>
  <c r="CP29" i="160"/>
  <c r="CP29" i="48" s="1"/>
  <c r="AS30" i="160"/>
  <c r="BY30" i="160"/>
  <c r="CL30" i="160"/>
  <c r="CL30" i="48" s="1"/>
  <c r="CT30" i="160"/>
  <c r="CT30" i="48" s="1"/>
  <c r="BA31" i="160"/>
  <c r="BQ31" i="160"/>
  <c r="CG31" i="160"/>
  <c r="CP31" i="160"/>
  <c r="CP31" i="48" s="1"/>
  <c r="D54" i="160"/>
  <c r="D50" i="160"/>
  <c r="D53" i="160"/>
  <c r="D52" i="160"/>
  <c r="D49" i="160"/>
  <c r="D48" i="160"/>
  <c r="D47" i="160"/>
  <c r="D46" i="160"/>
  <c r="D45" i="160"/>
  <c r="D44" i="160"/>
  <c r="D43" i="160"/>
  <c r="D42" i="160"/>
  <c r="D41" i="160"/>
  <c r="D40" i="160"/>
  <c r="D51" i="160"/>
  <c r="K46" i="160"/>
  <c r="K40" i="160"/>
  <c r="S54" i="160"/>
  <c r="S52" i="160"/>
  <c r="S51" i="160"/>
  <c r="S47" i="160"/>
  <c r="S46" i="160"/>
  <c r="S44" i="160"/>
  <c r="S43" i="160"/>
  <c r="S42" i="160"/>
  <c r="S40" i="160"/>
  <c r="AA54" i="160"/>
  <c r="AA50" i="160"/>
  <c r="AA53" i="160"/>
  <c r="AA52" i="160"/>
  <c r="AA49" i="160"/>
  <c r="AA48" i="160"/>
  <c r="AA47" i="160"/>
  <c r="AA46" i="160"/>
  <c r="AA51" i="160"/>
  <c r="AA45" i="160"/>
  <c r="AA44" i="160"/>
  <c r="AA43" i="160"/>
  <c r="AA42" i="160"/>
  <c r="AA41" i="160"/>
  <c r="AA40" i="160"/>
  <c r="AQ54" i="160"/>
  <c r="AQ50" i="160"/>
  <c r="AQ49" i="160"/>
  <c r="AQ53" i="160"/>
  <c r="AQ52" i="160"/>
  <c r="AQ51" i="160"/>
  <c r="AQ48" i="160"/>
  <c r="AQ47" i="160"/>
  <c r="AQ46" i="160"/>
  <c r="AQ45" i="160"/>
  <c r="AQ44" i="160"/>
  <c r="AQ43" i="160"/>
  <c r="AQ42" i="160"/>
  <c r="AQ41" i="160"/>
  <c r="AQ40" i="160"/>
  <c r="AY54" i="160"/>
  <c r="AY50" i="160"/>
  <c r="AY49" i="160"/>
  <c r="AY53" i="160"/>
  <c r="AY52" i="160"/>
  <c r="AY51" i="160"/>
  <c r="AY48" i="160"/>
  <c r="AY47" i="160"/>
  <c r="AY46" i="160"/>
  <c r="AY45" i="160"/>
  <c r="AY44" i="160"/>
  <c r="AY43" i="160"/>
  <c r="AY42" i="160"/>
  <c r="AY41" i="160"/>
  <c r="AY40" i="160"/>
  <c r="BG54" i="160"/>
  <c r="BG50" i="160"/>
  <c r="BG49" i="160"/>
  <c r="BG53" i="160"/>
  <c r="BG52" i="160"/>
  <c r="BG48" i="160"/>
  <c r="BG47" i="160"/>
  <c r="BG46" i="160"/>
  <c r="BG45" i="160"/>
  <c r="BG51" i="160"/>
  <c r="BG44" i="160"/>
  <c r="BG43" i="160"/>
  <c r="BG42" i="160"/>
  <c r="BG41" i="160"/>
  <c r="BG40" i="160"/>
  <c r="BO51" i="160"/>
  <c r="BO49" i="160"/>
  <c r="BO54" i="160"/>
  <c r="BO50" i="160"/>
  <c r="BO53" i="160"/>
  <c r="BO52" i="160"/>
  <c r="BO48" i="160"/>
  <c r="BO47" i="160"/>
  <c r="BO46" i="160"/>
  <c r="BO45" i="160"/>
  <c r="BO44" i="160"/>
  <c r="BO43" i="160"/>
  <c r="BO42" i="160"/>
  <c r="BO41" i="160"/>
  <c r="BO40" i="160"/>
  <c r="BW51" i="160"/>
  <c r="BW49" i="160"/>
  <c r="BW54" i="160"/>
  <c r="BW50" i="160"/>
  <c r="BW53" i="160"/>
  <c r="BW48" i="160"/>
  <c r="BW47" i="160"/>
  <c r="BW46" i="160"/>
  <c r="BW45" i="160"/>
  <c r="BW52" i="160"/>
  <c r="BW44" i="160"/>
  <c r="BW43" i="160"/>
  <c r="BW42" i="160"/>
  <c r="BW41" i="160"/>
  <c r="BW40" i="160"/>
  <c r="CE51" i="160"/>
  <c r="CE49" i="160"/>
  <c r="CE54" i="160"/>
  <c r="CE50" i="160"/>
  <c r="CE53" i="160"/>
  <c r="CE52" i="160"/>
  <c r="CE48" i="160"/>
  <c r="CE47" i="160"/>
  <c r="CE46" i="160"/>
  <c r="CE45" i="160"/>
  <c r="CE44" i="160"/>
  <c r="CE43" i="160"/>
  <c r="CE42" i="160"/>
  <c r="CE41" i="160"/>
  <c r="CE40" i="160"/>
  <c r="CO53" i="160"/>
  <c r="CO49" i="160"/>
  <c r="CO49" i="48" s="1"/>
  <c r="CO52" i="160"/>
  <c r="CO52" i="48" s="1"/>
  <c r="CO51" i="160"/>
  <c r="CO51" i="48" s="1"/>
  <c r="CO54" i="160"/>
  <c r="CO50" i="160"/>
  <c r="CO50" i="48" s="1"/>
  <c r="CO48" i="160"/>
  <c r="CO48" i="48" s="1"/>
  <c r="CO47" i="160"/>
  <c r="CO47" i="48" s="1"/>
  <c r="CO46" i="160"/>
  <c r="CO46" i="48" s="1"/>
  <c r="CO45" i="160"/>
  <c r="CO45" i="48" s="1"/>
  <c r="CO44" i="160"/>
  <c r="CO44" i="48" s="1"/>
  <c r="CO43" i="160"/>
  <c r="CO43" i="48" s="1"/>
  <c r="CO42" i="160"/>
  <c r="CO42" i="48" s="1"/>
  <c r="CO41" i="160"/>
  <c r="CO41" i="48" s="1"/>
  <c r="CO40" i="160"/>
  <c r="CO40" i="48" s="1"/>
  <c r="CS53" i="160"/>
  <c r="CS53" i="48" s="1"/>
  <c r="CS49" i="160"/>
  <c r="CS49" i="48" s="1"/>
  <c r="CS52" i="160"/>
  <c r="CS52" i="48" s="1"/>
  <c r="CS51" i="160"/>
  <c r="CS51" i="48" s="1"/>
  <c r="CS54" i="160"/>
  <c r="CS54" i="48" s="1"/>
  <c r="CS50" i="160"/>
  <c r="CS50" i="48" s="1"/>
  <c r="CS48" i="160"/>
  <c r="CS48" i="48" s="1"/>
  <c r="CS47" i="160"/>
  <c r="CS47" i="48" s="1"/>
  <c r="CS46" i="160"/>
  <c r="CS46" i="48" s="1"/>
  <c r="CS45" i="160"/>
  <c r="CS44" i="160"/>
  <c r="CS44" i="48" s="1"/>
  <c r="CS43" i="160"/>
  <c r="CS42" i="160"/>
  <c r="CS42" i="48" s="1"/>
  <c r="CS41" i="160"/>
  <c r="CS41" i="48" s="1"/>
  <c r="CS40" i="160"/>
  <c r="CS40" i="48" s="1"/>
  <c r="FF22" i="160"/>
  <c r="FY22" i="160"/>
  <c r="AO39" i="160"/>
  <c r="AO38" i="160"/>
  <c r="AO37" i="160"/>
  <c r="AO31" i="160"/>
  <c r="AO30" i="160"/>
  <c r="AO29" i="160"/>
  <c r="AO36" i="160"/>
  <c r="AO35" i="160"/>
  <c r="AO34" i="160"/>
  <c r="AW37" i="160"/>
  <c r="AW31" i="160"/>
  <c r="AW30" i="160"/>
  <c r="AW29" i="160"/>
  <c r="AW36" i="160"/>
  <c r="AW39" i="160"/>
  <c r="AW38" i="160"/>
  <c r="AW35" i="160"/>
  <c r="AW34" i="160"/>
  <c r="AW33" i="160"/>
  <c r="BE39" i="160"/>
  <c r="BE38" i="160"/>
  <c r="BE37" i="160"/>
  <c r="BE31" i="160"/>
  <c r="BE30" i="160"/>
  <c r="BE29" i="160"/>
  <c r="BE36" i="160"/>
  <c r="BE35" i="160"/>
  <c r="BE34" i="160"/>
  <c r="BE33" i="160"/>
  <c r="BU39" i="160"/>
  <c r="BU38" i="160"/>
  <c r="BU36" i="160"/>
  <c r="BU35" i="160"/>
  <c r="BU31" i="160"/>
  <c r="BU30" i="160"/>
  <c r="BU29" i="160"/>
  <c r="BU37" i="160"/>
  <c r="BU34" i="160"/>
  <c r="BU33" i="160"/>
  <c r="CC39" i="160"/>
  <c r="CC38" i="160"/>
  <c r="CC37" i="160"/>
  <c r="CC36" i="160"/>
  <c r="CC35" i="160"/>
  <c r="CC31" i="160"/>
  <c r="CC30" i="160"/>
  <c r="CC29" i="160"/>
  <c r="CC34" i="160"/>
  <c r="CC33" i="160"/>
  <c r="CJ39" i="160"/>
  <c r="CJ39" i="48" s="1"/>
  <c r="CJ36" i="160"/>
  <c r="CJ36" i="48" s="1"/>
  <c r="CJ31" i="160"/>
  <c r="CJ30" i="160"/>
  <c r="CJ29" i="160"/>
  <c r="CJ29" i="48" s="1"/>
  <c r="CJ35" i="160"/>
  <c r="CJ35" i="48" s="1"/>
  <c r="CJ38" i="160"/>
  <c r="CJ37" i="160"/>
  <c r="CJ37" i="48" s="1"/>
  <c r="CJ34" i="160"/>
  <c r="CJ34" i="48" s="1"/>
  <c r="CJ33" i="160"/>
  <c r="CJ33" i="48" s="1"/>
  <c r="CR39" i="160"/>
  <c r="CR39" i="48" s="1"/>
  <c r="CR36" i="160"/>
  <c r="CR36" i="48" s="1"/>
  <c r="CR31" i="160"/>
  <c r="CR31" i="48" s="1"/>
  <c r="CR30" i="160"/>
  <c r="CR29" i="160"/>
  <c r="CR35" i="160"/>
  <c r="CR35" i="48" s="1"/>
  <c r="CR38" i="160"/>
  <c r="CR38" i="48" s="1"/>
  <c r="CR37" i="160"/>
  <c r="CR34" i="160"/>
  <c r="CR34" i="48" s="1"/>
  <c r="CR33" i="160"/>
  <c r="CR33" i="48" s="1"/>
  <c r="FX23" i="160"/>
  <c r="GB23" i="160"/>
  <c r="AM25" i="160"/>
  <c r="AU25" i="160"/>
  <c r="BC25" i="160"/>
  <c r="BS25" i="160"/>
  <c r="CA25" i="160"/>
  <c r="CI25" i="160"/>
  <c r="CM25" i="160"/>
  <c r="CQ25" i="160"/>
  <c r="CU25" i="160"/>
  <c r="AM26" i="160"/>
  <c r="AU26" i="160"/>
  <c r="BC26" i="160"/>
  <c r="BS26" i="160"/>
  <c r="CA26" i="160"/>
  <c r="CI26" i="160"/>
  <c r="CM26" i="160"/>
  <c r="CM26" i="48" s="1"/>
  <c r="CQ26" i="160"/>
  <c r="CQ26" i="48" s="1"/>
  <c r="CU26" i="160"/>
  <c r="CU26" i="48" s="1"/>
  <c r="AM27" i="160"/>
  <c r="AU27" i="160"/>
  <c r="BC27" i="160"/>
  <c r="BS27" i="160"/>
  <c r="CA27" i="160"/>
  <c r="CI27" i="160"/>
  <c r="CM27" i="160"/>
  <c r="CM27" i="48" s="1"/>
  <c r="CQ27" i="160"/>
  <c r="CQ27" i="48" s="1"/>
  <c r="CU27" i="160"/>
  <c r="AM28" i="160"/>
  <c r="AU28" i="160"/>
  <c r="BC28" i="160"/>
  <c r="BS28" i="160"/>
  <c r="CA28" i="160"/>
  <c r="CI28" i="160"/>
  <c r="CM28" i="160"/>
  <c r="CM28" i="48" s="1"/>
  <c r="CQ28" i="160"/>
  <c r="CQ28" i="48" s="1"/>
  <c r="CU28" i="160"/>
  <c r="AM29" i="160"/>
  <c r="BC29" i="160"/>
  <c r="BS29" i="160"/>
  <c r="CI29" i="160"/>
  <c r="CQ29" i="160"/>
  <c r="CQ29" i="48" s="1"/>
  <c r="AU30" i="160"/>
  <c r="CA30" i="160"/>
  <c r="CM30" i="160"/>
  <c r="CM30" i="48" s="1"/>
  <c r="CU30" i="160"/>
  <c r="AM31" i="160"/>
  <c r="BC31" i="160"/>
  <c r="BS31" i="160"/>
  <c r="CI31" i="160"/>
  <c r="CQ31" i="160"/>
  <c r="CQ31" i="48" s="1"/>
  <c r="BG32" i="160"/>
  <c r="CG53" i="160"/>
  <c r="CG52" i="160"/>
  <c r="CG51" i="160"/>
  <c r="CG54" i="160"/>
  <c r="CG50" i="160"/>
  <c r="CG48" i="160"/>
  <c r="CG47" i="160"/>
  <c r="CG46" i="160"/>
  <c r="CG45" i="160"/>
  <c r="CG49" i="160"/>
  <c r="CG44" i="160"/>
  <c r="CG43" i="160"/>
  <c r="CG42" i="160"/>
  <c r="CG40" i="160"/>
  <c r="CG41" i="160"/>
  <c r="CL52" i="160"/>
  <c r="CL52" i="48" s="1"/>
  <c r="CL51" i="160"/>
  <c r="CL54" i="160"/>
  <c r="CL54" i="48" s="1"/>
  <c r="CL50" i="160"/>
  <c r="CL50" i="48" s="1"/>
  <c r="CL48" i="160"/>
  <c r="CL48" i="48" s="1"/>
  <c r="CL47" i="160"/>
  <c r="CL47" i="48" s="1"/>
  <c r="CL46" i="160"/>
  <c r="CL46" i="48" s="1"/>
  <c r="CL45" i="160"/>
  <c r="CL53" i="160"/>
  <c r="CL53" i="48" s="1"/>
  <c r="CL49" i="160"/>
  <c r="CL49" i="48" s="1"/>
  <c r="CL44" i="160"/>
  <c r="CL44" i="48" s="1"/>
  <c r="CL43" i="160"/>
  <c r="CL43" i="48" s="1"/>
  <c r="CL42" i="160"/>
  <c r="CL42" i="48" s="1"/>
  <c r="CL41" i="160"/>
  <c r="CL41" i="48" s="1"/>
  <c r="CL40" i="160"/>
  <c r="CL40" i="48" s="1"/>
  <c r="CP52" i="160"/>
  <c r="CP52" i="48" s="1"/>
  <c r="CP51" i="160"/>
  <c r="CP51" i="48" s="1"/>
  <c r="CP54" i="160"/>
  <c r="CP54" i="48" s="1"/>
  <c r="CP50" i="160"/>
  <c r="CP50" i="48" s="1"/>
  <c r="CP53" i="160"/>
  <c r="CP53" i="48" s="1"/>
  <c r="CP49" i="160"/>
  <c r="CP49" i="48" s="1"/>
  <c r="CP48" i="160"/>
  <c r="CP48" i="48" s="1"/>
  <c r="CP47" i="160"/>
  <c r="CP47" i="48" s="1"/>
  <c r="CP46" i="160"/>
  <c r="CP46" i="48" s="1"/>
  <c r="CP45" i="160"/>
  <c r="CP45" i="48" s="1"/>
  <c r="CP44" i="160"/>
  <c r="CP44" i="48" s="1"/>
  <c r="CP43" i="160"/>
  <c r="CP43" i="48" s="1"/>
  <c r="CP42" i="160"/>
  <c r="CP42" i="48" s="1"/>
  <c r="CP40" i="160"/>
  <c r="CP40" i="48" s="1"/>
  <c r="CP41" i="160"/>
  <c r="CP41" i="48" s="1"/>
  <c r="CT52" i="160"/>
  <c r="CT52" i="48" s="1"/>
  <c r="CT51" i="160"/>
  <c r="CT51" i="48" s="1"/>
  <c r="CT54" i="160"/>
  <c r="CT54" i="48" s="1"/>
  <c r="CT50" i="160"/>
  <c r="CT50" i="48" s="1"/>
  <c r="CT48" i="160"/>
  <c r="CT48" i="48" s="1"/>
  <c r="CT47" i="160"/>
  <c r="CT47" i="48" s="1"/>
  <c r="CT46" i="160"/>
  <c r="CT46" i="48" s="1"/>
  <c r="CT45" i="160"/>
  <c r="CT45" i="48" s="1"/>
  <c r="CT53" i="160"/>
  <c r="CT53" i="48" s="1"/>
  <c r="CT49" i="160"/>
  <c r="CT49" i="48" s="1"/>
  <c r="CT44" i="160"/>
  <c r="CT44" i="48" s="1"/>
  <c r="CT43" i="160"/>
  <c r="CT43" i="48" s="1"/>
  <c r="CT42" i="160"/>
  <c r="CT42" i="48" s="1"/>
  <c r="CT41" i="160"/>
  <c r="CT41" i="48" s="1"/>
  <c r="CT40" i="160"/>
  <c r="CT40" i="48" s="1"/>
  <c r="FV22" i="160"/>
  <c r="FZ22" i="160"/>
  <c r="D39" i="160"/>
  <c r="D37" i="160"/>
  <c r="D31" i="160"/>
  <c r="D30" i="160"/>
  <c r="D36" i="160"/>
  <c r="D38" i="160"/>
  <c r="D35" i="160"/>
  <c r="D34" i="160"/>
  <c r="AQ39" i="160"/>
  <c r="AQ38" i="160"/>
  <c r="AQ37" i="160"/>
  <c r="AQ31" i="160"/>
  <c r="AQ30" i="160"/>
  <c r="AQ29" i="160"/>
  <c r="AQ36" i="160"/>
  <c r="AQ35" i="160"/>
  <c r="AQ34" i="160"/>
  <c r="AY39" i="160"/>
  <c r="AY37" i="160"/>
  <c r="AY31" i="160"/>
  <c r="AY30" i="160"/>
  <c r="AY29" i="160"/>
  <c r="AY36" i="160"/>
  <c r="AY38" i="160"/>
  <c r="AY35" i="160"/>
  <c r="AY34" i="160"/>
  <c r="BG39" i="160"/>
  <c r="BG38" i="160"/>
  <c r="BG37" i="160"/>
  <c r="BG31" i="160"/>
  <c r="BG30" i="160"/>
  <c r="BG29" i="160"/>
  <c r="BG36" i="160"/>
  <c r="BG35" i="160"/>
  <c r="BG34" i="160"/>
  <c r="BO39" i="160"/>
  <c r="BO31" i="160"/>
  <c r="BO30" i="160"/>
  <c r="BO29" i="160"/>
  <c r="BO37" i="160"/>
  <c r="BO36" i="160"/>
  <c r="BO34" i="160"/>
  <c r="BO38" i="160"/>
  <c r="BO35" i="160"/>
  <c r="BW31" i="160"/>
  <c r="BW30" i="160"/>
  <c r="BW29" i="160"/>
  <c r="BW38" i="160"/>
  <c r="BW37" i="160"/>
  <c r="BW39" i="160"/>
  <c r="BW36" i="160"/>
  <c r="BW34" i="160"/>
  <c r="BW35" i="160"/>
  <c r="CE37" i="160"/>
  <c r="CE39" i="160"/>
  <c r="CE31" i="160"/>
  <c r="CE30" i="160"/>
  <c r="CE29" i="160"/>
  <c r="CE36" i="160"/>
  <c r="CE34" i="160"/>
  <c r="CE38" i="160"/>
  <c r="CE35" i="160"/>
  <c r="CO39" i="160"/>
  <c r="CO39" i="48" s="1"/>
  <c r="CO38" i="160"/>
  <c r="CO37" i="160"/>
  <c r="CO37" i="48" s="1"/>
  <c r="CO36" i="160"/>
  <c r="CO36" i="48" s="1"/>
  <c r="CO31" i="160"/>
  <c r="CO31" i="48" s="1"/>
  <c r="CO30" i="160"/>
  <c r="CO30" i="48" s="1"/>
  <c r="CO29" i="160"/>
  <c r="CO29" i="48" s="1"/>
  <c r="CO35" i="160"/>
  <c r="CO35" i="48" s="1"/>
  <c r="CO34" i="160"/>
  <c r="CO34" i="48" s="1"/>
  <c r="CS39" i="160"/>
  <c r="CS38" i="160"/>
  <c r="CS38" i="48" s="1"/>
  <c r="CS36" i="160"/>
  <c r="CS36" i="48" s="1"/>
  <c r="CS31" i="160"/>
  <c r="CS31" i="48" s="1"/>
  <c r="CS30" i="160"/>
  <c r="CS30" i="48" s="1"/>
  <c r="CS29" i="160"/>
  <c r="CS29" i="48" s="1"/>
  <c r="CS35" i="160"/>
  <c r="CS35" i="48" s="1"/>
  <c r="CS37" i="160"/>
  <c r="CS37" i="48" s="1"/>
  <c r="CS34" i="160"/>
  <c r="CS34" i="48" s="1"/>
  <c r="FF23" i="160"/>
  <c r="FY23" i="160"/>
  <c r="AO25" i="160"/>
  <c r="AW25" i="160"/>
  <c r="BE25" i="160"/>
  <c r="BU25" i="160"/>
  <c r="CC25" i="160"/>
  <c r="CJ25" i="160"/>
  <c r="CR25" i="160"/>
  <c r="CR25" i="48" s="1"/>
  <c r="AO26" i="160"/>
  <c r="AW26" i="160"/>
  <c r="BE26" i="160"/>
  <c r="BU26" i="160"/>
  <c r="CC26" i="160"/>
  <c r="CJ26" i="160"/>
  <c r="CJ26" i="48" s="1"/>
  <c r="CR26" i="160"/>
  <c r="CR26" i="48" s="1"/>
  <c r="AO27" i="160"/>
  <c r="AW27" i="160"/>
  <c r="BE27" i="160"/>
  <c r="BU27" i="160"/>
  <c r="CC27" i="160"/>
  <c r="CJ27" i="160"/>
  <c r="CJ27" i="48" s="1"/>
  <c r="CR27" i="160"/>
  <c r="CR27" i="48" s="1"/>
  <c r="AO28" i="160"/>
  <c r="AW28" i="160"/>
  <c r="BE28" i="160"/>
  <c r="BU28" i="160"/>
  <c r="CC28" i="160"/>
  <c r="CJ28" i="160"/>
  <c r="CJ28" i="48" s="1"/>
  <c r="CR28" i="160"/>
  <c r="CR28" i="48" s="1"/>
  <c r="AS29" i="160"/>
  <c r="BY29" i="160"/>
  <c r="CL29" i="160"/>
  <c r="CL29" i="48" s="1"/>
  <c r="CT29" i="160"/>
  <c r="CT29" i="48" s="1"/>
  <c r="BA30" i="160"/>
  <c r="BQ30" i="160"/>
  <c r="CG30" i="160"/>
  <c r="CP30" i="160"/>
  <c r="CP30" i="48" s="1"/>
  <c r="AS31" i="160"/>
  <c r="BY31" i="160"/>
  <c r="CL31" i="160"/>
  <c r="CL31" i="48" s="1"/>
  <c r="CT31" i="160"/>
  <c r="CT31" i="48" s="1"/>
  <c r="AW32" i="160"/>
  <c r="CC32" i="160"/>
  <c r="AO33" i="160"/>
  <c r="BO33" i="160"/>
  <c r="CO33" i="160"/>
  <c r="CO33" i="48" s="1"/>
  <c r="FQ23" i="48"/>
  <c r="FQ22" i="48"/>
  <c r="FO23" i="48"/>
  <c r="FO22" i="48"/>
  <c r="FQ5" i="48"/>
  <c r="FQ6" i="48"/>
  <c r="FQ7" i="48"/>
  <c r="FQ8" i="48"/>
  <c r="FQ9" i="48"/>
  <c r="FQ10" i="48"/>
  <c r="FQ11" i="48"/>
  <c r="FQ12" i="48"/>
  <c r="FQ13" i="48"/>
  <c r="FQ14" i="48"/>
  <c r="FQ15" i="48"/>
  <c r="FQ16" i="48"/>
  <c r="FQ17" i="48"/>
  <c r="FQ18" i="48"/>
  <c r="FO5" i="48"/>
  <c r="FO6" i="48"/>
  <c r="FO7" i="48"/>
  <c r="FO8" i="48"/>
  <c r="FO9" i="48"/>
  <c r="FO10" i="48"/>
  <c r="FO11" i="48"/>
  <c r="FO12" i="48"/>
  <c r="FO13" i="48"/>
  <c r="FO14" i="48"/>
  <c r="FO15" i="48"/>
  <c r="FO16" i="48"/>
  <c r="FO17" i="48"/>
  <c r="FO18" i="48"/>
  <c r="FO4" i="48"/>
  <c r="CS26" i="48"/>
  <c r="CL27" i="48"/>
  <c r="CS27" i="48"/>
  <c r="CU27" i="48"/>
  <c r="CU28" i="48"/>
  <c r="CR29" i="48"/>
  <c r="CQ30" i="48"/>
  <c r="CR30" i="48"/>
  <c r="CU30" i="48"/>
  <c r="CJ31" i="48"/>
  <c r="CM31" i="48"/>
  <c r="CU31" i="48"/>
  <c r="CR32" i="48"/>
  <c r="CU32" i="48"/>
  <c r="CQ33" i="48"/>
  <c r="CT33" i="48"/>
  <c r="CL34" i="48"/>
  <c r="CU34" i="48"/>
  <c r="CQ35" i="48"/>
  <c r="CU35" i="48"/>
  <c r="CU36" i="48"/>
  <c r="CR37" i="48"/>
  <c r="CU37" i="48"/>
  <c r="CJ38" i="48"/>
  <c r="CL38" i="48"/>
  <c r="CO38" i="48"/>
  <c r="CU38" i="48"/>
  <c r="CL39" i="48"/>
  <c r="CS39" i="48"/>
  <c r="CJ40" i="48"/>
  <c r="CU40" i="48"/>
  <c r="CQ41" i="48"/>
  <c r="CR41" i="48"/>
  <c r="CU41" i="48"/>
  <c r="CQ42" i="48"/>
  <c r="CR42" i="48"/>
  <c r="CU42" i="48"/>
  <c r="CJ43" i="48"/>
  <c r="CS43" i="48"/>
  <c r="CU43" i="48"/>
  <c r="CJ44" i="48"/>
  <c r="CU44" i="48"/>
  <c r="CL45" i="48"/>
  <c r="CR45" i="48"/>
  <c r="CS45" i="48"/>
  <c r="CU45" i="48"/>
  <c r="CQ46" i="48"/>
  <c r="CR46" i="48"/>
  <c r="CJ47" i="48"/>
  <c r="CR47" i="48"/>
  <c r="CU47" i="48"/>
  <c r="CQ48" i="48"/>
  <c r="CU48" i="48"/>
  <c r="CQ49" i="48"/>
  <c r="CR49" i="48"/>
  <c r="CU49" i="48"/>
  <c r="CJ50" i="48"/>
  <c r="CU50" i="48"/>
  <c r="CJ51" i="48"/>
  <c r="CL51" i="48"/>
  <c r="CQ51" i="48"/>
  <c r="CR51" i="48"/>
  <c r="CU51" i="48"/>
  <c r="CJ52" i="48"/>
  <c r="CQ52" i="48"/>
  <c r="CU52" i="48"/>
  <c r="CJ53" i="48"/>
  <c r="CO53" i="48"/>
  <c r="CJ54" i="48"/>
  <c r="CO54" i="48"/>
  <c r="CQ54" i="48"/>
  <c r="CU54" i="48"/>
  <c r="CU25" i="48"/>
  <c r="CQ25" i="48"/>
  <c r="CO25" i="48"/>
  <c r="CJ5" i="48"/>
  <c r="CK5" i="48"/>
  <c r="CL5" i="48"/>
  <c r="CM5" i="48"/>
  <c r="CN5" i="48"/>
  <c r="CO5" i="48"/>
  <c r="CP5" i="48"/>
  <c r="CQ5" i="48"/>
  <c r="CR5" i="48"/>
  <c r="CS5" i="48"/>
  <c r="CT5" i="48"/>
  <c r="CU5" i="48"/>
  <c r="CJ6" i="48"/>
  <c r="CK6" i="48"/>
  <c r="CL6" i="48"/>
  <c r="CM6" i="48"/>
  <c r="CN6" i="48"/>
  <c r="CO6" i="48"/>
  <c r="CP6" i="48"/>
  <c r="CQ6" i="48"/>
  <c r="CR6" i="48"/>
  <c r="CS6" i="48"/>
  <c r="CT6" i="48"/>
  <c r="CU6" i="48"/>
  <c r="CJ7" i="48"/>
  <c r="CK7" i="48"/>
  <c r="CL7" i="48"/>
  <c r="CM7" i="48"/>
  <c r="CN7" i="48"/>
  <c r="CO7" i="48"/>
  <c r="CP7" i="48"/>
  <c r="CQ7" i="48"/>
  <c r="CR7" i="48"/>
  <c r="CS7" i="48"/>
  <c r="CT7" i="48"/>
  <c r="CU7" i="48"/>
  <c r="CJ8" i="48"/>
  <c r="CK8" i="48"/>
  <c r="CL8" i="48"/>
  <c r="CM8" i="48"/>
  <c r="CN8" i="48"/>
  <c r="CO8" i="48"/>
  <c r="CP8" i="48"/>
  <c r="CQ8" i="48"/>
  <c r="CR8" i="48"/>
  <c r="CS8" i="48"/>
  <c r="CT8" i="48"/>
  <c r="CU8" i="48"/>
  <c r="CJ9" i="48"/>
  <c r="CK9" i="48"/>
  <c r="CL9" i="48"/>
  <c r="CM9" i="48"/>
  <c r="CN9" i="48"/>
  <c r="CO9" i="48"/>
  <c r="CP9" i="48"/>
  <c r="CQ9" i="48"/>
  <c r="CR9" i="48"/>
  <c r="CS9" i="48"/>
  <c r="CT9" i="48"/>
  <c r="CU9" i="48"/>
  <c r="CJ10" i="48"/>
  <c r="CK10" i="48"/>
  <c r="CL10" i="48"/>
  <c r="CM10" i="48"/>
  <c r="CN10" i="48"/>
  <c r="CO10" i="48"/>
  <c r="CP10" i="48"/>
  <c r="CQ10" i="48"/>
  <c r="CR10" i="48"/>
  <c r="CS10" i="48"/>
  <c r="CT10" i="48"/>
  <c r="CU10" i="48"/>
  <c r="CJ11" i="48"/>
  <c r="CK11" i="48"/>
  <c r="CL11" i="48"/>
  <c r="CM11" i="48"/>
  <c r="CN11" i="48"/>
  <c r="CO11" i="48"/>
  <c r="CP11" i="48"/>
  <c r="CQ11" i="48"/>
  <c r="CR11" i="48"/>
  <c r="CS11" i="48"/>
  <c r="CT11" i="48"/>
  <c r="CU11" i="48"/>
  <c r="CJ12" i="48"/>
  <c r="CK12" i="48"/>
  <c r="CL12" i="48"/>
  <c r="CM12" i="48"/>
  <c r="CN12" i="48"/>
  <c r="CO12" i="48"/>
  <c r="CP12" i="48"/>
  <c r="CQ12" i="48"/>
  <c r="CR12" i="48"/>
  <c r="CS12" i="48"/>
  <c r="CT12" i="48"/>
  <c r="CU12" i="48"/>
  <c r="CJ13" i="48"/>
  <c r="CK13" i="48"/>
  <c r="CL13" i="48"/>
  <c r="CM13" i="48"/>
  <c r="CN13" i="48"/>
  <c r="CO13" i="48"/>
  <c r="CP13" i="48"/>
  <c r="CQ13" i="48"/>
  <c r="CR13" i="48"/>
  <c r="CS13" i="48"/>
  <c r="CU13" i="48"/>
  <c r="CJ14" i="48"/>
  <c r="CK14" i="48"/>
  <c r="CL14" i="48"/>
  <c r="CM14" i="48"/>
  <c r="CN14" i="48"/>
  <c r="CO14" i="48"/>
  <c r="CP14" i="48"/>
  <c r="CQ14" i="48"/>
  <c r="CR14" i="48"/>
  <c r="CS14" i="48"/>
  <c r="CT14" i="48"/>
  <c r="CU14" i="48"/>
  <c r="CJ15" i="48"/>
  <c r="CK15" i="48"/>
  <c r="CL15" i="48"/>
  <c r="CM15" i="48"/>
  <c r="CN15" i="48"/>
  <c r="CO15" i="48"/>
  <c r="CP15" i="48"/>
  <c r="CQ15" i="48"/>
  <c r="CR15" i="48"/>
  <c r="CS15" i="48"/>
  <c r="CT15" i="48"/>
  <c r="CU15" i="48"/>
  <c r="CJ16" i="48"/>
  <c r="CK16" i="48"/>
  <c r="CL16" i="48"/>
  <c r="CM16" i="48"/>
  <c r="CN16" i="48"/>
  <c r="CO16" i="48"/>
  <c r="CP16" i="48"/>
  <c r="CQ16" i="48"/>
  <c r="CR16" i="48"/>
  <c r="CS16" i="48"/>
  <c r="CT16" i="48"/>
  <c r="CU16" i="48"/>
  <c r="CJ17" i="48"/>
  <c r="CK17" i="48"/>
  <c r="CL17" i="48"/>
  <c r="CM17" i="48"/>
  <c r="CO17" i="48"/>
  <c r="CP17" i="48"/>
  <c r="CQ17" i="48"/>
  <c r="CR17" i="48"/>
  <c r="CS17" i="48"/>
  <c r="CT17" i="48"/>
  <c r="CU17" i="48"/>
  <c r="CJ18" i="48"/>
  <c r="CK18" i="48"/>
  <c r="CL18" i="48"/>
  <c r="CM18" i="48"/>
  <c r="CO18" i="48"/>
  <c r="CP18" i="48"/>
  <c r="CQ18" i="48"/>
  <c r="CR18" i="48"/>
  <c r="CS18" i="48"/>
  <c r="CT18" i="48"/>
  <c r="CU18" i="48"/>
  <c r="CJ19" i="48"/>
  <c r="CK19" i="48"/>
  <c r="CL19" i="48"/>
  <c r="CM19" i="48"/>
  <c r="CN19" i="48"/>
  <c r="CO19" i="48"/>
  <c r="CP19" i="48"/>
  <c r="CQ19" i="48"/>
  <c r="CR19" i="48"/>
  <c r="CS19" i="48"/>
  <c r="CT19" i="48"/>
  <c r="CU19" i="48"/>
  <c r="CV19" i="48"/>
  <c r="CJ20" i="48"/>
  <c r="CK20" i="48"/>
  <c r="CL20" i="48"/>
  <c r="CM20" i="48"/>
  <c r="CN20" i="48"/>
  <c r="CO20" i="48"/>
  <c r="CP20" i="48"/>
  <c r="CQ20" i="48"/>
  <c r="CR20" i="48"/>
  <c r="CS20" i="48"/>
  <c r="CT20" i="48"/>
  <c r="CU20" i="48"/>
  <c r="CV20" i="48"/>
  <c r="CJ21" i="48"/>
  <c r="CL21" i="48"/>
  <c r="CM21" i="48"/>
  <c r="CO21" i="48"/>
  <c r="CP21" i="48"/>
  <c r="CQ21" i="48"/>
  <c r="CR21" i="48"/>
  <c r="CS21" i="48"/>
  <c r="CT21" i="48"/>
  <c r="CU21" i="48"/>
  <c r="CJ22" i="48"/>
  <c r="CL22" i="48"/>
  <c r="CM22" i="48"/>
  <c r="CO22" i="48"/>
  <c r="CP22" i="48"/>
  <c r="CQ22" i="48"/>
  <c r="CR22" i="48"/>
  <c r="CS22" i="48"/>
  <c r="CT22" i="48"/>
  <c r="CU22" i="48"/>
  <c r="CJ23" i="48"/>
  <c r="CL23" i="48"/>
  <c r="CM23" i="48"/>
  <c r="CO23" i="48"/>
  <c r="CP23" i="48"/>
  <c r="CQ23" i="48"/>
  <c r="CR23" i="48"/>
  <c r="CS23" i="48"/>
  <c r="CT23" i="48"/>
  <c r="CU23" i="48"/>
  <c r="CU4" i="48"/>
  <c r="CT4" i="48"/>
  <c r="CS4" i="48"/>
  <c r="CR4" i="48"/>
  <c r="CQ4" i="48"/>
  <c r="CP4" i="48"/>
  <c r="CO4" i="48"/>
  <c r="CN4" i="48"/>
  <c r="CI5" i="48"/>
  <c r="CI6" i="48"/>
  <c r="CI7" i="48"/>
  <c r="CI8" i="48"/>
  <c r="CI9" i="48"/>
  <c r="CI10" i="48"/>
  <c r="CI11" i="48"/>
  <c r="CI12" i="48"/>
  <c r="CI13" i="48"/>
  <c r="CI14" i="48"/>
  <c r="CI15" i="48"/>
  <c r="CI16" i="48"/>
  <c r="CI17" i="48"/>
  <c r="CI18" i="48"/>
  <c r="CI21" i="48"/>
  <c r="CI22" i="48"/>
  <c r="CI23" i="48"/>
  <c r="CG5" i="48"/>
  <c r="CG6" i="48"/>
  <c r="CG7" i="48"/>
  <c r="CG8" i="48"/>
  <c r="CG9" i="48"/>
  <c r="CG10" i="48"/>
  <c r="CG11" i="48"/>
  <c r="CG12" i="48"/>
  <c r="CG13" i="48"/>
  <c r="CG14" i="48"/>
  <c r="CG15" i="48"/>
  <c r="CG16" i="48"/>
  <c r="CG17" i="48"/>
  <c r="CG18" i="48"/>
  <c r="CG21" i="48"/>
  <c r="CG22" i="48"/>
  <c r="CG23" i="48"/>
  <c r="CE5" i="48"/>
  <c r="CE6" i="48"/>
  <c r="CE7" i="48"/>
  <c r="CE8" i="48"/>
  <c r="CE9" i="48"/>
  <c r="CE10" i="48"/>
  <c r="CE11" i="48"/>
  <c r="CE12" i="48"/>
  <c r="CE13" i="48"/>
  <c r="CE14" i="48"/>
  <c r="CE15" i="48"/>
  <c r="CE16" i="48"/>
  <c r="CE17" i="48"/>
  <c r="CE18" i="48"/>
  <c r="CE21" i="48"/>
  <c r="CE22" i="48"/>
  <c r="CE23" i="48"/>
  <c r="CC5" i="48"/>
  <c r="CC6" i="48"/>
  <c r="CC7" i="48"/>
  <c r="CC8" i="48"/>
  <c r="CC9" i="48"/>
  <c r="CC10" i="48"/>
  <c r="CC11" i="48"/>
  <c r="CC12" i="48"/>
  <c r="CC13" i="48"/>
  <c r="CC14" i="48"/>
  <c r="CC15" i="48"/>
  <c r="CC16" i="48"/>
  <c r="CC17" i="48"/>
  <c r="CC18" i="48"/>
  <c r="CC21" i="48"/>
  <c r="CC22" i="48"/>
  <c r="CC23" i="48"/>
  <c r="CA5" i="48"/>
  <c r="CA6" i="48"/>
  <c r="CA7" i="48"/>
  <c r="CA8" i="48"/>
  <c r="CA9" i="48"/>
  <c r="CA10" i="48"/>
  <c r="CA11" i="48"/>
  <c r="CA12" i="48"/>
  <c r="CA13" i="48"/>
  <c r="CA14" i="48"/>
  <c r="CA15" i="48"/>
  <c r="CA16" i="48"/>
  <c r="CA17" i="48"/>
  <c r="CA18" i="48"/>
  <c r="CA21" i="48"/>
  <c r="CA22" i="48"/>
  <c r="CA23" i="48"/>
  <c r="BY5" i="48"/>
  <c r="BY6" i="48"/>
  <c r="BY7" i="48"/>
  <c r="BY8" i="48"/>
  <c r="BY9" i="48"/>
  <c r="BY10" i="48"/>
  <c r="BY11" i="48"/>
  <c r="BY12" i="48"/>
  <c r="BY13" i="48"/>
  <c r="BY14" i="48"/>
  <c r="BY15" i="48"/>
  <c r="BY16" i="48"/>
  <c r="BY17" i="48"/>
  <c r="BY18" i="48"/>
  <c r="BY21" i="48"/>
  <c r="BY22" i="48"/>
  <c r="BY23" i="48"/>
  <c r="BW23" i="48"/>
  <c r="BW5" i="48"/>
  <c r="BW6" i="48"/>
  <c r="BW7" i="48"/>
  <c r="BW8" i="48"/>
  <c r="BW9" i="48"/>
  <c r="BW10" i="48"/>
  <c r="BW11" i="48"/>
  <c r="BW12" i="48"/>
  <c r="BW13" i="48"/>
  <c r="BW14" i="48"/>
  <c r="BW15" i="48"/>
  <c r="BW16" i="48"/>
  <c r="BW17" i="48"/>
  <c r="BW18" i="48"/>
  <c r="BW21" i="48"/>
  <c r="BW22" i="48"/>
  <c r="BU5" i="48"/>
  <c r="BU6" i="48"/>
  <c r="BU7" i="48"/>
  <c r="BU8" i="48"/>
  <c r="BU9" i="48"/>
  <c r="BU10" i="48"/>
  <c r="BU11" i="48"/>
  <c r="BU12" i="48"/>
  <c r="BU13" i="48"/>
  <c r="BU14" i="48"/>
  <c r="BU15" i="48"/>
  <c r="BU16" i="48"/>
  <c r="BU17" i="48"/>
  <c r="BU18" i="48"/>
  <c r="BU21" i="48"/>
  <c r="BU22" i="48"/>
  <c r="BU23" i="48"/>
  <c r="BS5" i="48"/>
  <c r="BS6" i="48"/>
  <c r="BS7" i="48"/>
  <c r="BS8" i="48"/>
  <c r="BS9" i="48"/>
  <c r="BS10" i="48"/>
  <c r="BS11" i="48"/>
  <c r="BS12" i="48"/>
  <c r="BS13" i="48"/>
  <c r="BS14" i="48"/>
  <c r="BS15" i="48"/>
  <c r="BS16" i="48"/>
  <c r="BS17" i="48"/>
  <c r="BS18" i="48"/>
  <c r="BS21" i="48"/>
  <c r="BS22" i="48"/>
  <c r="BS23" i="48"/>
  <c r="BQ5" i="48"/>
  <c r="BQ6" i="48"/>
  <c r="BQ7" i="48"/>
  <c r="BQ8" i="48"/>
  <c r="BQ9" i="48"/>
  <c r="BQ10" i="48"/>
  <c r="BQ11" i="48"/>
  <c r="BQ12" i="48"/>
  <c r="BQ13" i="48"/>
  <c r="BQ14" i="48"/>
  <c r="BQ15" i="48"/>
  <c r="BQ16" i="48"/>
  <c r="BQ17" i="48"/>
  <c r="BQ18" i="48"/>
  <c r="BQ21" i="48"/>
  <c r="BQ22" i="48"/>
  <c r="BQ23" i="48"/>
  <c r="BO5" i="48"/>
  <c r="BO6" i="48"/>
  <c r="BO7" i="48"/>
  <c r="BO8" i="48"/>
  <c r="BO9" i="48"/>
  <c r="BO10" i="48"/>
  <c r="BO11" i="48"/>
  <c r="BO12" i="48"/>
  <c r="BO13" i="48"/>
  <c r="BO14" i="48"/>
  <c r="BO15" i="48"/>
  <c r="BO16" i="48"/>
  <c r="BO17" i="48"/>
  <c r="BO18" i="48"/>
  <c r="BO21" i="48"/>
  <c r="BO22" i="48"/>
  <c r="BO23" i="48"/>
  <c r="BM5" i="48"/>
  <c r="BM6" i="48"/>
  <c r="BM7" i="48"/>
  <c r="BM8" i="48"/>
  <c r="BM9" i="48"/>
  <c r="BM10" i="48"/>
  <c r="BM11" i="48"/>
  <c r="BM12" i="48"/>
  <c r="BM13" i="48"/>
  <c r="BM14" i="48"/>
  <c r="BM15" i="48"/>
  <c r="BM16" i="48"/>
  <c r="BM17" i="48"/>
  <c r="BM18" i="48"/>
  <c r="BM21" i="48"/>
  <c r="BM22" i="48"/>
  <c r="BM23" i="48"/>
  <c r="BK5" i="48"/>
  <c r="BK6" i="48"/>
  <c r="BK7" i="48"/>
  <c r="BK8" i="48"/>
  <c r="BK9" i="48"/>
  <c r="BK10" i="48"/>
  <c r="BK11" i="48"/>
  <c r="BK12" i="48"/>
  <c r="BK13" i="48"/>
  <c r="BK14" i="48"/>
  <c r="BK15" i="48"/>
  <c r="BK16" i="48"/>
  <c r="BK17" i="48"/>
  <c r="BK18" i="48"/>
  <c r="BK21" i="48"/>
  <c r="BK22" i="48"/>
  <c r="BI5" i="48"/>
  <c r="BI6" i="48"/>
  <c r="BI7" i="48"/>
  <c r="BI8" i="48"/>
  <c r="BI9" i="48"/>
  <c r="BI10" i="48"/>
  <c r="BI11" i="48"/>
  <c r="BI12" i="48"/>
  <c r="BI13" i="48"/>
  <c r="BI14" i="48"/>
  <c r="BI15" i="48"/>
  <c r="BI16" i="48"/>
  <c r="BI17" i="48"/>
  <c r="BI18" i="48"/>
  <c r="BI21" i="48"/>
  <c r="BI22" i="48"/>
  <c r="BG5" i="48"/>
  <c r="BG6" i="48"/>
  <c r="BG7" i="48"/>
  <c r="BG8" i="48"/>
  <c r="BG9" i="48"/>
  <c r="BG10" i="48"/>
  <c r="BG11" i="48"/>
  <c r="BG12" i="48"/>
  <c r="BG13" i="48"/>
  <c r="BG14" i="48"/>
  <c r="BG15" i="48"/>
  <c r="BG16" i="48"/>
  <c r="BG17" i="48"/>
  <c r="BG18" i="48"/>
  <c r="BG21" i="48"/>
  <c r="BG22" i="48"/>
  <c r="BG23" i="48"/>
  <c r="BE5" i="48"/>
  <c r="BE6" i="48"/>
  <c r="BE7" i="48"/>
  <c r="BE8" i="48"/>
  <c r="BE9" i="48"/>
  <c r="BE10" i="48"/>
  <c r="BE11" i="48"/>
  <c r="BE12" i="48"/>
  <c r="BE13" i="48"/>
  <c r="BE14" i="48"/>
  <c r="BE15" i="48"/>
  <c r="BE16" i="48"/>
  <c r="BE17" i="48"/>
  <c r="BE18" i="48"/>
  <c r="BE21" i="48"/>
  <c r="BE22" i="48"/>
  <c r="BE23" i="48"/>
  <c r="BC5" i="48"/>
  <c r="BC6" i="48"/>
  <c r="BC7" i="48"/>
  <c r="BC8" i="48"/>
  <c r="BC9" i="48"/>
  <c r="BC10" i="48"/>
  <c r="BC11" i="48"/>
  <c r="BC12" i="48"/>
  <c r="BC13" i="48"/>
  <c r="BC14" i="48"/>
  <c r="BC15" i="48"/>
  <c r="BC16" i="48"/>
  <c r="BC17" i="48"/>
  <c r="BC18" i="48"/>
  <c r="BC21" i="48"/>
  <c r="BC22" i="48"/>
  <c r="BC23" i="48"/>
  <c r="BA5" i="48"/>
  <c r="BA6" i="48"/>
  <c r="BA7" i="48"/>
  <c r="BA8" i="48"/>
  <c r="BA9" i="48"/>
  <c r="BA10" i="48"/>
  <c r="BA11" i="48"/>
  <c r="BA12" i="48"/>
  <c r="BA13" i="48"/>
  <c r="BA14" i="48"/>
  <c r="BA15" i="48"/>
  <c r="BA16" i="48"/>
  <c r="BA17" i="48"/>
  <c r="BA18" i="48"/>
  <c r="BA21" i="48"/>
  <c r="BA22" i="48"/>
  <c r="BA23" i="48"/>
  <c r="AY5" i="48"/>
  <c r="AY6" i="48"/>
  <c r="AY7" i="48"/>
  <c r="AY8" i="48"/>
  <c r="AY9" i="48"/>
  <c r="AY10" i="48"/>
  <c r="AY11" i="48"/>
  <c r="AY12" i="48"/>
  <c r="AY13" i="48"/>
  <c r="AY14" i="48"/>
  <c r="AY15" i="48"/>
  <c r="AY16" i="48"/>
  <c r="AY17" i="48"/>
  <c r="AY18" i="48"/>
  <c r="AY21" i="48"/>
  <c r="AY22" i="48"/>
  <c r="AY23" i="48"/>
  <c r="AW5" i="48"/>
  <c r="AW6" i="48"/>
  <c r="AW7" i="48"/>
  <c r="AW8" i="48"/>
  <c r="AW9" i="48"/>
  <c r="AW10" i="48"/>
  <c r="AW11" i="48"/>
  <c r="AW12" i="48"/>
  <c r="AW13" i="48"/>
  <c r="AW14" i="48"/>
  <c r="AW15" i="48"/>
  <c r="AW16" i="48"/>
  <c r="AW17" i="48"/>
  <c r="AW18" i="48"/>
  <c r="AW21" i="48"/>
  <c r="AW22" i="48"/>
  <c r="AW23" i="48"/>
  <c r="AU5" i="48"/>
  <c r="AU6" i="48"/>
  <c r="AU7" i="48"/>
  <c r="AU8" i="48"/>
  <c r="AU9" i="48"/>
  <c r="AU10" i="48"/>
  <c r="AU11" i="48"/>
  <c r="AU12" i="48"/>
  <c r="AU13" i="48"/>
  <c r="AU14" i="48"/>
  <c r="AU15" i="48"/>
  <c r="AU16" i="48"/>
  <c r="AU17" i="48"/>
  <c r="AU18" i="48"/>
  <c r="AU21" i="48"/>
  <c r="AU22" i="48"/>
  <c r="AU23" i="48"/>
  <c r="AS5" i="48"/>
  <c r="AS6" i="48"/>
  <c r="AS7" i="48"/>
  <c r="AS8" i="48"/>
  <c r="AS9" i="48"/>
  <c r="AS10" i="48"/>
  <c r="AS11" i="48"/>
  <c r="AS12" i="48"/>
  <c r="AS13" i="48"/>
  <c r="AS14" i="48"/>
  <c r="AS15" i="48"/>
  <c r="AS16" i="48"/>
  <c r="AS17" i="48"/>
  <c r="AS18" i="48"/>
  <c r="AS21" i="48"/>
  <c r="AS22" i="48"/>
  <c r="AS23" i="48"/>
  <c r="AQ5" i="48"/>
  <c r="AQ6" i="48"/>
  <c r="AQ7" i="48"/>
  <c r="AQ8" i="48"/>
  <c r="AQ9" i="48"/>
  <c r="AQ10" i="48"/>
  <c r="AQ11" i="48"/>
  <c r="AQ12" i="48"/>
  <c r="AQ13" i="48"/>
  <c r="AQ14" i="48"/>
  <c r="AQ15" i="48"/>
  <c r="AQ16" i="48"/>
  <c r="AQ17" i="48"/>
  <c r="AQ18" i="48"/>
  <c r="AQ21" i="48"/>
  <c r="AQ22" i="48"/>
  <c r="AQ23" i="48"/>
  <c r="AO23" i="48"/>
  <c r="AO5" i="48"/>
  <c r="AO6" i="48"/>
  <c r="AO7" i="48"/>
  <c r="AO8" i="48"/>
  <c r="AO9" i="48"/>
  <c r="AO10" i="48"/>
  <c r="AO11" i="48"/>
  <c r="AO12" i="48"/>
  <c r="AO13" i="48"/>
  <c r="AO14" i="48"/>
  <c r="AO15" i="48"/>
  <c r="AO16" i="48"/>
  <c r="AO17" i="48"/>
  <c r="AO18" i="48"/>
  <c r="AO21" i="48"/>
  <c r="AO22" i="48"/>
  <c r="AM5" i="48"/>
  <c r="AM6" i="48"/>
  <c r="AM7" i="48"/>
  <c r="AM8" i="48"/>
  <c r="AM9" i="48"/>
  <c r="AM10" i="48"/>
  <c r="AM11" i="48"/>
  <c r="AM12" i="48"/>
  <c r="AM13" i="48"/>
  <c r="AM14" i="48"/>
  <c r="AM15" i="48"/>
  <c r="AM16" i="48"/>
  <c r="AM17" i="48"/>
  <c r="AM18" i="48"/>
  <c r="AM21" i="48"/>
  <c r="AM22" i="48"/>
  <c r="AM23" i="48"/>
  <c r="AK5" i="48"/>
  <c r="AK6" i="48"/>
  <c r="AK7" i="48"/>
  <c r="AK8" i="48"/>
  <c r="AK9" i="48"/>
  <c r="AK10" i="48"/>
  <c r="AK11" i="48"/>
  <c r="AK12" i="48"/>
  <c r="AK13" i="48"/>
  <c r="AK14" i="48"/>
  <c r="AK15" i="48"/>
  <c r="AK16" i="48"/>
  <c r="AK17" i="48"/>
  <c r="AK18" i="48"/>
  <c r="AI5" i="48"/>
  <c r="AI6" i="48"/>
  <c r="AI7" i="48"/>
  <c r="AI8" i="48"/>
  <c r="AI9" i="48"/>
  <c r="AI10" i="48"/>
  <c r="AI11" i="48"/>
  <c r="AI12" i="48"/>
  <c r="AI13" i="48"/>
  <c r="AI14" i="48"/>
  <c r="AI15" i="48"/>
  <c r="AI16" i="48"/>
  <c r="AI17" i="48"/>
  <c r="AI18" i="48"/>
  <c r="AG22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4" i="48"/>
  <c r="DP58" i="159"/>
  <c r="DP59" i="159"/>
  <c r="DP60" i="159"/>
  <c r="DP61" i="159"/>
  <c r="DP62" i="159"/>
  <c r="DP63" i="159"/>
  <c r="DP64" i="159"/>
  <c r="DP65" i="159"/>
  <c r="DP66" i="159"/>
  <c r="DP67" i="159"/>
  <c r="DP68" i="159"/>
  <c r="DP69" i="159"/>
  <c r="DP70" i="159"/>
  <c r="DP71" i="159"/>
  <c r="DP57" i="159"/>
  <c r="DO58" i="159"/>
  <c r="DO59" i="159"/>
  <c r="DO60" i="159"/>
  <c r="DO61" i="159"/>
  <c r="DO62" i="159"/>
  <c r="DO63" i="159"/>
  <c r="DO64" i="159"/>
  <c r="DO65" i="159"/>
  <c r="DO66" i="159"/>
  <c r="DO67" i="159"/>
  <c r="DO68" i="159"/>
  <c r="DO69" i="159"/>
  <c r="DO70" i="159"/>
  <c r="DO71" i="159"/>
  <c r="DO57" i="159"/>
  <c r="CX18" i="165" l="1"/>
  <c r="GD18" i="165" s="1"/>
  <c r="CX17" i="165"/>
  <c r="GD17" i="165" s="1"/>
  <c r="CX9" i="165"/>
  <c r="GD9" i="165" s="1"/>
  <c r="CX12" i="165"/>
  <c r="GD12" i="165" s="1"/>
  <c r="CX5" i="165"/>
  <c r="GD5" i="165" s="1"/>
  <c r="CY18" i="165"/>
  <c r="GE18" i="165" s="1"/>
  <c r="CY17" i="165"/>
  <c r="GE17" i="165" s="1"/>
  <c r="EG11" i="165"/>
  <c r="CX11" i="165" s="1"/>
  <c r="GD11" i="165" s="1"/>
  <c r="CY9" i="165"/>
  <c r="GE9" i="165" s="1"/>
  <c r="CX4" i="165"/>
  <c r="GD4" i="165" s="1"/>
  <c r="CX8" i="165"/>
  <c r="GD8" i="165" s="1"/>
  <c r="DN15" i="165"/>
  <c r="DN4" i="165"/>
  <c r="CX6" i="165"/>
  <c r="GD6" i="165" s="1"/>
  <c r="CX15" i="165"/>
  <c r="GD15" i="165" s="1"/>
  <c r="EG14" i="165"/>
  <c r="EG22" i="165" s="1"/>
  <c r="DN17" i="165"/>
  <c r="DN9" i="165"/>
  <c r="DN12" i="165"/>
  <c r="DN13" i="165"/>
  <c r="DN16" i="165"/>
  <c r="CX13" i="165"/>
  <c r="GD13" i="165" s="1"/>
  <c r="DN10" i="165"/>
  <c r="EG7" i="165"/>
  <c r="CY15" i="165"/>
  <c r="GE15" i="165" s="1"/>
  <c r="DN18" i="165"/>
  <c r="CY4" i="165"/>
  <c r="GE4" i="165" s="1"/>
  <c r="CX16" i="165"/>
  <c r="GD16" i="165" s="1"/>
  <c r="CX10" i="165"/>
  <c r="GD10" i="165" s="1"/>
  <c r="CY12" i="165"/>
  <c r="GE12" i="165" s="1"/>
  <c r="CY13" i="165"/>
  <c r="GE13" i="165" s="1"/>
  <c r="DN6" i="165"/>
  <c r="DN8" i="165"/>
  <c r="DN5" i="165"/>
  <c r="CY10" i="165"/>
  <c r="GE10" i="165" s="1"/>
  <c r="GL5" i="164"/>
  <c r="GL12" i="164"/>
  <c r="GN12" i="164" s="1"/>
  <c r="EZ53" i="164"/>
  <c r="EZ47" i="164"/>
  <c r="EZ49" i="164"/>
  <c r="EZ43" i="164"/>
  <c r="EZ51" i="164"/>
  <c r="EZ41" i="164"/>
  <c r="EZ50" i="164"/>
  <c r="EZ48" i="164"/>
  <c r="EZ40" i="164"/>
  <c r="CV51" i="164"/>
  <c r="ET15" i="164" s="1"/>
  <c r="GC22" i="164"/>
  <c r="CV41" i="164"/>
  <c r="CV40" i="164"/>
  <c r="CV49" i="164"/>
  <c r="ET13" i="164" s="1"/>
  <c r="CV53" i="164"/>
  <c r="ET17" i="164" s="1"/>
  <c r="CV43" i="164"/>
  <c r="ET7" i="164" s="1"/>
  <c r="CV50" i="164"/>
  <c r="ET14" i="164" s="1"/>
  <c r="CV47" i="164"/>
  <c r="ET11" i="164" s="1"/>
  <c r="CV48" i="164"/>
  <c r="ET12" i="164" s="1"/>
  <c r="GN10" i="164"/>
  <c r="GN5" i="164"/>
  <c r="GN4" i="164"/>
  <c r="GN8" i="164"/>
  <c r="EO9" i="164"/>
  <c r="EP9" i="164"/>
  <c r="EO18" i="164"/>
  <c r="EP18" i="164"/>
  <c r="GN7" i="164"/>
  <c r="EP6" i="164"/>
  <c r="EQ6" i="164" s="1"/>
  <c r="GN9" i="164"/>
  <c r="EQ8" i="164"/>
  <c r="EO16" i="164"/>
  <c r="EP16" i="164"/>
  <c r="EQ16" i="164" s="1"/>
  <c r="EO10" i="164"/>
  <c r="EP10" i="164"/>
  <c r="GN6" i="164"/>
  <c r="EQ12" i="164"/>
  <c r="CV54" i="164"/>
  <c r="ET18" i="164" s="1"/>
  <c r="CV52" i="164"/>
  <c r="ET16" i="164" s="1"/>
  <c r="CV45" i="164"/>
  <c r="ET9" i="164" s="1"/>
  <c r="CV42" i="164"/>
  <c r="ET6" i="164" s="1"/>
  <c r="CV46" i="164"/>
  <c r="ET10" i="164" s="1"/>
  <c r="CV44" i="164"/>
  <c r="ET8" i="164" s="1"/>
  <c r="EQ15" i="164"/>
  <c r="EQ5" i="164"/>
  <c r="ED10" i="163"/>
  <c r="EK10" i="163"/>
  <c r="DU13" i="163"/>
  <c r="EQ4" i="163"/>
  <c r="ED5" i="163"/>
  <c r="ED12" i="163"/>
  <c r="EH7" i="163"/>
  <c r="ED8" i="163"/>
  <c r="DU8" i="163" s="1"/>
  <c r="EG8" i="163" s="1"/>
  <c r="EO5" i="163"/>
  <c r="EP5" i="163"/>
  <c r="EO17" i="163"/>
  <c r="EP17" i="163"/>
  <c r="DV19" i="163"/>
  <c r="DU19" i="163" s="1"/>
  <c r="EG19" i="163" s="1"/>
  <c r="EI19" i="163"/>
  <c r="EH19" i="163" s="1"/>
  <c r="DU14" i="163"/>
  <c r="DV20" i="163"/>
  <c r="DU20" i="163" s="1"/>
  <c r="EG20" i="163" s="1"/>
  <c r="EI20" i="163"/>
  <c r="EH20" i="163" s="1"/>
  <c r="EH12" i="163"/>
  <c r="DU5" i="163"/>
  <c r="EH5" i="163"/>
  <c r="EH8" i="163"/>
  <c r="EQ10" i="163"/>
  <c r="EH18" i="163"/>
  <c r="DU15" i="163"/>
  <c r="DU17" i="163"/>
  <c r="EG17" i="163" s="1"/>
  <c r="CX17" i="163" s="1"/>
  <c r="GD17" i="163" s="1"/>
  <c r="EH14" i="163"/>
  <c r="EH10" i="163"/>
  <c r="ED6" i="164"/>
  <c r="ED12" i="164"/>
  <c r="ED18" i="164"/>
  <c r="ED7" i="164"/>
  <c r="ED16" i="164"/>
  <c r="ED4" i="164"/>
  <c r="ED8" i="164"/>
  <c r="ED10" i="164"/>
  <c r="ED14" i="164"/>
  <c r="ED5" i="164"/>
  <c r="DV16" i="164"/>
  <c r="EI16" i="164"/>
  <c r="CV37" i="164"/>
  <c r="CV36" i="164"/>
  <c r="CV31" i="164"/>
  <c r="CV35" i="164"/>
  <c r="CV39" i="164"/>
  <c r="EK18" i="164" s="1"/>
  <c r="CV38" i="164"/>
  <c r="CV34" i="164"/>
  <c r="CV33" i="164"/>
  <c r="CV30" i="164"/>
  <c r="CV29" i="164"/>
  <c r="CV28" i="164"/>
  <c r="CV27" i="164"/>
  <c r="CV26" i="164"/>
  <c r="CV25" i="164"/>
  <c r="EK4" i="164" s="1"/>
  <c r="GC23" i="164"/>
  <c r="CV32" i="164"/>
  <c r="DV11" i="164"/>
  <c r="EI11" i="164"/>
  <c r="DV5" i="164"/>
  <c r="EI5" i="164"/>
  <c r="EI12" i="164"/>
  <c r="DV12" i="164"/>
  <c r="EI10" i="164"/>
  <c r="DV10" i="164"/>
  <c r="EI6" i="164"/>
  <c r="DV6" i="164"/>
  <c r="EI18" i="164"/>
  <c r="DV18" i="164"/>
  <c r="DV13" i="164"/>
  <c r="EI13" i="164"/>
  <c r="ED15" i="164"/>
  <c r="EK15" i="164"/>
  <c r="DV8" i="164"/>
  <c r="EI8" i="164"/>
  <c r="ED11" i="164"/>
  <c r="EK11" i="164"/>
  <c r="ED9" i="164"/>
  <c r="EK9" i="164"/>
  <c r="EQ11" i="164"/>
  <c r="DZ17" i="164"/>
  <c r="EC17" i="164" s="1"/>
  <c r="EA17" i="164" s="1"/>
  <c r="EQ7" i="164"/>
  <c r="DZ13" i="164"/>
  <c r="EC13" i="164" s="1"/>
  <c r="EA13" i="164" s="1"/>
  <c r="DV4" i="164"/>
  <c r="DV15" i="164"/>
  <c r="EI15" i="164"/>
  <c r="EI14" i="164"/>
  <c r="DV14" i="164"/>
  <c r="EI9" i="164"/>
  <c r="DV9" i="164"/>
  <c r="DV7" i="164"/>
  <c r="EI7" i="164"/>
  <c r="EQ14" i="164"/>
  <c r="DV17" i="164"/>
  <c r="EI17" i="164"/>
  <c r="EQ17" i="164"/>
  <c r="EQ4" i="164"/>
  <c r="EQ13" i="164"/>
  <c r="DU6" i="163"/>
  <c r="ED11" i="163"/>
  <c r="DU11" i="163" s="1"/>
  <c r="EK11" i="163"/>
  <c r="EH11" i="163" s="1"/>
  <c r="EG5" i="163"/>
  <c r="EG14" i="163"/>
  <c r="CY14" i="163" s="1"/>
  <c r="GE14" i="163" s="1"/>
  <c r="EQ14" i="163"/>
  <c r="EQ12" i="163"/>
  <c r="EQ6" i="163"/>
  <c r="DU10" i="163"/>
  <c r="EQ11" i="163"/>
  <c r="EQ13" i="163"/>
  <c r="DU9" i="163"/>
  <c r="EQ7" i="163"/>
  <c r="DU16" i="163"/>
  <c r="EG15" i="163"/>
  <c r="CY15" i="163" s="1"/>
  <c r="GE15" i="163" s="1"/>
  <c r="DU12" i="163"/>
  <c r="EG13" i="163"/>
  <c r="CX13" i="163" s="1"/>
  <c r="GD13" i="163" s="1"/>
  <c r="DU7" i="163"/>
  <c r="EQ15" i="163"/>
  <c r="DU18" i="163"/>
  <c r="EH9" i="163"/>
  <c r="EH16" i="163"/>
  <c r="EH15" i="163"/>
  <c r="CX15" i="163" s="1"/>
  <c r="GD15" i="163" s="1"/>
  <c r="EH6" i="163"/>
  <c r="ED4" i="163"/>
  <c r="DU4" i="163" s="1"/>
  <c r="EK4" i="163"/>
  <c r="EH4" i="163" s="1"/>
  <c r="EQ16" i="163"/>
  <c r="EQ8" i="163"/>
  <c r="EQ5" i="163"/>
  <c r="EQ9" i="163"/>
  <c r="FO21" i="48"/>
  <c r="EL9" i="162"/>
  <c r="EO9" i="162" s="1"/>
  <c r="GL18" i="162"/>
  <c r="EL5" i="162"/>
  <c r="EO5" i="162" s="1"/>
  <c r="CV45" i="162"/>
  <c r="ET9" i="162" s="1"/>
  <c r="GC22" i="162"/>
  <c r="CV44" i="162"/>
  <c r="CV42" i="162"/>
  <c r="ET6" i="162" s="1"/>
  <c r="CV54" i="162"/>
  <c r="ET18" i="162" s="1"/>
  <c r="CV41" i="162"/>
  <c r="EJ20" i="162" s="1"/>
  <c r="CV50" i="162"/>
  <c r="ET14" i="162" s="1"/>
  <c r="CV47" i="162"/>
  <c r="ET11" i="162" s="1"/>
  <c r="EL6" i="162"/>
  <c r="EP6" i="162" s="1"/>
  <c r="EL4" i="162"/>
  <c r="EO4" i="162" s="1"/>
  <c r="EL16" i="162"/>
  <c r="EO16" i="162" s="1"/>
  <c r="EL14" i="162"/>
  <c r="EP14" i="162" s="1"/>
  <c r="EL11" i="162"/>
  <c r="EP11" i="162" s="1"/>
  <c r="EL8" i="162"/>
  <c r="EO8" i="162" s="1"/>
  <c r="GM12" i="162"/>
  <c r="GM14" i="162"/>
  <c r="GN14" i="162" s="1"/>
  <c r="ET16" i="162"/>
  <c r="EN15" i="162"/>
  <c r="EL15" i="162" s="1"/>
  <c r="EO15" i="162" s="1"/>
  <c r="EZ52" i="162"/>
  <c r="EZ42" i="162"/>
  <c r="EZ47" i="162"/>
  <c r="EZ41" i="162"/>
  <c r="EZ50" i="162"/>
  <c r="EZ54" i="162"/>
  <c r="EZ45" i="162"/>
  <c r="EZ44" i="162"/>
  <c r="DZ20" i="162"/>
  <c r="EC20" i="162" s="1"/>
  <c r="EA20" i="162" s="1"/>
  <c r="GL12" i="162"/>
  <c r="ET8" i="162"/>
  <c r="EL12" i="162"/>
  <c r="EO12" i="162" s="1"/>
  <c r="EL10" i="162"/>
  <c r="EO10" i="162" s="1"/>
  <c r="EN17" i="162"/>
  <c r="EL17" i="162" s="1"/>
  <c r="GM18" i="162"/>
  <c r="GN18" i="162" s="1"/>
  <c r="EX49" i="162"/>
  <c r="GL15" i="162" s="1"/>
  <c r="EX51" i="162"/>
  <c r="GL16" i="162" s="1"/>
  <c r="GN16" i="162" s="1"/>
  <c r="EI8" i="162"/>
  <c r="EN13" i="162"/>
  <c r="EL13" i="162" s="1"/>
  <c r="GM15" i="162"/>
  <c r="EX46" i="162"/>
  <c r="EX48" i="162"/>
  <c r="EN7" i="162"/>
  <c r="EL7" i="162" s="1"/>
  <c r="EO7" i="162" s="1"/>
  <c r="EX40" i="162"/>
  <c r="EX43" i="162"/>
  <c r="GL13" i="162" s="1"/>
  <c r="GN13" i="162" s="1"/>
  <c r="EO18" i="162"/>
  <c r="EP18" i="162"/>
  <c r="EI9" i="162"/>
  <c r="DV9" i="162"/>
  <c r="DV13" i="162"/>
  <c r="EI13" i="162"/>
  <c r="EI11" i="162"/>
  <c r="DV11" i="162"/>
  <c r="EI6" i="162"/>
  <c r="DV6" i="162"/>
  <c r="DV5" i="162"/>
  <c r="EI5" i="162"/>
  <c r="EI7" i="162"/>
  <c r="CV23" i="162"/>
  <c r="CV53" i="162" s="1"/>
  <c r="ET17" i="162" s="1"/>
  <c r="CV21" i="162"/>
  <c r="GC21" i="162" s="1"/>
  <c r="GC4" i="162"/>
  <c r="DV4" i="162"/>
  <c r="EI4" i="162"/>
  <c r="DV10" i="162"/>
  <c r="EI10" i="162"/>
  <c r="EX36" i="162"/>
  <c r="DZ15" i="162" s="1"/>
  <c r="EC15" i="162" s="1"/>
  <c r="EA15" i="162" s="1"/>
  <c r="EX39" i="162"/>
  <c r="DZ18" i="162" s="1"/>
  <c r="EC18" i="162" s="1"/>
  <c r="EA18" i="162" s="1"/>
  <c r="EX35" i="162"/>
  <c r="DZ14" i="162" s="1"/>
  <c r="EC14" i="162" s="1"/>
  <c r="EA14" i="162" s="1"/>
  <c r="EX38" i="162"/>
  <c r="DZ17" i="162" s="1"/>
  <c r="EC17" i="162" s="1"/>
  <c r="EA17" i="162" s="1"/>
  <c r="EX34" i="162"/>
  <c r="DZ13" i="162" s="1"/>
  <c r="EC13" i="162" s="1"/>
  <c r="EA13" i="162" s="1"/>
  <c r="EX33" i="162"/>
  <c r="DZ12" i="162" s="1"/>
  <c r="EC12" i="162" s="1"/>
  <c r="EA12" i="162" s="1"/>
  <c r="EX32" i="162"/>
  <c r="DZ11" i="162" s="1"/>
  <c r="EC11" i="162" s="1"/>
  <c r="EA11" i="162" s="1"/>
  <c r="EX31" i="162"/>
  <c r="DZ10" i="162" s="1"/>
  <c r="EC10" i="162" s="1"/>
  <c r="EA10" i="162" s="1"/>
  <c r="EX37" i="162"/>
  <c r="DZ16" i="162" s="1"/>
  <c r="EC16" i="162" s="1"/>
  <c r="EA16" i="162" s="1"/>
  <c r="EX30" i="162"/>
  <c r="DZ9" i="162" s="1"/>
  <c r="EC9" i="162" s="1"/>
  <c r="EA9" i="162" s="1"/>
  <c r="EX29" i="162"/>
  <c r="DZ8" i="162" s="1"/>
  <c r="EC8" i="162" s="1"/>
  <c r="EA8" i="162" s="1"/>
  <c r="EX28" i="162"/>
  <c r="DZ7" i="162" s="1"/>
  <c r="EC7" i="162" s="1"/>
  <c r="EA7" i="162" s="1"/>
  <c r="EX27" i="162"/>
  <c r="DZ6" i="162" s="1"/>
  <c r="EC6" i="162" s="1"/>
  <c r="EA6" i="162" s="1"/>
  <c r="EX26" i="162"/>
  <c r="DZ5" i="162" s="1"/>
  <c r="EC5" i="162" s="1"/>
  <c r="EA5" i="162" s="1"/>
  <c r="EX25" i="162"/>
  <c r="DZ4" i="162" s="1"/>
  <c r="EC4" i="162" s="1"/>
  <c r="EA4" i="162" s="1"/>
  <c r="EZ23" i="162"/>
  <c r="EZ53" i="162" s="1"/>
  <c r="GL8" i="162"/>
  <c r="GN8" i="162" s="1"/>
  <c r="EP9" i="162"/>
  <c r="EX53" i="161"/>
  <c r="EZ23" i="161"/>
  <c r="EX22" i="160"/>
  <c r="EZ22" i="160" s="1"/>
  <c r="AC22" i="160"/>
  <c r="AC46" i="160" s="1"/>
  <c r="FA22" i="161"/>
  <c r="DA22" i="161" s="1"/>
  <c r="GG22" i="161" s="1"/>
  <c r="AC34" i="161"/>
  <c r="AC29" i="161"/>
  <c r="CN42" i="161"/>
  <c r="EB6" i="161" s="1"/>
  <c r="EE6" i="161" s="1"/>
  <c r="G52" i="161"/>
  <c r="EN16" i="161" s="1"/>
  <c r="DG22" i="161"/>
  <c r="CX22" i="161" s="1"/>
  <c r="GD22" i="161" s="1"/>
  <c r="G47" i="161"/>
  <c r="EN11" i="161" s="1"/>
  <c r="FI22" i="161"/>
  <c r="FJ22" i="161" s="1"/>
  <c r="AC25" i="161"/>
  <c r="AC33" i="161"/>
  <c r="CN51" i="161"/>
  <c r="EB15" i="161" s="1"/>
  <c r="EE15" i="161" s="1"/>
  <c r="G51" i="161"/>
  <c r="GM16" i="161" s="1"/>
  <c r="G42" i="161"/>
  <c r="EN6" i="161" s="1"/>
  <c r="G50" i="161"/>
  <c r="EN14" i="161" s="1"/>
  <c r="G54" i="161"/>
  <c r="EN18" i="161" s="1"/>
  <c r="EL18" i="161" s="1"/>
  <c r="EO18" i="161" s="1"/>
  <c r="G45" i="161"/>
  <c r="EN9" i="161" s="1"/>
  <c r="EX51" i="161"/>
  <c r="GL16" i="161" s="1"/>
  <c r="EX45" i="161"/>
  <c r="EX54" i="161"/>
  <c r="EX42" i="161"/>
  <c r="EX50" i="161"/>
  <c r="EX41" i="161"/>
  <c r="EX52" i="161"/>
  <c r="GL18" i="161" s="1"/>
  <c r="EX47" i="161"/>
  <c r="GL14" i="161" s="1"/>
  <c r="AC52" i="161"/>
  <c r="AC47" i="161"/>
  <c r="AC41" i="161"/>
  <c r="AC54" i="161"/>
  <c r="AC45" i="161"/>
  <c r="AC51" i="161"/>
  <c r="AC50" i="161"/>
  <c r="AC42" i="161"/>
  <c r="AC28" i="161"/>
  <c r="AC38" i="161"/>
  <c r="EF17" i="161"/>
  <c r="DT17" i="161"/>
  <c r="DY17" i="161"/>
  <c r="CV17" i="161"/>
  <c r="GC17" i="161" s="1"/>
  <c r="DH5" i="161"/>
  <c r="FU22" i="161"/>
  <c r="EN5" i="161"/>
  <c r="CN50" i="161"/>
  <c r="EB14" i="161" s="1"/>
  <c r="EE14" i="161" s="1"/>
  <c r="CN41" i="161"/>
  <c r="EB5" i="161" s="1"/>
  <c r="EE5" i="161" s="1"/>
  <c r="CN47" i="161"/>
  <c r="EB11" i="161" s="1"/>
  <c r="EE11" i="161" s="1"/>
  <c r="CN52" i="161"/>
  <c r="EB16" i="161" s="1"/>
  <c r="EE16" i="161" s="1"/>
  <c r="CN45" i="161"/>
  <c r="EB9" i="161" s="1"/>
  <c r="EE9" i="161" s="1"/>
  <c r="EP20" i="161"/>
  <c r="EQ20" i="161" s="1"/>
  <c r="EM16" i="161"/>
  <c r="CV22" i="161"/>
  <c r="CV47" i="161" s="1"/>
  <c r="GM14" i="161"/>
  <c r="CK44" i="48"/>
  <c r="FA21" i="161"/>
  <c r="DA21" i="161" s="1"/>
  <c r="GG21" i="161" s="1"/>
  <c r="EN17" i="161"/>
  <c r="GM18" i="161"/>
  <c r="I48" i="161"/>
  <c r="I49" i="161"/>
  <c r="EY48" i="161"/>
  <c r="EY49" i="161"/>
  <c r="E48" i="161"/>
  <c r="E49" i="161"/>
  <c r="CN48" i="161"/>
  <c r="EB12" i="161" s="1"/>
  <c r="EE12" i="161" s="1"/>
  <c r="CN49" i="161"/>
  <c r="EB13" i="161" s="1"/>
  <c r="EE13" i="161" s="1"/>
  <c r="EM9" i="161"/>
  <c r="EX48" i="161"/>
  <c r="EX49" i="161"/>
  <c r="G48" i="161"/>
  <c r="G49" i="161"/>
  <c r="I44" i="161"/>
  <c r="I46" i="161"/>
  <c r="EM5" i="161"/>
  <c r="EY44" i="161"/>
  <c r="EY46" i="161"/>
  <c r="EM17" i="161"/>
  <c r="E44" i="161"/>
  <c r="E46" i="161"/>
  <c r="CN44" i="161"/>
  <c r="EB8" i="161" s="1"/>
  <c r="EE8" i="161" s="1"/>
  <c r="CN46" i="161"/>
  <c r="EB10" i="161" s="1"/>
  <c r="EE10" i="161" s="1"/>
  <c r="EM14" i="161"/>
  <c r="EX44" i="161"/>
  <c r="EX46" i="161"/>
  <c r="G44" i="161"/>
  <c r="G46" i="161"/>
  <c r="EM15" i="161"/>
  <c r="EM8" i="161"/>
  <c r="EY40" i="161"/>
  <c r="EY43" i="161"/>
  <c r="I40" i="161"/>
  <c r="I43" i="161"/>
  <c r="EX40" i="161"/>
  <c r="EX43" i="161"/>
  <c r="G40" i="161"/>
  <c r="G43" i="161"/>
  <c r="E40" i="161"/>
  <c r="E43" i="161"/>
  <c r="CN40" i="161"/>
  <c r="EB4" i="161" s="1"/>
  <c r="EE4" i="161" s="1"/>
  <c r="CN43" i="161"/>
  <c r="EB7" i="161" s="1"/>
  <c r="EE7" i="161" s="1"/>
  <c r="EM4" i="161"/>
  <c r="GC8" i="161"/>
  <c r="EI20" i="161"/>
  <c r="EX39" i="161"/>
  <c r="EX35" i="161"/>
  <c r="EX38" i="161"/>
  <c r="EX34" i="161"/>
  <c r="EX37" i="161"/>
  <c r="EX30" i="161"/>
  <c r="EX29" i="161"/>
  <c r="EX28" i="161"/>
  <c r="EX27" i="161"/>
  <c r="EX26" i="161"/>
  <c r="EX25" i="161"/>
  <c r="EX36" i="161"/>
  <c r="EX33" i="161"/>
  <c r="EX32" i="161"/>
  <c r="EX31" i="161"/>
  <c r="CV23" i="161"/>
  <c r="CV53" i="161" s="1"/>
  <c r="ET17" i="161" s="1"/>
  <c r="CV21" i="161"/>
  <c r="GC21" i="161" s="1"/>
  <c r="GC4" i="161"/>
  <c r="FG21" i="161"/>
  <c r="DG21" i="161"/>
  <c r="CX21" i="161" s="1"/>
  <c r="GD21" i="161" s="1"/>
  <c r="FN23" i="161"/>
  <c r="EM13" i="161"/>
  <c r="FJ4" i="161"/>
  <c r="EM12" i="161"/>
  <c r="EE18" i="161"/>
  <c r="G39" i="161"/>
  <c r="G35" i="161"/>
  <c r="G38" i="161"/>
  <c r="G34" i="161"/>
  <c r="G33" i="161"/>
  <c r="G32" i="161"/>
  <c r="G36" i="161"/>
  <c r="G37" i="161"/>
  <c r="G31" i="161"/>
  <c r="G30" i="161"/>
  <c r="G29" i="161"/>
  <c r="G27" i="161"/>
  <c r="G25" i="161"/>
  <c r="FI23" i="161"/>
  <c r="G28" i="161"/>
  <c r="G26" i="161"/>
  <c r="EM11" i="161"/>
  <c r="CZ31" i="161"/>
  <c r="FU21" i="161"/>
  <c r="EM10" i="161"/>
  <c r="EY38" i="161"/>
  <c r="EY34" i="161"/>
  <c r="EY37" i="161"/>
  <c r="EY39" i="161"/>
  <c r="EY35" i="161"/>
  <c r="EY36" i="161"/>
  <c r="EY33" i="161"/>
  <c r="EY32" i="161"/>
  <c r="EY31" i="161"/>
  <c r="EY30" i="161"/>
  <c r="EY29" i="161"/>
  <c r="EY27" i="161"/>
  <c r="EY25" i="161"/>
  <c r="FA23" i="161"/>
  <c r="DA23" i="161" s="1"/>
  <c r="GG23" i="161" s="1"/>
  <c r="EY28" i="161"/>
  <c r="EY26" i="161"/>
  <c r="GM11" i="161"/>
  <c r="GN11" i="161" s="1"/>
  <c r="GO11" i="161" s="1"/>
  <c r="DI18" i="161"/>
  <c r="CY31" i="161"/>
  <c r="FI21" i="161"/>
  <c r="EM7" i="161"/>
  <c r="I38" i="161"/>
  <c r="I37" i="161"/>
  <c r="I39" i="161"/>
  <c r="I34" i="161"/>
  <c r="I33" i="161"/>
  <c r="I32" i="161"/>
  <c r="I36" i="161"/>
  <c r="I35" i="161"/>
  <c r="I31" i="161"/>
  <c r="I30" i="161"/>
  <c r="I29" i="161"/>
  <c r="I27" i="161"/>
  <c r="I25" i="161"/>
  <c r="I28" i="161"/>
  <c r="I26" i="161"/>
  <c r="E36" i="161"/>
  <c r="E39" i="161"/>
  <c r="E35" i="161"/>
  <c r="E38" i="161"/>
  <c r="E37" i="161"/>
  <c r="E31" i="161"/>
  <c r="E30" i="161"/>
  <c r="E29" i="161"/>
  <c r="E28" i="161"/>
  <c r="E27" i="161"/>
  <c r="E26" i="161"/>
  <c r="E25" i="161"/>
  <c r="E34" i="161"/>
  <c r="E33" i="161"/>
  <c r="E32" i="161"/>
  <c r="DG23" i="161"/>
  <c r="CX23" i="161" s="1"/>
  <c r="GD23" i="161" s="1"/>
  <c r="EZ53" i="161"/>
  <c r="FG23" i="161"/>
  <c r="CN37" i="161"/>
  <c r="CN36" i="161"/>
  <c r="CN39" i="161"/>
  <c r="CN38" i="161"/>
  <c r="CN33" i="161"/>
  <c r="CN32" i="161"/>
  <c r="CN35" i="161"/>
  <c r="CN34" i="161"/>
  <c r="CN31" i="161"/>
  <c r="CN30" i="161"/>
  <c r="CN28" i="161"/>
  <c r="CN26" i="161"/>
  <c r="FU23" i="161"/>
  <c r="CN29" i="161"/>
  <c r="CN27" i="161"/>
  <c r="CN25" i="161"/>
  <c r="EM6" i="161"/>
  <c r="AG47" i="160"/>
  <c r="W42" i="160"/>
  <c r="W54" i="160"/>
  <c r="W43" i="160"/>
  <c r="W51" i="160"/>
  <c r="AG41" i="160"/>
  <c r="FK22" i="160"/>
  <c r="W44" i="160"/>
  <c r="DT18" i="160"/>
  <c r="K42" i="160"/>
  <c r="K51" i="160"/>
  <c r="K43" i="160"/>
  <c r="K52" i="160"/>
  <c r="K44" i="160"/>
  <c r="BK54" i="160"/>
  <c r="BK40" i="160"/>
  <c r="BK46" i="160"/>
  <c r="BK43" i="160"/>
  <c r="BK44" i="160"/>
  <c r="EX46" i="160"/>
  <c r="EX40" i="160"/>
  <c r="EX42" i="160"/>
  <c r="EX52" i="160"/>
  <c r="EX44" i="160"/>
  <c r="EX51" i="160"/>
  <c r="EX43" i="160"/>
  <c r="EX54" i="160"/>
  <c r="AC40" i="160"/>
  <c r="AC51" i="160"/>
  <c r="FM22" i="160"/>
  <c r="FN22" i="160" s="1"/>
  <c r="FN21" i="160"/>
  <c r="FI12" i="160"/>
  <c r="FJ12" i="160" s="1"/>
  <c r="DE12" i="160"/>
  <c r="DG13" i="160"/>
  <c r="CN17" i="48"/>
  <c r="Y40" i="160"/>
  <c r="Y52" i="160"/>
  <c r="M48" i="160"/>
  <c r="DJ12" i="160" s="1"/>
  <c r="M44" i="160"/>
  <c r="DJ8" i="160" s="1"/>
  <c r="M42" i="160"/>
  <c r="DJ6" i="160" s="1"/>
  <c r="M54" i="160"/>
  <c r="DJ18" i="160" s="1"/>
  <c r="M43" i="160"/>
  <c r="DJ7" i="160" s="1"/>
  <c r="M51" i="160"/>
  <c r="DJ15" i="160" s="1"/>
  <c r="S45" i="160"/>
  <c r="S49" i="160"/>
  <c r="S50" i="160"/>
  <c r="S48" i="160"/>
  <c r="S53" i="160"/>
  <c r="CK48" i="160"/>
  <c r="CK48" i="48" s="1"/>
  <c r="AK46" i="160"/>
  <c r="AK22" i="48"/>
  <c r="AK42" i="160"/>
  <c r="AG42" i="160"/>
  <c r="AE51" i="160"/>
  <c r="CQ39" i="48"/>
  <c r="AE40" i="160"/>
  <c r="AE46" i="160"/>
  <c r="AE52" i="160"/>
  <c r="AE42" i="160"/>
  <c r="AE53" i="160"/>
  <c r="AE43" i="160"/>
  <c r="K47" i="160"/>
  <c r="K53" i="160"/>
  <c r="AG50" i="160"/>
  <c r="K48" i="160"/>
  <c r="AG54" i="160"/>
  <c r="EY54" i="160"/>
  <c r="EY54" i="48" s="1"/>
  <c r="EY43" i="160"/>
  <c r="EY43" i="48" s="1"/>
  <c r="EY52" i="160"/>
  <c r="EY52" i="48" s="1"/>
  <c r="EY42" i="160"/>
  <c r="EY42" i="48" s="1"/>
  <c r="EY22" i="48"/>
  <c r="EY46" i="160"/>
  <c r="EY40" i="160"/>
  <c r="EY51" i="160"/>
  <c r="EY51" i="48" s="1"/>
  <c r="EY44" i="160"/>
  <c r="EF14" i="160"/>
  <c r="DY14" i="160"/>
  <c r="Y51" i="160"/>
  <c r="Y43" i="160"/>
  <c r="Y42" i="160"/>
  <c r="CK53" i="160"/>
  <c r="CK53" i="48" s="1"/>
  <c r="CN18" i="48"/>
  <c r="AG46" i="160"/>
  <c r="AG43" i="160"/>
  <c r="AG52" i="160"/>
  <c r="AG51" i="160"/>
  <c r="AG40" i="160"/>
  <c r="AG53" i="160"/>
  <c r="BM48" i="160"/>
  <c r="BM50" i="160"/>
  <c r="O50" i="160"/>
  <c r="M40" i="160"/>
  <c r="DJ4" i="160" s="1"/>
  <c r="M46" i="160"/>
  <c r="DJ10" i="160" s="1"/>
  <c r="AK40" i="160"/>
  <c r="AK54" i="160"/>
  <c r="AK43" i="160"/>
  <c r="AK51" i="160"/>
  <c r="DE18" i="160"/>
  <c r="AE45" i="160"/>
  <c r="AC43" i="160"/>
  <c r="AC54" i="160"/>
  <c r="FI13" i="160"/>
  <c r="FJ13" i="160" s="1"/>
  <c r="DE13" i="160"/>
  <c r="AI52" i="160"/>
  <c r="G52" i="160"/>
  <c r="EN16" i="160" s="1"/>
  <c r="AI42" i="160"/>
  <c r="CK47" i="160"/>
  <c r="CK50" i="160"/>
  <c r="CK50" i="48" s="1"/>
  <c r="AI43" i="160"/>
  <c r="AI54" i="160"/>
  <c r="AI51" i="160"/>
  <c r="AI44" i="160"/>
  <c r="FI22" i="160"/>
  <c r="FA22" i="160"/>
  <c r="DA22" i="160" s="1"/>
  <c r="GG22" i="160" s="1"/>
  <c r="FI18" i="160"/>
  <c r="AI22" i="48"/>
  <c r="AI40" i="160"/>
  <c r="G40" i="160"/>
  <c r="G44" i="160"/>
  <c r="G46" i="160"/>
  <c r="BK45" i="160"/>
  <c r="BI49" i="160"/>
  <c r="BI47" i="160"/>
  <c r="BI53" i="160"/>
  <c r="E40" i="160"/>
  <c r="BI23" i="48"/>
  <c r="BI48" i="160"/>
  <c r="E42" i="160"/>
  <c r="BI41" i="160"/>
  <c r="BI50" i="160"/>
  <c r="FG22" i="160"/>
  <c r="W53" i="160"/>
  <c r="W48" i="160"/>
  <c r="W50" i="160"/>
  <c r="E46" i="160"/>
  <c r="W47" i="160"/>
  <c r="W41" i="160"/>
  <c r="W45" i="160"/>
  <c r="Y49" i="160"/>
  <c r="FJ9" i="160"/>
  <c r="E54" i="160"/>
  <c r="O49" i="160"/>
  <c r="G42" i="160"/>
  <c r="G54" i="160"/>
  <c r="G43" i="160"/>
  <c r="DG22" i="160"/>
  <c r="CX22" i="160" s="1"/>
  <c r="GD22" i="160" s="1"/>
  <c r="E43" i="160"/>
  <c r="E51" i="160"/>
  <c r="EN15" i="160" s="1"/>
  <c r="E44" i="160"/>
  <c r="AE47" i="160"/>
  <c r="AC44" i="160"/>
  <c r="AC52" i="160"/>
  <c r="AE41" i="160"/>
  <c r="AE48" i="160"/>
  <c r="AC42" i="160"/>
  <c r="BK47" i="160"/>
  <c r="BK49" i="160"/>
  <c r="BK23" i="48"/>
  <c r="BK53" i="160"/>
  <c r="BK41" i="160"/>
  <c r="BK48" i="160"/>
  <c r="CK42" i="160"/>
  <c r="CK42" i="48" s="1"/>
  <c r="CK51" i="160"/>
  <c r="CK51" i="48" s="1"/>
  <c r="CK45" i="160"/>
  <c r="CK45" i="48" s="1"/>
  <c r="CK49" i="160"/>
  <c r="CK49" i="48" s="1"/>
  <c r="AI45" i="160"/>
  <c r="Y53" i="160"/>
  <c r="AI41" i="160"/>
  <c r="Y48" i="160"/>
  <c r="Y47" i="160"/>
  <c r="Y41" i="160"/>
  <c r="Y45" i="160"/>
  <c r="AI53" i="160"/>
  <c r="AI47" i="160"/>
  <c r="AI49" i="160"/>
  <c r="AI23" i="48"/>
  <c r="AI48" i="160"/>
  <c r="CK43" i="160"/>
  <c r="CK43" i="48" s="1"/>
  <c r="CK52" i="160"/>
  <c r="CK52" i="48" s="1"/>
  <c r="CN22" i="160"/>
  <c r="CK22" i="48"/>
  <c r="CK21" i="48"/>
  <c r="CK40" i="160"/>
  <c r="DH4" i="160" s="1"/>
  <c r="CK54" i="160"/>
  <c r="CK54" i="48" s="1"/>
  <c r="DH21" i="160"/>
  <c r="CZ21" i="160" s="1"/>
  <c r="GF21" i="160" s="1"/>
  <c r="CK46" i="160"/>
  <c r="CK46" i="48" s="1"/>
  <c r="FT22" i="160"/>
  <c r="DH23" i="160"/>
  <c r="CZ23" i="160" s="1"/>
  <c r="GF23" i="160" s="1"/>
  <c r="O48" i="160"/>
  <c r="AK48" i="160"/>
  <c r="O45" i="160"/>
  <c r="O53" i="160"/>
  <c r="K41" i="160"/>
  <c r="K45" i="160"/>
  <c r="K49" i="160"/>
  <c r="AG48" i="160"/>
  <c r="AG49" i="160"/>
  <c r="AE49" i="160"/>
  <c r="O41" i="160"/>
  <c r="AK49" i="160"/>
  <c r="AK47" i="160"/>
  <c r="AK53" i="160"/>
  <c r="M49" i="160"/>
  <c r="DJ13" i="160" s="1"/>
  <c r="AK50" i="160"/>
  <c r="M50" i="160"/>
  <c r="DJ14" i="160" s="1"/>
  <c r="M53" i="160"/>
  <c r="DJ17" i="160" s="1"/>
  <c r="M47" i="160"/>
  <c r="DJ11" i="160" s="1"/>
  <c r="AK41" i="160"/>
  <c r="AK45" i="160"/>
  <c r="M41" i="160"/>
  <c r="DJ5" i="160" s="1"/>
  <c r="CK41" i="160"/>
  <c r="DH5" i="160" s="1"/>
  <c r="CJ25" i="48"/>
  <c r="CK23" i="48"/>
  <c r="CJ30" i="48"/>
  <c r="GC15" i="160"/>
  <c r="DE14" i="160"/>
  <c r="FG14" i="160"/>
  <c r="FJ14" i="160" s="1"/>
  <c r="DT14" i="160"/>
  <c r="DG14" i="160"/>
  <c r="DY13" i="160"/>
  <c r="EF13" i="160"/>
  <c r="DT13" i="160"/>
  <c r="CN23" i="160"/>
  <c r="CN21" i="160"/>
  <c r="CN21" i="48" s="1"/>
  <c r="FU4" i="160"/>
  <c r="AE38" i="160"/>
  <c r="AE39" i="160"/>
  <c r="AE35" i="160"/>
  <c r="AE34" i="160"/>
  <c r="AE33" i="160"/>
  <c r="AE32" i="160"/>
  <c r="AE37" i="160"/>
  <c r="AE36" i="160"/>
  <c r="AE30" i="160"/>
  <c r="AE28" i="160"/>
  <c r="AE27" i="160"/>
  <c r="AE26" i="160"/>
  <c r="AE25" i="160"/>
  <c r="AE31" i="160"/>
  <c r="AE29" i="160"/>
  <c r="O38" i="160"/>
  <c r="O39" i="160"/>
  <c r="O35" i="160"/>
  <c r="O34" i="160"/>
  <c r="O33" i="160"/>
  <c r="O32" i="160"/>
  <c r="O37" i="160"/>
  <c r="O36" i="160"/>
  <c r="O30" i="160"/>
  <c r="O28" i="160"/>
  <c r="O27" i="160"/>
  <c r="O26" i="160"/>
  <c r="O25" i="160"/>
  <c r="O31" i="160"/>
  <c r="O29" i="160"/>
  <c r="AC23" i="160"/>
  <c r="AC48" i="160" s="1"/>
  <c r="M39" i="160"/>
  <c r="M38" i="160"/>
  <c r="M36" i="160"/>
  <c r="M35" i="160"/>
  <c r="M34" i="160"/>
  <c r="M33" i="160"/>
  <c r="M32" i="160"/>
  <c r="M37" i="160"/>
  <c r="M31" i="160"/>
  <c r="M29" i="160"/>
  <c r="M30" i="160"/>
  <c r="M28" i="160"/>
  <c r="M27" i="160"/>
  <c r="M26" i="160"/>
  <c r="M25" i="160"/>
  <c r="Y39" i="160"/>
  <c r="Y38" i="160"/>
  <c r="Y37" i="160"/>
  <c r="Y31" i="160"/>
  <c r="Y30" i="160"/>
  <c r="Y29" i="160"/>
  <c r="Y36" i="160"/>
  <c r="Y35" i="160"/>
  <c r="Y34" i="160"/>
  <c r="Y33" i="160"/>
  <c r="Y28" i="160"/>
  <c r="Y27" i="160"/>
  <c r="Y26" i="160"/>
  <c r="Y25" i="160"/>
  <c r="Y32" i="160"/>
  <c r="FM23" i="160"/>
  <c r="I23" i="160"/>
  <c r="I48" i="160" s="1"/>
  <c r="CV13" i="160"/>
  <c r="DY7" i="160"/>
  <c r="GC12" i="160"/>
  <c r="BI39" i="160"/>
  <c r="BI38" i="160"/>
  <c r="BI36" i="160"/>
  <c r="BI35" i="160"/>
  <c r="BI34" i="160"/>
  <c r="BI33" i="160"/>
  <c r="BI32" i="160"/>
  <c r="BI37" i="160"/>
  <c r="BI31" i="160"/>
  <c r="BI29" i="160"/>
  <c r="BI30" i="160"/>
  <c r="BI28" i="160"/>
  <c r="BI27" i="160"/>
  <c r="BI26" i="160"/>
  <c r="BI25" i="160"/>
  <c r="G23" i="160"/>
  <c r="G48" i="160" s="1"/>
  <c r="G21" i="160"/>
  <c r="FI4" i="160"/>
  <c r="DH8" i="160"/>
  <c r="Q37" i="160"/>
  <c r="Q31" i="160"/>
  <c r="Q30" i="160"/>
  <c r="Q29" i="160"/>
  <c r="Q36" i="160"/>
  <c r="Q39" i="160"/>
  <c r="Q38" i="160"/>
  <c r="Q35" i="160"/>
  <c r="Q34" i="160"/>
  <c r="Q32" i="160"/>
  <c r="Q28" i="160"/>
  <c r="Q27" i="160"/>
  <c r="Q26" i="160"/>
  <c r="Q25" i="160"/>
  <c r="Q33" i="160"/>
  <c r="FI15" i="160"/>
  <c r="FJ15" i="160" s="1"/>
  <c r="EX23" i="160"/>
  <c r="EZ23" i="160" s="1"/>
  <c r="EX21" i="160"/>
  <c r="EZ21" i="160" s="1"/>
  <c r="EF4" i="160"/>
  <c r="DY4" i="160"/>
  <c r="CK39" i="160"/>
  <c r="CK39" i="48" s="1"/>
  <c r="CK38" i="160"/>
  <c r="CK36" i="160"/>
  <c r="CK31" i="160"/>
  <c r="EM10" i="160" s="1"/>
  <c r="CK30" i="160"/>
  <c r="CK29" i="160"/>
  <c r="EM8" i="160" s="1"/>
  <c r="CK35" i="160"/>
  <c r="CK37" i="160"/>
  <c r="EM16" i="160" s="1"/>
  <c r="CK34" i="160"/>
  <c r="CK33" i="160"/>
  <c r="CK32" i="160"/>
  <c r="FT23" i="160"/>
  <c r="CK28" i="160"/>
  <c r="CK27" i="160"/>
  <c r="CK26" i="160"/>
  <c r="EM5" i="160" s="1"/>
  <c r="CK25" i="160"/>
  <c r="DI4" i="160" s="1"/>
  <c r="AC21" i="160"/>
  <c r="K39" i="160"/>
  <c r="K38" i="160"/>
  <c r="K37" i="160"/>
  <c r="K31" i="160"/>
  <c r="K30" i="160"/>
  <c r="K29" i="160"/>
  <c r="K36" i="160"/>
  <c r="K35" i="160"/>
  <c r="K34" i="160"/>
  <c r="K32" i="160"/>
  <c r="K33" i="160"/>
  <c r="K28" i="160"/>
  <c r="K27" i="160"/>
  <c r="K26" i="160"/>
  <c r="K25" i="160"/>
  <c r="DG15" i="160"/>
  <c r="DT15" i="160"/>
  <c r="BM39" i="160"/>
  <c r="BM38" i="160"/>
  <c r="BM36" i="160"/>
  <c r="BM35" i="160"/>
  <c r="BM31" i="160"/>
  <c r="BM30" i="160"/>
  <c r="BM29" i="160"/>
  <c r="BM37" i="160"/>
  <c r="BM34" i="160"/>
  <c r="BM33" i="160"/>
  <c r="BM32" i="160"/>
  <c r="BM28" i="160"/>
  <c r="BM27" i="160"/>
  <c r="BM26" i="160"/>
  <c r="BM25" i="160"/>
  <c r="DY17" i="160"/>
  <c r="EF17" i="160"/>
  <c r="AG37" i="160"/>
  <c r="AG31" i="160"/>
  <c r="AG30" i="160"/>
  <c r="AG29" i="160"/>
  <c r="AG36" i="160"/>
  <c r="AG39" i="160"/>
  <c r="AG38" i="160"/>
  <c r="AG35" i="160"/>
  <c r="AG34" i="160"/>
  <c r="AG32" i="160"/>
  <c r="AG28" i="160"/>
  <c r="AG27" i="160"/>
  <c r="AG26" i="160"/>
  <c r="AG25" i="160"/>
  <c r="AG33" i="160"/>
  <c r="EB19" i="160"/>
  <c r="GC5" i="160"/>
  <c r="EY21" i="160"/>
  <c r="EY21" i="48" s="1"/>
  <c r="EY23" i="160"/>
  <c r="W38" i="160"/>
  <c r="W35" i="160"/>
  <c r="W34" i="160"/>
  <c r="W33" i="160"/>
  <c r="W32" i="160"/>
  <c r="W39" i="160"/>
  <c r="W37" i="160"/>
  <c r="W36" i="160"/>
  <c r="FK23" i="160"/>
  <c r="W31" i="160"/>
  <c r="W29" i="160"/>
  <c r="W28" i="160"/>
  <c r="W27" i="160"/>
  <c r="W26" i="160"/>
  <c r="W25" i="160"/>
  <c r="W30" i="160"/>
  <c r="E21" i="160"/>
  <c r="E23" i="160"/>
  <c r="E48" i="160" s="1"/>
  <c r="DT4" i="160"/>
  <c r="FG4" i="160"/>
  <c r="DE4" i="160"/>
  <c r="DG4" i="160"/>
  <c r="CV4" i="160"/>
  <c r="AA39" i="160"/>
  <c r="AA38" i="160"/>
  <c r="AA37" i="160"/>
  <c r="AA31" i="160"/>
  <c r="AA30" i="160"/>
  <c r="AA29" i="160"/>
  <c r="AA36" i="160"/>
  <c r="AA35" i="160"/>
  <c r="AA34" i="160"/>
  <c r="AA32" i="160"/>
  <c r="AA33" i="160"/>
  <c r="AA28" i="160"/>
  <c r="AA27" i="160"/>
  <c r="AA26" i="160"/>
  <c r="AA25" i="160"/>
  <c r="AK39" i="160"/>
  <c r="AK38" i="160"/>
  <c r="AK36" i="160"/>
  <c r="AK35" i="160"/>
  <c r="AK34" i="160"/>
  <c r="AK33" i="160"/>
  <c r="AK32" i="160"/>
  <c r="AK37" i="160"/>
  <c r="AK30" i="160"/>
  <c r="AK31" i="160"/>
  <c r="AK29" i="160"/>
  <c r="AK28" i="160"/>
  <c r="AK27" i="160"/>
  <c r="AK26" i="160"/>
  <c r="AK25" i="160"/>
  <c r="U39" i="160"/>
  <c r="U38" i="160"/>
  <c r="U36" i="160"/>
  <c r="U35" i="160"/>
  <c r="U34" i="160"/>
  <c r="U33" i="160"/>
  <c r="U32" i="160"/>
  <c r="U37" i="160"/>
  <c r="U30" i="160"/>
  <c r="U31" i="160"/>
  <c r="U29" i="160"/>
  <c r="U28" i="160"/>
  <c r="U27" i="160"/>
  <c r="U26" i="160"/>
  <c r="U25" i="160"/>
  <c r="BK34" i="160"/>
  <c r="BK33" i="160"/>
  <c r="BK32" i="160"/>
  <c r="BK37" i="160"/>
  <c r="BK38" i="160"/>
  <c r="BK36" i="160"/>
  <c r="BK39" i="160"/>
  <c r="BK35" i="160"/>
  <c r="BK30" i="160"/>
  <c r="BK28" i="160"/>
  <c r="BK27" i="160"/>
  <c r="BK26" i="160"/>
  <c r="BK25" i="160"/>
  <c r="BK31" i="160"/>
  <c r="BK29" i="160"/>
  <c r="DT7" i="160"/>
  <c r="FJ18" i="160"/>
  <c r="EB20" i="160"/>
  <c r="EZ51" i="160"/>
  <c r="EF15" i="160"/>
  <c r="DY15" i="160"/>
  <c r="CV14" i="160"/>
  <c r="DT17" i="160"/>
  <c r="GC11" i="160"/>
  <c r="AI39" i="160"/>
  <c r="AI37" i="160"/>
  <c r="AI31" i="160"/>
  <c r="AI30" i="160"/>
  <c r="AI29" i="160"/>
  <c r="AI36" i="160"/>
  <c r="AI38" i="160"/>
  <c r="AI35" i="160"/>
  <c r="AI34" i="160"/>
  <c r="AI33" i="160"/>
  <c r="AI32" i="160"/>
  <c r="AI28" i="160"/>
  <c r="AI27" i="160"/>
  <c r="AI26" i="160"/>
  <c r="AI25" i="160"/>
  <c r="CV17" i="160"/>
  <c r="FJ17" i="160"/>
  <c r="DE15" i="160"/>
  <c r="S39" i="160"/>
  <c r="S37" i="160"/>
  <c r="S31" i="160"/>
  <c r="S30" i="160"/>
  <c r="S29" i="160"/>
  <c r="S36" i="160"/>
  <c r="S38" i="160"/>
  <c r="S35" i="160"/>
  <c r="S34" i="160"/>
  <c r="S33" i="160"/>
  <c r="S32" i="160"/>
  <c r="S28" i="160"/>
  <c r="S27" i="160"/>
  <c r="S26" i="160"/>
  <c r="S25" i="160"/>
  <c r="GC16" i="160"/>
  <c r="FJ8" i="160"/>
  <c r="CH54" i="159"/>
  <c r="CF54" i="159"/>
  <c r="CD54" i="159"/>
  <c r="CB54" i="159"/>
  <c r="BZ54" i="159"/>
  <c r="BX54" i="159"/>
  <c r="BV54" i="159"/>
  <c r="BT54" i="159"/>
  <c r="BR54" i="159"/>
  <c r="BP54" i="159"/>
  <c r="BN54" i="159"/>
  <c r="BL54" i="159"/>
  <c r="BJ54" i="159"/>
  <c r="CH53" i="159"/>
  <c r="CF53" i="159"/>
  <c r="CD53" i="159"/>
  <c r="CB53" i="159"/>
  <c r="BZ53" i="159"/>
  <c r="BX53" i="159"/>
  <c r="BV53" i="159"/>
  <c r="BT53" i="159"/>
  <c r="BR53" i="159"/>
  <c r="BP53" i="159"/>
  <c r="BN53" i="159"/>
  <c r="BL53" i="159"/>
  <c r="BJ53" i="159"/>
  <c r="CH52" i="159"/>
  <c r="CF52" i="159"/>
  <c r="CD52" i="159"/>
  <c r="CB52" i="159"/>
  <c r="BZ52" i="159"/>
  <c r="BX52" i="159"/>
  <c r="BV52" i="159"/>
  <c r="BT52" i="159"/>
  <c r="BR52" i="159"/>
  <c r="BP52" i="159"/>
  <c r="BN52" i="159"/>
  <c r="BL52" i="159"/>
  <c r="BJ52" i="159"/>
  <c r="CH51" i="159"/>
  <c r="CF51" i="159"/>
  <c r="CD51" i="159"/>
  <c r="CB51" i="159"/>
  <c r="BZ51" i="159"/>
  <c r="BX51" i="159"/>
  <c r="BV51" i="159"/>
  <c r="BT51" i="159"/>
  <c r="BR51" i="159"/>
  <c r="BP51" i="159"/>
  <c r="BN51" i="159"/>
  <c r="BL51" i="159"/>
  <c r="BJ51" i="159"/>
  <c r="CH50" i="159"/>
  <c r="CF50" i="159"/>
  <c r="CD50" i="159"/>
  <c r="CB50" i="159"/>
  <c r="BZ50" i="159"/>
  <c r="BX50" i="159"/>
  <c r="BV50" i="159"/>
  <c r="BT50" i="159"/>
  <c r="BR50" i="159"/>
  <c r="BP50" i="159"/>
  <c r="BN50" i="159"/>
  <c r="BL50" i="159"/>
  <c r="BJ50" i="159"/>
  <c r="CH39" i="159"/>
  <c r="CF39" i="159"/>
  <c r="CD39" i="159"/>
  <c r="CB39" i="159"/>
  <c r="BZ39" i="159"/>
  <c r="BX39" i="159"/>
  <c r="BV39" i="159"/>
  <c r="BT39" i="159"/>
  <c r="BR39" i="159"/>
  <c r="BP39" i="159"/>
  <c r="BN39" i="159"/>
  <c r="BL39" i="159"/>
  <c r="BJ39" i="159"/>
  <c r="CH38" i="159"/>
  <c r="CF38" i="159"/>
  <c r="CD38" i="159"/>
  <c r="CB38" i="159"/>
  <c r="BZ38" i="159"/>
  <c r="BX38" i="159"/>
  <c r="BV38" i="159"/>
  <c r="BT38" i="159"/>
  <c r="BR38" i="159"/>
  <c r="BP38" i="159"/>
  <c r="BN38" i="159"/>
  <c r="BL38" i="159"/>
  <c r="BJ38" i="159"/>
  <c r="CH37" i="159"/>
  <c r="CF37" i="159"/>
  <c r="CD37" i="159"/>
  <c r="CB37" i="159"/>
  <c r="BZ37" i="159"/>
  <c r="BX37" i="159"/>
  <c r="BV37" i="159"/>
  <c r="BT37" i="159"/>
  <c r="BR37" i="159"/>
  <c r="BP37" i="159"/>
  <c r="BN37" i="159"/>
  <c r="BL37" i="159"/>
  <c r="BJ37" i="159"/>
  <c r="CH36" i="159"/>
  <c r="CF36" i="159"/>
  <c r="CD36" i="159"/>
  <c r="CB36" i="159"/>
  <c r="BZ36" i="159"/>
  <c r="BX36" i="159"/>
  <c r="BV36" i="159"/>
  <c r="BT36" i="159"/>
  <c r="BR36" i="159"/>
  <c r="BP36" i="159"/>
  <c r="BN36" i="159"/>
  <c r="BL36" i="159"/>
  <c r="BJ36" i="159"/>
  <c r="CH35" i="159"/>
  <c r="CF35" i="159"/>
  <c r="CD35" i="159"/>
  <c r="CB35" i="159"/>
  <c r="BZ35" i="159"/>
  <c r="BX35" i="159"/>
  <c r="BV35" i="159"/>
  <c r="BT35" i="159"/>
  <c r="BR35" i="159"/>
  <c r="BP35" i="159"/>
  <c r="BN35" i="159"/>
  <c r="BL35" i="159"/>
  <c r="BJ35" i="159"/>
  <c r="CU23" i="159"/>
  <c r="CT23" i="159"/>
  <c r="CT30" i="159" s="1"/>
  <c r="CS23" i="159"/>
  <c r="CR23" i="159"/>
  <c r="CQ23" i="159"/>
  <c r="CP23" i="159"/>
  <c r="CP29" i="159" s="1"/>
  <c r="CO23" i="159"/>
  <c r="CO29" i="159" s="1"/>
  <c r="CM23" i="159"/>
  <c r="CL23" i="159"/>
  <c r="CJ23" i="159"/>
  <c r="CI23" i="159"/>
  <c r="CI35" i="159" s="1"/>
  <c r="CG23" i="159"/>
  <c r="CG31" i="159" s="1"/>
  <c r="CE23" i="159"/>
  <c r="CE31" i="159" s="1"/>
  <c r="CC23" i="159"/>
  <c r="CA23" i="159"/>
  <c r="CA36" i="159" s="1"/>
  <c r="BY23" i="159"/>
  <c r="BW23" i="159"/>
  <c r="BU23" i="159"/>
  <c r="BS23" i="159"/>
  <c r="BS35" i="159" s="1"/>
  <c r="BQ23" i="159"/>
  <c r="BQ31" i="159" s="1"/>
  <c r="BO23" i="159"/>
  <c r="BO31" i="159" s="1"/>
  <c r="BG23" i="159"/>
  <c r="BE23" i="159"/>
  <c r="BC23" i="159"/>
  <c r="BA23" i="159"/>
  <c r="BA31" i="159" s="1"/>
  <c r="AY23" i="159"/>
  <c r="AY31" i="159" s="1"/>
  <c r="AW23" i="159"/>
  <c r="AU23" i="159"/>
  <c r="AS23" i="159"/>
  <c r="AQ23" i="159"/>
  <c r="AO23" i="159"/>
  <c r="AM23" i="159"/>
  <c r="D23" i="159"/>
  <c r="D31" i="159" s="1"/>
  <c r="FQ22" i="159"/>
  <c r="FO22" i="159"/>
  <c r="EY22" i="159"/>
  <c r="CU22" i="159"/>
  <c r="CT22" i="159"/>
  <c r="GA22" i="159" s="1"/>
  <c r="CS22" i="159"/>
  <c r="CR22" i="159"/>
  <c r="FY22" i="159" s="1"/>
  <c r="CQ22" i="159"/>
  <c r="CP22" i="159"/>
  <c r="FW22" i="159" s="1"/>
  <c r="CO22" i="159"/>
  <c r="CM22" i="159"/>
  <c r="CL22" i="159"/>
  <c r="CJ22" i="159"/>
  <c r="FS22" i="159" s="1"/>
  <c r="CI22" i="159"/>
  <c r="CG22" i="159"/>
  <c r="CE22" i="159"/>
  <c r="CC22" i="159"/>
  <c r="CA22" i="159"/>
  <c r="BY22" i="159"/>
  <c r="BW22" i="159"/>
  <c r="BU22" i="159"/>
  <c r="BS22" i="159"/>
  <c r="BQ22" i="159"/>
  <c r="BO22" i="159"/>
  <c r="BG22" i="159"/>
  <c r="BE22" i="159"/>
  <c r="BC22" i="159"/>
  <c r="BA22" i="159"/>
  <c r="AY22" i="159"/>
  <c r="AW22" i="159"/>
  <c r="AU22" i="159"/>
  <c r="AS22" i="159"/>
  <c r="AQ22" i="159"/>
  <c r="AO22" i="159"/>
  <c r="AM22" i="159"/>
  <c r="AE22" i="159"/>
  <c r="U22" i="159"/>
  <c r="O22" i="159"/>
  <c r="D22" i="159"/>
  <c r="GB21" i="159"/>
  <c r="CU21" i="159"/>
  <c r="CT21" i="159"/>
  <c r="GA21" i="159" s="1"/>
  <c r="CS21" i="159"/>
  <c r="FZ21" i="159" s="1"/>
  <c r="CR21" i="159"/>
  <c r="FY21" i="159" s="1"/>
  <c r="CQ21" i="159"/>
  <c r="FX21" i="159" s="1"/>
  <c r="CP21" i="159"/>
  <c r="FW21" i="159" s="1"/>
  <c r="CO21" i="159"/>
  <c r="FV21" i="159" s="1"/>
  <c r="CM21" i="159"/>
  <c r="CL21" i="159"/>
  <c r="CJ21" i="159"/>
  <c r="FS21" i="159" s="1"/>
  <c r="CI21" i="159"/>
  <c r="CG21" i="159"/>
  <c r="CE21" i="159"/>
  <c r="CC21" i="159"/>
  <c r="CA21" i="159"/>
  <c r="BY21" i="159"/>
  <c r="BW21" i="159"/>
  <c r="BU21" i="159"/>
  <c r="BS21" i="159"/>
  <c r="BQ21" i="159"/>
  <c r="BO21" i="159"/>
  <c r="BG21" i="159"/>
  <c r="BE21" i="159"/>
  <c r="BC21" i="159"/>
  <c r="BA21" i="159"/>
  <c r="AY21" i="159"/>
  <c r="AW21" i="159"/>
  <c r="AU21" i="159"/>
  <c r="AS21" i="159"/>
  <c r="AQ21" i="159"/>
  <c r="AO21" i="159"/>
  <c r="AM21" i="159"/>
  <c r="D21" i="159"/>
  <c r="FF21" i="159" s="1"/>
  <c r="GA20" i="159"/>
  <c r="FT20" i="159"/>
  <c r="FS20" i="159"/>
  <c r="ET20" i="159"/>
  <c r="EN20" i="159"/>
  <c r="EF20" i="159"/>
  <c r="DY20" i="159"/>
  <c r="CN20" i="159"/>
  <c r="FU20" i="159" s="1"/>
  <c r="GA19" i="159"/>
  <c r="FT19" i="159"/>
  <c r="FS19" i="159"/>
  <c r="ET19" i="159"/>
  <c r="EN19" i="159"/>
  <c r="EF19" i="159"/>
  <c r="DY19" i="159"/>
  <c r="CN19" i="159"/>
  <c r="GB18" i="159"/>
  <c r="GA18" i="159"/>
  <c r="FZ18" i="159"/>
  <c r="FY18" i="159"/>
  <c r="FX18" i="159"/>
  <c r="FW18" i="159"/>
  <c r="FV18" i="159"/>
  <c r="FS18" i="159"/>
  <c r="FR18" i="159"/>
  <c r="FQ18" i="159"/>
  <c r="FO18" i="159"/>
  <c r="FF18" i="159"/>
  <c r="DQ18" i="159"/>
  <c r="DP18" i="159"/>
  <c r="DO18" i="159"/>
  <c r="DD18" i="159"/>
  <c r="CK18" i="159"/>
  <c r="BM18" i="159"/>
  <c r="BK18" i="159"/>
  <c r="BI18" i="159"/>
  <c r="E18" i="159" s="1"/>
  <c r="AK18" i="159"/>
  <c r="AI18" i="159"/>
  <c r="AG18" i="159"/>
  <c r="AE18" i="159"/>
  <c r="EY18" i="159" s="1"/>
  <c r="AC18" i="159"/>
  <c r="EX18" i="159" s="1"/>
  <c r="EF18" i="159" s="1"/>
  <c r="AA18" i="159"/>
  <c r="Y18" i="159"/>
  <c r="FM18" i="159" s="1"/>
  <c r="W18" i="159"/>
  <c r="DF18" i="159" s="1"/>
  <c r="U18" i="159"/>
  <c r="S18" i="159"/>
  <c r="Q18" i="159"/>
  <c r="O18" i="159"/>
  <c r="M18" i="159"/>
  <c r="K18" i="159"/>
  <c r="GB17" i="159"/>
  <c r="GA17" i="159"/>
  <c r="FZ17" i="159"/>
  <c r="FY17" i="159"/>
  <c r="FX17" i="159"/>
  <c r="FW17" i="159"/>
  <c r="FV17" i="159"/>
  <c r="FS17" i="159"/>
  <c r="FR17" i="159"/>
  <c r="FQ17" i="159"/>
  <c r="FO17" i="159"/>
  <c r="FG17" i="159"/>
  <c r="FF17" i="159"/>
  <c r="DQ17" i="159"/>
  <c r="DP17" i="159"/>
  <c r="DO17" i="159"/>
  <c r="CK17" i="159"/>
  <c r="FT17" i="159" s="1"/>
  <c r="BM17" i="159"/>
  <c r="BK17" i="159"/>
  <c r="BI17" i="159"/>
  <c r="AK17" i="159"/>
  <c r="I17" i="159" s="1"/>
  <c r="AI17" i="159"/>
  <c r="AG17" i="159"/>
  <c r="AE17" i="159"/>
  <c r="EY17" i="159" s="1"/>
  <c r="AC17" i="159"/>
  <c r="EX17" i="159" s="1"/>
  <c r="AA17" i="159"/>
  <c r="Y17" i="159"/>
  <c r="FM17" i="159" s="1"/>
  <c r="W17" i="159"/>
  <c r="FK17" i="159" s="1"/>
  <c r="U17" i="159"/>
  <c r="S17" i="159"/>
  <c r="Q17" i="159"/>
  <c r="O17" i="159"/>
  <c r="M17" i="159"/>
  <c r="K17" i="159"/>
  <c r="E17" i="159"/>
  <c r="GB16" i="159"/>
  <c r="GA16" i="159"/>
  <c r="FZ16" i="159"/>
  <c r="FY16" i="159"/>
  <c r="FX16" i="159"/>
  <c r="FW16" i="159"/>
  <c r="FV16" i="159"/>
  <c r="FS16" i="159"/>
  <c r="FQ16" i="159"/>
  <c r="FR16" i="159" s="1"/>
  <c r="FO16" i="159"/>
  <c r="FK16" i="159"/>
  <c r="FF16" i="159"/>
  <c r="DQ16" i="159"/>
  <c r="DP16" i="159"/>
  <c r="DO16" i="159"/>
  <c r="CK16" i="159"/>
  <c r="FT16" i="159" s="1"/>
  <c r="BM16" i="159"/>
  <c r="BK16" i="159"/>
  <c r="BI16" i="159"/>
  <c r="AK16" i="159"/>
  <c r="AI16" i="159"/>
  <c r="AG16" i="159"/>
  <c r="E16" i="159" s="1"/>
  <c r="AE16" i="159"/>
  <c r="EY16" i="159" s="1"/>
  <c r="AC16" i="159"/>
  <c r="EX16" i="159" s="1"/>
  <c r="AA16" i="159"/>
  <c r="Y16" i="159"/>
  <c r="FM16" i="159" s="1"/>
  <c r="W16" i="159"/>
  <c r="U16" i="159"/>
  <c r="S16" i="159"/>
  <c r="Q16" i="159"/>
  <c r="O16" i="159"/>
  <c r="M16" i="159"/>
  <c r="K16" i="159"/>
  <c r="I16" i="159"/>
  <c r="GB15" i="159"/>
  <c r="GA15" i="159"/>
  <c r="FZ15" i="159"/>
  <c r="FY15" i="159"/>
  <c r="FX15" i="159"/>
  <c r="FW15" i="159"/>
  <c r="FV15" i="159"/>
  <c r="FT15" i="159"/>
  <c r="FS15" i="159"/>
  <c r="FQ15" i="159"/>
  <c r="FO15" i="159"/>
  <c r="FR15" i="159" s="1"/>
  <c r="FF15" i="159"/>
  <c r="DQ15" i="159"/>
  <c r="DP15" i="159"/>
  <c r="DO15" i="159"/>
  <c r="DF15" i="159"/>
  <c r="CN15" i="159"/>
  <c r="FU15" i="159" s="1"/>
  <c r="CK15" i="159"/>
  <c r="BM15" i="159"/>
  <c r="BK15" i="159"/>
  <c r="BI15" i="159"/>
  <c r="AK15" i="159"/>
  <c r="AI15" i="159"/>
  <c r="AG15" i="159"/>
  <c r="AE15" i="159"/>
  <c r="AC15" i="159" s="1"/>
  <c r="EX15" i="159" s="1"/>
  <c r="AA15" i="159"/>
  <c r="Y15" i="159"/>
  <c r="FM15" i="159" s="1"/>
  <c r="W15" i="159"/>
  <c r="U15" i="159"/>
  <c r="S15" i="159"/>
  <c r="Q15" i="159"/>
  <c r="O15" i="159"/>
  <c r="M15" i="159"/>
  <c r="K15" i="159"/>
  <c r="I15" i="159"/>
  <c r="G15" i="159"/>
  <c r="GB14" i="159"/>
  <c r="GA14" i="159"/>
  <c r="FZ14" i="159"/>
  <c r="FY14" i="159"/>
  <c r="FX14" i="159"/>
  <c r="FW14" i="159"/>
  <c r="FV14" i="159"/>
  <c r="FS14" i="159"/>
  <c r="FQ14" i="159"/>
  <c r="FO14" i="159"/>
  <c r="FR14" i="159" s="1"/>
  <c r="FF14" i="159"/>
  <c r="EY14" i="159"/>
  <c r="DQ14" i="159"/>
  <c r="DP14" i="159"/>
  <c r="DO14" i="159"/>
  <c r="CK14" i="159"/>
  <c r="CN14" i="159" s="1"/>
  <c r="FU14" i="159" s="1"/>
  <c r="BM14" i="159"/>
  <c r="BK14" i="159"/>
  <c r="BI14" i="159"/>
  <c r="AK14" i="159"/>
  <c r="AI14" i="159"/>
  <c r="AG14" i="159"/>
  <c r="AE14" i="159"/>
  <c r="AC14" i="159"/>
  <c r="EX14" i="159" s="1"/>
  <c r="DY14" i="159" s="1"/>
  <c r="AA14" i="159"/>
  <c r="Y14" i="159"/>
  <c r="FM14" i="159" s="1"/>
  <c r="W14" i="159"/>
  <c r="U14" i="159"/>
  <c r="S14" i="159"/>
  <c r="Q14" i="159"/>
  <c r="O14" i="159"/>
  <c r="M14" i="159"/>
  <c r="K14" i="159"/>
  <c r="E14" i="159"/>
  <c r="GB13" i="159"/>
  <c r="GA13" i="159"/>
  <c r="FZ13" i="159"/>
  <c r="FY13" i="159"/>
  <c r="FX13" i="159"/>
  <c r="FW13" i="159"/>
  <c r="FV13" i="159"/>
  <c r="FS13" i="159"/>
  <c r="FR13" i="159"/>
  <c r="FQ13" i="159"/>
  <c r="FO13" i="159"/>
  <c r="FM13" i="159"/>
  <c r="FF13" i="159"/>
  <c r="DQ13" i="159"/>
  <c r="DP13" i="159"/>
  <c r="DO13" i="159"/>
  <c r="CK13" i="159"/>
  <c r="BM13" i="159"/>
  <c r="BK13" i="159"/>
  <c r="BI13" i="159"/>
  <c r="AK13" i="159"/>
  <c r="I13" i="159" s="1"/>
  <c r="AI13" i="159"/>
  <c r="G13" i="159" s="1"/>
  <c r="AG13" i="159"/>
  <c r="AG22" i="159" s="1"/>
  <c r="AE13" i="159"/>
  <c r="EY13" i="159" s="1"/>
  <c r="AC13" i="159"/>
  <c r="EX13" i="159" s="1"/>
  <c r="AA13" i="159"/>
  <c r="Y13" i="159"/>
  <c r="W13" i="159"/>
  <c r="FK13" i="159" s="1"/>
  <c r="FN13" i="159" s="1"/>
  <c r="U13" i="159"/>
  <c r="S13" i="159"/>
  <c r="Q13" i="159"/>
  <c r="O13" i="159"/>
  <c r="M13" i="159"/>
  <c r="K13" i="159"/>
  <c r="E13" i="159"/>
  <c r="FG13" i="159" s="1"/>
  <c r="GB12" i="159"/>
  <c r="GA12" i="159"/>
  <c r="FZ12" i="159"/>
  <c r="FY12" i="159"/>
  <c r="FX12" i="159"/>
  <c r="FW12" i="159"/>
  <c r="FV12" i="159"/>
  <c r="FS12" i="159"/>
  <c r="FR12" i="159"/>
  <c r="FQ12" i="159"/>
  <c r="FO12" i="159"/>
  <c r="FM12" i="159"/>
  <c r="FK12" i="159"/>
  <c r="FN12" i="159" s="1"/>
  <c r="FF12" i="159"/>
  <c r="DQ12" i="159"/>
  <c r="DP12" i="159"/>
  <c r="DO12" i="159"/>
  <c r="DD12" i="159"/>
  <c r="CK12" i="159"/>
  <c r="FT12" i="159" s="1"/>
  <c r="BM12" i="159"/>
  <c r="BK12" i="159"/>
  <c r="BI12" i="159"/>
  <c r="AK12" i="159"/>
  <c r="AI12" i="159"/>
  <c r="AG12" i="159"/>
  <c r="E12" i="159" s="1"/>
  <c r="AE12" i="159"/>
  <c r="EY12" i="159" s="1"/>
  <c r="AC12" i="159"/>
  <c r="EX12" i="159" s="1"/>
  <c r="EF12" i="159" s="1"/>
  <c r="AA12" i="159"/>
  <c r="Y12" i="159"/>
  <c r="W12" i="159"/>
  <c r="DF12" i="159" s="1"/>
  <c r="U12" i="159"/>
  <c r="S12" i="159"/>
  <c r="Q12" i="159"/>
  <c r="O12" i="159"/>
  <c r="M12" i="159"/>
  <c r="K12" i="159"/>
  <c r="I12" i="159"/>
  <c r="GB11" i="159"/>
  <c r="GA11" i="159"/>
  <c r="FZ11" i="159"/>
  <c r="FY11" i="159"/>
  <c r="FX11" i="159"/>
  <c r="FW11" i="159"/>
  <c r="FV11" i="159"/>
  <c r="FS11" i="159"/>
  <c r="FQ11" i="159"/>
  <c r="FO11" i="159"/>
  <c r="FR11" i="159" s="1"/>
  <c r="FK11" i="159"/>
  <c r="FF11" i="159"/>
  <c r="EY11" i="159"/>
  <c r="DQ11" i="159"/>
  <c r="DP11" i="159"/>
  <c r="DO11" i="159"/>
  <c r="DD11" i="159"/>
  <c r="CK11" i="159"/>
  <c r="FT11" i="159" s="1"/>
  <c r="BM11" i="159"/>
  <c r="BK11" i="159"/>
  <c r="BI11" i="159"/>
  <c r="AK11" i="159"/>
  <c r="I11" i="159" s="1"/>
  <c r="AI11" i="159"/>
  <c r="AG11" i="159"/>
  <c r="AE11" i="159"/>
  <c r="AC11" i="159" s="1"/>
  <c r="EX11" i="159" s="1"/>
  <c r="DY11" i="159" s="1"/>
  <c r="AA11" i="159"/>
  <c r="Y11" i="159"/>
  <c r="FM11" i="159" s="1"/>
  <c r="W11" i="159"/>
  <c r="U11" i="159"/>
  <c r="S11" i="159"/>
  <c r="Q11" i="159"/>
  <c r="O11" i="159"/>
  <c r="M11" i="159"/>
  <c r="K11" i="159"/>
  <c r="G11" i="159"/>
  <c r="GB10" i="159"/>
  <c r="GA10" i="159"/>
  <c r="FZ10" i="159"/>
  <c r="FY10" i="159"/>
  <c r="FX10" i="159"/>
  <c r="FW10" i="159"/>
  <c r="FV10" i="159"/>
  <c r="FS10" i="159"/>
  <c r="FQ10" i="159"/>
  <c r="FO10" i="159"/>
  <c r="FR10" i="159" s="1"/>
  <c r="FF10" i="159"/>
  <c r="DQ10" i="159"/>
  <c r="DP10" i="159"/>
  <c r="DO10" i="159"/>
  <c r="CN10" i="159"/>
  <c r="FU10" i="159" s="1"/>
  <c r="CK10" i="159"/>
  <c r="FT10" i="159" s="1"/>
  <c r="BM10" i="159"/>
  <c r="BK10" i="159"/>
  <c r="BI10" i="159"/>
  <c r="AK10" i="159"/>
  <c r="I10" i="159" s="1"/>
  <c r="AI10" i="159"/>
  <c r="AG10" i="159"/>
  <c r="AE10" i="159"/>
  <c r="EY10" i="159" s="1"/>
  <c r="AA10" i="159"/>
  <c r="Y10" i="159"/>
  <c r="FM10" i="159" s="1"/>
  <c r="W10" i="159"/>
  <c r="U10" i="159"/>
  <c r="S10" i="159"/>
  <c r="Q10" i="159"/>
  <c r="O10" i="159"/>
  <c r="M10" i="159"/>
  <c r="K10" i="159"/>
  <c r="G10" i="159"/>
  <c r="E10" i="159"/>
  <c r="GB9" i="159"/>
  <c r="GA9" i="159"/>
  <c r="FZ9" i="159"/>
  <c r="FY9" i="159"/>
  <c r="FX9" i="159"/>
  <c r="FW9" i="159"/>
  <c r="FV9" i="159"/>
  <c r="FS9" i="159"/>
  <c r="FR9" i="159"/>
  <c r="FQ9" i="159"/>
  <c r="FO9" i="159"/>
  <c r="FF9" i="159"/>
  <c r="DQ9" i="159"/>
  <c r="DP9" i="159"/>
  <c r="DO9" i="159"/>
  <c r="CK9" i="159"/>
  <c r="BM9" i="159"/>
  <c r="BK9" i="159"/>
  <c r="BI9" i="159"/>
  <c r="E9" i="159" s="1"/>
  <c r="AK9" i="159"/>
  <c r="AI9" i="159"/>
  <c r="G9" i="159" s="1"/>
  <c r="AG9" i="159"/>
  <c r="AE9" i="159"/>
  <c r="EY9" i="159" s="1"/>
  <c r="AC9" i="159"/>
  <c r="EX9" i="159" s="1"/>
  <c r="AA9" i="159"/>
  <c r="Y9" i="159"/>
  <c r="FM9" i="159" s="1"/>
  <c r="W9" i="159"/>
  <c r="FK9" i="159" s="1"/>
  <c r="U9" i="159"/>
  <c r="S9" i="159"/>
  <c r="Q9" i="159"/>
  <c r="O9" i="159"/>
  <c r="M9" i="159"/>
  <c r="K9" i="159"/>
  <c r="GB8" i="159"/>
  <c r="GA8" i="159"/>
  <c r="FZ8" i="159"/>
  <c r="FY8" i="159"/>
  <c r="FX8" i="159"/>
  <c r="FW8" i="159"/>
  <c r="FV8" i="159"/>
  <c r="FS8" i="159"/>
  <c r="FQ8" i="159"/>
  <c r="FR8" i="159" s="1"/>
  <c r="FO8" i="159"/>
  <c r="FF8" i="159"/>
  <c r="DQ8" i="159"/>
  <c r="DP8" i="159"/>
  <c r="DO8" i="159"/>
  <c r="CK8" i="159"/>
  <c r="FT8" i="159" s="1"/>
  <c r="BM8" i="159"/>
  <c r="BK8" i="159"/>
  <c r="BI8" i="159"/>
  <c r="AK8" i="159"/>
  <c r="I8" i="159" s="1"/>
  <c r="AI8" i="159"/>
  <c r="AG8" i="159"/>
  <c r="AE8" i="159"/>
  <c r="AC8" i="159" s="1"/>
  <c r="EX8" i="159" s="1"/>
  <c r="AA8" i="159"/>
  <c r="Y8" i="159"/>
  <c r="FM8" i="159" s="1"/>
  <c r="W8" i="159"/>
  <c r="FK8" i="159" s="1"/>
  <c r="U8" i="159"/>
  <c r="S8" i="159"/>
  <c r="Q8" i="159"/>
  <c r="O8" i="159"/>
  <c r="M8" i="159"/>
  <c r="K8" i="159"/>
  <c r="GB7" i="159"/>
  <c r="GA7" i="159"/>
  <c r="FZ7" i="159"/>
  <c r="FY7" i="159"/>
  <c r="FX7" i="159"/>
  <c r="FW7" i="159"/>
  <c r="FV7" i="159"/>
  <c r="FS7" i="159"/>
  <c r="FQ7" i="159"/>
  <c r="FO7" i="159"/>
  <c r="FR7" i="159" s="1"/>
  <c r="FF7" i="159"/>
  <c r="DQ7" i="159"/>
  <c r="DP7" i="159"/>
  <c r="DO7" i="159"/>
  <c r="CK7" i="159"/>
  <c r="FT7" i="159" s="1"/>
  <c r="BM7" i="159"/>
  <c r="BM22" i="159" s="1"/>
  <c r="BK7" i="159"/>
  <c r="BI7" i="159"/>
  <c r="E7" i="159" s="1"/>
  <c r="FG7" i="159" s="1"/>
  <c r="AK7" i="159"/>
  <c r="I7" i="159" s="1"/>
  <c r="AI7" i="159"/>
  <c r="AG7" i="159"/>
  <c r="AE7" i="159"/>
  <c r="EY7" i="159" s="1"/>
  <c r="AC7" i="159"/>
  <c r="EX7" i="159" s="1"/>
  <c r="AA7" i="159"/>
  <c r="Y7" i="159"/>
  <c r="FM7" i="159" s="1"/>
  <c r="W7" i="159"/>
  <c r="FK7" i="159" s="1"/>
  <c r="U7" i="159"/>
  <c r="S7" i="159"/>
  <c r="Q7" i="159"/>
  <c r="O7" i="159"/>
  <c r="M7" i="159"/>
  <c r="M22" i="159" s="1"/>
  <c r="K7" i="159"/>
  <c r="K22" i="159" s="1"/>
  <c r="G7" i="159"/>
  <c r="FI7" i="159" s="1"/>
  <c r="GB6" i="159"/>
  <c r="GA6" i="159"/>
  <c r="FZ6" i="159"/>
  <c r="FY6" i="159"/>
  <c r="FX6" i="159"/>
  <c r="FW6" i="159"/>
  <c r="FV6" i="159"/>
  <c r="FS6" i="159"/>
  <c r="FR6" i="159"/>
  <c r="FQ6" i="159"/>
  <c r="FO6" i="159"/>
  <c r="FF6" i="159"/>
  <c r="DQ6" i="159"/>
  <c r="DP6" i="159"/>
  <c r="DO6" i="159"/>
  <c r="DD6" i="159"/>
  <c r="CK6" i="159"/>
  <c r="FT6" i="159" s="1"/>
  <c r="BM6" i="159"/>
  <c r="BK6" i="159"/>
  <c r="BI6" i="159"/>
  <c r="AK6" i="159"/>
  <c r="I6" i="159" s="1"/>
  <c r="AI6" i="159"/>
  <c r="G6" i="159" s="1"/>
  <c r="AG6" i="159"/>
  <c r="E6" i="159" s="1"/>
  <c r="AE6" i="159"/>
  <c r="EY6" i="159" s="1"/>
  <c r="AC6" i="159"/>
  <c r="AA6" i="159"/>
  <c r="AA22" i="159" s="1"/>
  <c r="Y6" i="159"/>
  <c r="FM6" i="159" s="1"/>
  <c r="W6" i="159"/>
  <c r="FK6" i="159" s="1"/>
  <c r="U6" i="159"/>
  <c r="S6" i="159"/>
  <c r="Q6" i="159"/>
  <c r="O6" i="159"/>
  <c r="M6" i="159"/>
  <c r="K6" i="159"/>
  <c r="GB5" i="159"/>
  <c r="GA5" i="159"/>
  <c r="FZ5" i="159"/>
  <c r="FY5" i="159"/>
  <c r="FX5" i="159"/>
  <c r="FW5" i="159"/>
  <c r="FV5" i="159"/>
  <c r="FS5" i="159"/>
  <c r="FQ5" i="159"/>
  <c r="FR5" i="159" s="1"/>
  <c r="FO5" i="159"/>
  <c r="FK5" i="159"/>
  <c r="FF5" i="159"/>
  <c r="DQ5" i="159"/>
  <c r="DP5" i="159"/>
  <c r="DO5" i="159"/>
  <c r="DD5" i="159"/>
  <c r="CK5" i="159"/>
  <c r="FT5" i="159" s="1"/>
  <c r="BM5" i="159"/>
  <c r="BK5" i="159"/>
  <c r="BI5" i="159"/>
  <c r="AK5" i="159"/>
  <c r="AI5" i="159"/>
  <c r="G5" i="159" s="1"/>
  <c r="AG5" i="159"/>
  <c r="E5" i="159" s="1"/>
  <c r="AE5" i="159"/>
  <c r="EY5" i="159" s="1"/>
  <c r="AC5" i="159"/>
  <c r="EX5" i="159" s="1"/>
  <c r="AA5" i="159"/>
  <c r="Y5" i="159"/>
  <c r="FM5" i="159" s="1"/>
  <c r="W5" i="159"/>
  <c r="DF5" i="159" s="1"/>
  <c r="U5" i="159"/>
  <c r="S5" i="159"/>
  <c r="Q5" i="159"/>
  <c r="Q22" i="159" s="1"/>
  <c r="O5" i="159"/>
  <c r="M5" i="159"/>
  <c r="K5" i="159"/>
  <c r="I5" i="159"/>
  <c r="GB4" i="159"/>
  <c r="GA4" i="159"/>
  <c r="FZ4" i="159"/>
  <c r="FY4" i="159"/>
  <c r="FX4" i="159"/>
  <c r="FW4" i="159"/>
  <c r="FV4" i="159"/>
  <c r="FS4" i="159"/>
  <c r="FQ4" i="159"/>
  <c r="FO4" i="159"/>
  <c r="FF4" i="159"/>
  <c r="DQ4" i="159"/>
  <c r="DP4" i="159"/>
  <c r="DO4" i="159"/>
  <c r="DD4" i="159"/>
  <c r="CK4" i="159"/>
  <c r="FT4" i="159" s="1"/>
  <c r="BM4" i="159"/>
  <c r="BK4" i="159"/>
  <c r="BI4" i="159"/>
  <c r="AK4" i="159"/>
  <c r="I4" i="159" s="1"/>
  <c r="AI4" i="159"/>
  <c r="AG4" i="159"/>
  <c r="AE4" i="159"/>
  <c r="EY4" i="159" s="1"/>
  <c r="AA4" i="159"/>
  <c r="Y4" i="159"/>
  <c r="W4" i="159"/>
  <c r="U4" i="159"/>
  <c r="S4" i="159"/>
  <c r="Q4" i="159"/>
  <c r="O4" i="159"/>
  <c r="M4" i="159"/>
  <c r="K4" i="159"/>
  <c r="CM4" i="48"/>
  <c r="CL4" i="48"/>
  <c r="CM54" i="107"/>
  <c r="CL26" i="107"/>
  <c r="CM26" i="107"/>
  <c r="CL27" i="107"/>
  <c r="CM27" i="107"/>
  <c r="CL28" i="107"/>
  <c r="CM28" i="107"/>
  <c r="CL29" i="107"/>
  <c r="CM29" i="107"/>
  <c r="CL30" i="107"/>
  <c r="CM30" i="107"/>
  <c r="CL31" i="107"/>
  <c r="CM31" i="107"/>
  <c r="CL32" i="107"/>
  <c r="CM32" i="107"/>
  <c r="CL33" i="107"/>
  <c r="CM33" i="107"/>
  <c r="CL34" i="107"/>
  <c r="CM34" i="107"/>
  <c r="CL35" i="107"/>
  <c r="CM35" i="107"/>
  <c r="CL36" i="107"/>
  <c r="CM36" i="107"/>
  <c r="CL37" i="107"/>
  <c r="CM37" i="107"/>
  <c r="CL38" i="107"/>
  <c r="CM38" i="107"/>
  <c r="CL39" i="107"/>
  <c r="CM39" i="107"/>
  <c r="CL40" i="107"/>
  <c r="CM40" i="107"/>
  <c r="CL41" i="107"/>
  <c r="CM41" i="107"/>
  <c r="CL42" i="107"/>
  <c r="CM42" i="107"/>
  <c r="CL43" i="107"/>
  <c r="CM43" i="107"/>
  <c r="CL44" i="107"/>
  <c r="CM44" i="107"/>
  <c r="CL45" i="107"/>
  <c r="CM45" i="107"/>
  <c r="CL46" i="107"/>
  <c r="CM46" i="107"/>
  <c r="CL47" i="107"/>
  <c r="CM47" i="107"/>
  <c r="CL48" i="107"/>
  <c r="CM48" i="107"/>
  <c r="CL49" i="107"/>
  <c r="CM49" i="107"/>
  <c r="CL50" i="107"/>
  <c r="CM50" i="107"/>
  <c r="CL51" i="107"/>
  <c r="CM51" i="107"/>
  <c r="CL52" i="107"/>
  <c r="CM52" i="107"/>
  <c r="CL53" i="107"/>
  <c r="CM53" i="107"/>
  <c r="CL54" i="107"/>
  <c r="CK27" i="107"/>
  <c r="CK28" i="107"/>
  <c r="CK29" i="107"/>
  <c r="CK30" i="107"/>
  <c r="CK31" i="107"/>
  <c r="CK32" i="107"/>
  <c r="CK33" i="107"/>
  <c r="CK34" i="107"/>
  <c r="CK35" i="107"/>
  <c r="CK36" i="107"/>
  <c r="CK37" i="107"/>
  <c r="CK38" i="107"/>
  <c r="CK39" i="107"/>
  <c r="CK40" i="107"/>
  <c r="CK41" i="107"/>
  <c r="CK42" i="107"/>
  <c r="CK43" i="107"/>
  <c r="CK44" i="107"/>
  <c r="CK45" i="107"/>
  <c r="CK46" i="107"/>
  <c r="CK47" i="107"/>
  <c r="CK48" i="107"/>
  <c r="CK49" i="107"/>
  <c r="CK50" i="107"/>
  <c r="CK51" i="107"/>
  <c r="CK52" i="107"/>
  <c r="CK53" i="107"/>
  <c r="CK54" i="107"/>
  <c r="CL25" i="107"/>
  <c r="CM25" i="107"/>
  <c r="CK25" i="107"/>
  <c r="CL22" i="107"/>
  <c r="CM22" i="107"/>
  <c r="CL23" i="107"/>
  <c r="CM23" i="107"/>
  <c r="CK22" i="107"/>
  <c r="CL21" i="107"/>
  <c r="CM21" i="107"/>
  <c r="CK21" i="107"/>
  <c r="CK5" i="107"/>
  <c r="CK6" i="107"/>
  <c r="CK7" i="107"/>
  <c r="CK8" i="107"/>
  <c r="CK9" i="107"/>
  <c r="CK10" i="107"/>
  <c r="CK11" i="107"/>
  <c r="CK12" i="107"/>
  <c r="CK13" i="107"/>
  <c r="CK14" i="107"/>
  <c r="CK15" i="107"/>
  <c r="CK16" i="107"/>
  <c r="CK17" i="107"/>
  <c r="CK18" i="107"/>
  <c r="CK4" i="107"/>
  <c r="CN4" i="107"/>
  <c r="EG21" i="165" l="1"/>
  <c r="DN21" i="165" s="1"/>
  <c r="CY21" i="165" s="1"/>
  <c r="GE21" i="165" s="1"/>
  <c r="DN11" i="165"/>
  <c r="CY11" i="165"/>
  <c r="GE11" i="165" s="1"/>
  <c r="EG46" i="165"/>
  <c r="EG43" i="165"/>
  <c r="GO13" i="165" s="1"/>
  <c r="EG40" i="165"/>
  <c r="EG49" i="165"/>
  <c r="GO15" i="165" s="1"/>
  <c r="EG42" i="165"/>
  <c r="EE22" i="48"/>
  <c r="EG48" i="165"/>
  <c r="EG51" i="165"/>
  <c r="GO16" i="165" s="1"/>
  <c r="DN22" i="165"/>
  <c r="CY22" i="165" s="1"/>
  <c r="GE22" i="165" s="1"/>
  <c r="EG41" i="165"/>
  <c r="DN7" i="165"/>
  <c r="DN14" i="165"/>
  <c r="CX14" i="165"/>
  <c r="GD14" i="165" s="1"/>
  <c r="CY7" i="165"/>
  <c r="GE7" i="165" s="1"/>
  <c r="CY14" i="165"/>
  <c r="GE14" i="165" s="1"/>
  <c r="CX7" i="165"/>
  <c r="GD7" i="165" s="1"/>
  <c r="EG23" i="165"/>
  <c r="EG44" i="165" s="1"/>
  <c r="EJ20" i="164"/>
  <c r="EH20" i="164" s="1"/>
  <c r="EK20" i="164"/>
  <c r="DX20" i="164"/>
  <c r="DU20" i="164" s="1"/>
  <c r="EG20" i="164" s="1"/>
  <c r="ET5" i="164"/>
  <c r="EQ18" i="164"/>
  <c r="EJ19" i="164"/>
  <c r="EH19" i="164" s="1"/>
  <c r="DX19" i="164"/>
  <c r="DU19" i="164" s="1"/>
  <c r="EG19" i="164" s="1"/>
  <c r="ET4" i="164"/>
  <c r="EK19" i="164"/>
  <c r="EQ9" i="164"/>
  <c r="EQ10" i="164"/>
  <c r="CX5" i="163"/>
  <c r="GD5" i="163" s="1"/>
  <c r="EQ17" i="163"/>
  <c r="CX8" i="163"/>
  <c r="GD8" i="163" s="1"/>
  <c r="CY13" i="163"/>
  <c r="GE13" i="163" s="1"/>
  <c r="CY17" i="163"/>
  <c r="GE17" i="163" s="1"/>
  <c r="ED13" i="164"/>
  <c r="EK13" i="164"/>
  <c r="DX11" i="164"/>
  <c r="DU11" i="164" s="1"/>
  <c r="EJ11" i="164"/>
  <c r="EH11" i="164" s="1"/>
  <c r="DX6" i="164"/>
  <c r="DU6" i="164" s="1"/>
  <c r="EJ6" i="164"/>
  <c r="DX12" i="164"/>
  <c r="DU12" i="164" s="1"/>
  <c r="EJ12" i="164"/>
  <c r="DX14" i="164"/>
  <c r="DU14" i="164" s="1"/>
  <c r="EJ14" i="164"/>
  <c r="DX7" i="164"/>
  <c r="DU7" i="164" s="1"/>
  <c r="EJ7" i="164"/>
  <c r="DX13" i="164"/>
  <c r="DU13" i="164" s="1"/>
  <c r="EJ13" i="164"/>
  <c r="DX10" i="164"/>
  <c r="DU10" i="164" s="1"/>
  <c r="EJ10" i="164"/>
  <c r="EK10" i="164"/>
  <c r="EK7" i="164"/>
  <c r="ED17" i="164"/>
  <c r="EK17" i="164"/>
  <c r="DX4" i="164"/>
  <c r="DU4" i="164" s="1"/>
  <c r="EJ4" i="164"/>
  <c r="EH4" i="164" s="1"/>
  <c r="DX8" i="164"/>
  <c r="DU8" i="164" s="1"/>
  <c r="EJ8" i="164"/>
  <c r="DX17" i="164"/>
  <c r="EJ17" i="164"/>
  <c r="DX15" i="164"/>
  <c r="DU15" i="164" s="1"/>
  <c r="EJ15" i="164"/>
  <c r="EH15" i="164" s="1"/>
  <c r="EK8" i="164"/>
  <c r="EK6" i="164"/>
  <c r="EH7" i="164"/>
  <c r="EH13" i="164"/>
  <c r="DX5" i="164"/>
  <c r="DU5" i="164" s="1"/>
  <c r="EJ5" i="164"/>
  <c r="DX9" i="164"/>
  <c r="DU9" i="164" s="1"/>
  <c r="EJ9" i="164"/>
  <c r="EH9" i="164" s="1"/>
  <c r="DX18" i="164"/>
  <c r="DU18" i="164" s="1"/>
  <c r="EJ18" i="164"/>
  <c r="EH18" i="164" s="1"/>
  <c r="DX16" i="164"/>
  <c r="DU16" i="164" s="1"/>
  <c r="EJ16" i="164"/>
  <c r="EK5" i="164"/>
  <c r="EK14" i="164"/>
  <c r="EH14" i="164" s="1"/>
  <c r="EK16" i="164"/>
  <c r="EK12" i="164"/>
  <c r="EG4" i="163"/>
  <c r="EG12" i="163"/>
  <c r="EG10" i="163"/>
  <c r="CY10" i="163" s="1"/>
  <c r="GE10" i="163" s="1"/>
  <c r="EG11" i="163"/>
  <c r="CX11" i="163" s="1"/>
  <c r="GD11" i="163" s="1"/>
  <c r="DN8" i="163"/>
  <c r="EG18" i="163"/>
  <c r="DN15" i="163"/>
  <c r="EG9" i="163"/>
  <c r="DN14" i="163"/>
  <c r="DN5" i="163"/>
  <c r="EG6" i="163"/>
  <c r="EG7" i="163"/>
  <c r="CY7" i="163" s="1"/>
  <c r="GE7" i="163" s="1"/>
  <c r="DN13" i="163"/>
  <c r="EG16" i="163"/>
  <c r="CY16" i="163" s="1"/>
  <c r="GE16" i="163" s="1"/>
  <c r="CY5" i="163"/>
  <c r="GE5" i="163" s="1"/>
  <c r="CY8" i="163"/>
  <c r="GE8" i="163" s="1"/>
  <c r="CX14" i="163"/>
  <c r="GD14" i="163" s="1"/>
  <c r="DN17" i="163"/>
  <c r="EP5" i="162"/>
  <c r="EO11" i="162"/>
  <c r="EQ11" i="162" s="1"/>
  <c r="EO6" i="162"/>
  <c r="EQ6" i="162" s="1"/>
  <c r="ET5" i="162"/>
  <c r="DX20" i="162"/>
  <c r="EP4" i="162"/>
  <c r="EQ4" i="162" s="1"/>
  <c r="EO14" i="162"/>
  <c r="EQ14" i="162" s="1"/>
  <c r="EP16" i="162"/>
  <c r="EQ16" i="162" s="1"/>
  <c r="EP8" i="162"/>
  <c r="EQ8" i="162" s="1"/>
  <c r="GN12" i="162"/>
  <c r="EP15" i="162"/>
  <c r="EQ15" i="162" s="1"/>
  <c r="EP10" i="162"/>
  <c r="EQ10" i="162" s="1"/>
  <c r="GL7" i="162"/>
  <c r="GN7" i="162" s="1"/>
  <c r="EP7" i="162"/>
  <c r="EQ7" i="162" s="1"/>
  <c r="EP12" i="162"/>
  <c r="EQ12" i="162" s="1"/>
  <c r="EK20" i="162"/>
  <c r="EH20" i="162" s="1"/>
  <c r="ED20" i="162"/>
  <c r="DU20" i="162" s="1"/>
  <c r="EG20" i="162" s="1"/>
  <c r="EO17" i="162"/>
  <c r="EP17" i="162"/>
  <c r="GN15" i="162"/>
  <c r="CV49" i="162"/>
  <c r="ET13" i="162" s="1"/>
  <c r="CV51" i="162"/>
  <c r="ET15" i="162" s="1"/>
  <c r="EZ49" i="162"/>
  <c r="EZ51" i="162"/>
  <c r="EO13" i="162"/>
  <c r="EP13" i="162"/>
  <c r="CV46" i="162"/>
  <c r="ET10" i="162" s="1"/>
  <c r="CV48" i="162"/>
  <c r="ET12" i="162" s="1"/>
  <c r="EZ46" i="162"/>
  <c r="EZ48" i="162"/>
  <c r="GL5" i="162"/>
  <c r="GN5" i="162" s="1"/>
  <c r="DZ19" i="162"/>
  <c r="EC19" i="162" s="1"/>
  <c r="EA19" i="162" s="1"/>
  <c r="ED19" i="162" s="1"/>
  <c r="GL10" i="162"/>
  <c r="GN10" i="162" s="1"/>
  <c r="EZ40" i="162"/>
  <c r="EZ43" i="162"/>
  <c r="CV40" i="162"/>
  <c r="DX19" i="162" s="1"/>
  <c r="CV43" i="162"/>
  <c r="ET7" i="162" s="1"/>
  <c r="GL9" i="162"/>
  <c r="GN9" i="162" s="1"/>
  <c r="EQ18" i="162"/>
  <c r="ED5" i="162"/>
  <c r="ED18" i="162"/>
  <c r="ED4" i="162"/>
  <c r="ED8" i="162"/>
  <c r="ED11" i="162"/>
  <c r="ED14" i="162"/>
  <c r="CV38" i="162"/>
  <c r="EK17" i="162" s="1"/>
  <c r="CV34" i="162"/>
  <c r="EK13" i="162" s="1"/>
  <c r="CV33" i="162"/>
  <c r="EK12" i="162" s="1"/>
  <c r="CV32" i="162"/>
  <c r="EK11" i="162" s="1"/>
  <c r="CV37" i="162"/>
  <c r="EK16" i="162" s="1"/>
  <c r="CV36" i="162"/>
  <c r="EK15" i="162" s="1"/>
  <c r="CV31" i="162"/>
  <c r="EK10" i="162" s="1"/>
  <c r="CV30" i="162"/>
  <c r="CV29" i="162"/>
  <c r="CV28" i="162"/>
  <c r="EK7" i="162" s="1"/>
  <c r="CV27" i="162"/>
  <c r="EK6" i="162" s="1"/>
  <c r="CV26" i="162"/>
  <c r="CV25" i="162"/>
  <c r="EK4" i="162" s="1"/>
  <c r="GC23" i="162"/>
  <c r="CV39" i="162"/>
  <c r="CV35" i="162"/>
  <c r="ED9" i="162"/>
  <c r="GL4" i="162"/>
  <c r="GN4" i="162" s="1"/>
  <c r="ED6" i="162"/>
  <c r="ED16" i="162"/>
  <c r="ED13" i="162"/>
  <c r="ED15" i="162"/>
  <c r="ED12" i="162"/>
  <c r="EQ9" i="162"/>
  <c r="EZ38" i="162"/>
  <c r="EZ34" i="162"/>
  <c r="EZ33" i="162"/>
  <c r="EZ32" i="162"/>
  <c r="EZ37" i="162"/>
  <c r="EZ36" i="162"/>
  <c r="EZ30" i="162"/>
  <c r="EZ29" i="162"/>
  <c r="EZ28" i="162"/>
  <c r="EZ27" i="162"/>
  <c r="EZ26" i="162"/>
  <c r="EZ25" i="162"/>
  <c r="EZ39" i="162"/>
  <c r="EZ35" i="162"/>
  <c r="EZ31" i="162"/>
  <c r="ED7" i="162"/>
  <c r="ED10" i="162"/>
  <c r="ED17" i="162"/>
  <c r="GL6" i="162"/>
  <c r="GN6" i="162" s="1"/>
  <c r="EQ5" i="162"/>
  <c r="CV22" i="160"/>
  <c r="EF11" i="159"/>
  <c r="DY16" i="159"/>
  <c r="CV16" i="159"/>
  <c r="AC22" i="159"/>
  <c r="EX6" i="159"/>
  <c r="EX22" i="159" s="1"/>
  <c r="AC6" i="48"/>
  <c r="EL11" i="161"/>
  <c r="GN16" i="161"/>
  <c r="EN15" i="161"/>
  <c r="EL15" i="161" s="1"/>
  <c r="EL16" i="161"/>
  <c r="EO16" i="161" s="1"/>
  <c r="EL6" i="161"/>
  <c r="EO6" i="161" s="1"/>
  <c r="EL14" i="161"/>
  <c r="EO14" i="161" s="1"/>
  <c r="EL5" i="161"/>
  <c r="EP5" i="161" s="1"/>
  <c r="EL9" i="161"/>
  <c r="EO9" i="161" s="1"/>
  <c r="ET11" i="161"/>
  <c r="GL9" i="161"/>
  <c r="GL8" i="161"/>
  <c r="GN18" i="161"/>
  <c r="EZ54" i="161"/>
  <c r="EZ47" i="161"/>
  <c r="EZ50" i="161"/>
  <c r="EZ45" i="161"/>
  <c r="EZ52" i="161"/>
  <c r="EZ41" i="161"/>
  <c r="EZ51" i="161"/>
  <c r="EZ42" i="161"/>
  <c r="GL12" i="161"/>
  <c r="GN12" i="161" s="1"/>
  <c r="DZ20" i="161"/>
  <c r="EC20" i="161" s="1"/>
  <c r="EA20" i="161" s="1"/>
  <c r="GN14" i="161"/>
  <c r="EY44" i="48"/>
  <c r="CV45" i="161"/>
  <c r="ET9" i="161" s="1"/>
  <c r="CV41" i="161"/>
  <c r="GC22" i="161"/>
  <c r="CV54" i="161"/>
  <c r="ET18" i="161" s="1"/>
  <c r="CV42" i="161"/>
  <c r="ET6" i="161" s="1"/>
  <c r="CV50" i="161"/>
  <c r="ET14" i="161" s="1"/>
  <c r="CV51" i="161"/>
  <c r="ET15" i="161" s="1"/>
  <c r="CV52" i="161"/>
  <c r="ET16" i="161" s="1"/>
  <c r="EP18" i="161"/>
  <c r="EQ18" i="161" s="1"/>
  <c r="EL17" i="161"/>
  <c r="EO17" i="161" s="1"/>
  <c r="EN12" i="161"/>
  <c r="EL12" i="161" s="1"/>
  <c r="EP12" i="161" s="1"/>
  <c r="FJ23" i="161"/>
  <c r="EN8" i="161"/>
  <c r="EL8" i="161" s="1"/>
  <c r="GL10" i="161"/>
  <c r="CV48" i="161"/>
  <c r="ET12" i="161" s="1"/>
  <c r="CV49" i="161"/>
  <c r="ET13" i="161" s="1"/>
  <c r="GL15" i="161"/>
  <c r="EY46" i="48"/>
  <c r="EZ48" i="161"/>
  <c r="EZ49" i="161"/>
  <c r="GM15" i="161"/>
  <c r="EN13" i="161"/>
  <c r="EL13" i="161" s="1"/>
  <c r="EO13" i="161" s="1"/>
  <c r="EY40" i="48"/>
  <c r="GL4" i="161"/>
  <c r="GL7" i="161"/>
  <c r="GL6" i="161"/>
  <c r="EN10" i="161"/>
  <c r="EL10" i="161" s="1"/>
  <c r="EP10" i="161" s="1"/>
  <c r="EZ44" i="161"/>
  <c r="EZ46" i="161"/>
  <c r="CV44" i="161"/>
  <c r="ET8" i="161" s="1"/>
  <c r="CV46" i="161"/>
  <c r="ET10" i="161" s="1"/>
  <c r="EZ40" i="161"/>
  <c r="EZ43" i="161"/>
  <c r="GM13" i="161"/>
  <c r="EN7" i="161"/>
  <c r="EL7" i="161" s="1"/>
  <c r="GL13" i="161"/>
  <c r="CV40" i="161"/>
  <c r="CV43" i="161"/>
  <c r="ET7" i="161" s="1"/>
  <c r="EN4" i="161"/>
  <c r="EL4" i="161" s="1"/>
  <c r="EO4" i="161" s="1"/>
  <c r="DW19" i="161"/>
  <c r="DZ19" i="161"/>
  <c r="EC19" i="161" s="1"/>
  <c r="EA19" i="161" s="1"/>
  <c r="ED19" i="161" s="1"/>
  <c r="GL5" i="161"/>
  <c r="EO11" i="161"/>
  <c r="EP11" i="161"/>
  <c r="DZ12" i="161"/>
  <c r="EC12" i="161" s="1"/>
  <c r="EA12" i="161" s="1"/>
  <c r="DL12" i="161"/>
  <c r="DW12" i="161"/>
  <c r="DZ6" i="161"/>
  <c r="EC6" i="161" s="1"/>
  <c r="EA6" i="161" s="1"/>
  <c r="DL6" i="161"/>
  <c r="DW6" i="161"/>
  <c r="DZ10" i="161"/>
  <c r="EC10" i="161" s="1"/>
  <c r="EA10" i="161" s="1"/>
  <c r="DL10" i="161"/>
  <c r="DW10" i="161"/>
  <c r="DZ18" i="161"/>
  <c r="EC18" i="161" s="1"/>
  <c r="EA18" i="161" s="1"/>
  <c r="DL18" i="161"/>
  <c r="DW18" i="161"/>
  <c r="ED20" i="161"/>
  <c r="EZ37" i="161"/>
  <c r="EZ36" i="161"/>
  <c r="EZ39" i="161"/>
  <c r="EZ38" i="161"/>
  <c r="EZ33" i="161"/>
  <c r="EZ32" i="161"/>
  <c r="EZ31" i="161"/>
  <c r="EZ30" i="161"/>
  <c r="EZ29" i="161"/>
  <c r="EZ35" i="161"/>
  <c r="EZ34" i="161"/>
  <c r="EZ27" i="161"/>
  <c r="EZ25" i="161"/>
  <c r="EZ28" i="161"/>
  <c r="EZ26" i="161"/>
  <c r="DZ13" i="161"/>
  <c r="EC13" i="161" s="1"/>
  <c r="EA13" i="161" s="1"/>
  <c r="GM8" i="161"/>
  <c r="GN8" i="161" s="1"/>
  <c r="DL13" i="161"/>
  <c r="DW13" i="161"/>
  <c r="DZ7" i="161"/>
  <c r="EC7" i="161" s="1"/>
  <c r="EA7" i="161" s="1"/>
  <c r="GM5" i="161"/>
  <c r="DL7" i="161"/>
  <c r="DW7" i="161"/>
  <c r="DZ16" i="161"/>
  <c r="EC16" i="161" s="1"/>
  <c r="EA16" i="161" s="1"/>
  <c r="DL16" i="161"/>
  <c r="DW16" i="161"/>
  <c r="DZ15" i="161"/>
  <c r="EC15" i="161" s="1"/>
  <c r="EA15" i="161" s="1"/>
  <c r="GM9" i="161"/>
  <c r="GN9" i="161" s="1"/>
  <c r="DL15" i="161"/>
  <c r="FJ21" i="161"/>
  <c r="DZ4" i="161"/>
  <c r="EC4" i="161" s="1"/>
  <c r="EA4" i="161" s="1"/>
  <c r="DL4" i="161"/>
  <c r="DZ8" i="161"/>
  <c r="EC8" i="161" s="1"/>
  <c r="EA8" i="161" s="1"/>
  <c r="DL8" i="161"/>
  <c r="DW8" i="161"/>
  <c r="GM10" i="161"/>
  <c r="DZ17" i="161"/>
  <c r="EC17" i="161" s="1"/>
  <c r="EA17" i="161" s="1"/>
  <c r="DL17" i="161"/>
  <c r="DW17" i="161"/>
  <c r="CV37" i="161"/>
  <c r="DX16" i="161" s="1"/>
  <c r="CV36" i="161"/>
  <c r="DX15" i="161" s="1"/>
  <c r="CV39" i="161"/>
  <c r="DX18" i="161" s="1"/>
  <c r="CV38" i="161"/>
  <c r="DX17" i="161" s="1"/>
  <c r="CV33" i="161"/>
  <c r="DX12" i="161" s="1"/>
  <c r="CV32" i="161"/>
  <c r="DX11" i="161" s="1"/>
  <c r="CV35" i="161"/>
  <c r="DX14" i="161" s="1"/>
  <c r="CV34" i="161"/>
  <c r="DX13" i="161" s="1"/>
  <c r="CV31" i="161"/>
  <c r="DX10" i="161" s="1"/>
  <c r="CV30" i="161"/>
  <c r="DX9" i="161" s="1"/>
  <c r="CV28" i="161"/>
  <c r="DX7" i="161" s="1"/>
  <c r="CV26" i="161"/>
  <c r="DX5" i="161" s="1"/>
  <c r="GC23" i="161"/>
  <c r="CV29" i="161"/>
  <c r="DX8" i="161" s="1"/>
  <c r="CV27" i="161"/>
  <c r="DX6" i="161" s="1"/>
  <c r="CV25" i="161"/>
  <c r="DZ11" i="161"/>
  <c r="EC11" i="161" s="1"/>
  <c r="EA11" i="161" s="1"/>
  <c r="GM7" i="161"/>
  <c r="DL11" i="161"/>
  <c r="DW11" i="161"/>
  <c r="GM4" i="161"/>
  <c r="DZ5" i="161"/>
  <c r="EC5" i="161" s="1"/>
  <c r="EA5" i="161" s="1"/>
  <c r="DL5" i="161"/>
  <c r="DW5" i="161"/>
  <c r="DZ9" i="161"/>
  <c r="EC9" i="161" s="1"/>
  <c r="EA9" i="161" s="1"/>
  <c r="GM6" i="161"/>
  <c r="DL9" i="161"/>
  <c r="DW9" i="161"/>
  <c r="DZ14" i="161"/>
  <c r="EC14" i="161" s="1"/>
  <c r="EA14" i="161" s="1"/>
  <c r="DL14" i="161"/>
  <c r="DW14" i="161"/>
  <c r="GL18" i="160"/>
  <c r="GL16" i="160"/>
  <c r="DZ19" i="160"/>
  <c r="EC19" i="160" s="1"/>
  <c r="EA19" i="160" s="1"/>
  <c r="DH12" i="160"/>
  <c r="DH17" i="160"/>
  <c r="DH6" i="160"/>
  <c r="DH10" i="160"/>
  <c r="DH15" i="160"/>
  <c r="GL13" i="160"/>
  <c r="EZ42" i="160"/>
  <c r="EN4" i="160"/>
  <c r="EN8" i="160"/>
  <c r="EL8" i="160" s="1"/>
  <c r="FJ22" i="160"/>
  <c r="DW19" i="160"/>
  <c r="EI19" i="160" s="1"/>
  <c r="DH18" i="160"/>
  <c r="EZ40" i="160"/>
  <c r="EZ46" i="160"/>
  <c r="EZ43" i="160"/>
  <c r="EZ52" i="160"/>
  <c r="EZ44" i="160"/>
  <c r="EZ54" i="160"/>
  <c r="DH16" i="160"/>
  <c r="DH14" i="160"/>
  <c r="DH11" i="160"/>
  <c r="CK47" i="48"/>
  <c r="DH7" i="160"/>
  <c r="EN10" i="160"/>
  <c r="EL10" i="160" s="1"/>
  <c r="EO10" i="160" s="1"/>
  <c r="EN6" i="160"/>
  <c r="GM16" i="160"/>
  <c r="EN18" i="160"/>
  <c r="EN7" i="160"/>
  <c r="GM13" i="160"/>
  <c r="GC14" i="160"/>
  <c r="CV43" i="160"/>
  <c r="ET7" i="160" s="1"/>
  <c r="CV46" i="160"/>
  <c r="ET10" i="160" s="1"/>
  <c r="GC22" i="160"/>
  <c r="CV54" i="160"/>
  <c r="ET18" i="160" s="1"/>
  <c r="CV42" i="160"/>
  <c r="ET6" i="160" s="1"/>
  <c r="CV52" i="160"/>
  <c r="ET16" i="160" s="1"/>
  <c r="CV40" i="160"/>
  <c r="CV44" i="160"/>
  <c r="ET8" i="160" s="1"/>
  <c r="CV51" i="160"/>
  <c r="ET15" i="160" s="1"/>
  <c r="DH9" i="160"/>
  <c r="FA21" i="160"/>
  <c r="DA21" i="160" s="1"/>
  <c r="GG21" i="160" s="1"/>
  <c r="FJ4" i="160"/>
  <c r="EN12" i="160"/>
  <c r="DH13" i="160"/>
  <c r="EM4" i="160"/>
  <c r="CN54" i="160"/>
  <c r="CN43" i="160"/>
  <c r="FU22" i="160"/>
  <c r="CN52" i="160"/>
  <c r="CN51" i="160"/>
  <c r="CN40" i="160"/>
  <c r="CN44" i="160"/>
  <c r="CN46" i="160"/>
  <c r="CN42" i="160"/>
  <c r="CN22" i="48"/>
  <c r="EM19" i="160"/>
  <c r="EL19" i="160" s="1"/>
  <c r="CK40" i="48"/>
  <c r="EY53" i="160"/>
  <c r="EY53" i="48" s="1"/>
  <c r="EY48" i="160"/>
  <c r="EY48" i="48" s="1"/>
  <c r="EX53" i="160"/>
  <c r="EX48" i="160"/>
  <c r="CN53" i="160"/>
  <c r="CN48" i="160"/>
  <c r="G50" i="160"/>
  <c r="G53" i="160"/>
  <c r="I50" i="160"/>
  <c r="I53" i="160"/>
  <c r="AC50" i="160"/>
  <c r="AC53" i="160"/>
  <c r="E50" i="160"/>
  <c r="E53" i="160"/>
  <c r="EX49" i="160"/>
  <c r="EX50" i="160"/>
  <c r="EY49" i="160"/>
  <c r="EY50" i="160"/>
  <c r="EY50" i="48" s="1"/>
  <c r="CN49" i="160"/>
  <c r="CN49" i="48" s="1"/>
  <c r="CN50" i="160"/>
  <c r="I47" i="160"/>
  <c r="I49" i="160"/>
  <c r="G47" i="160"/>
  <c r="G49" i="160"/>
  <c r="AC47" i="160"/>
  <c r="AC49" i="160"/>
  <c r="E47" i="160"/>
  <c r="E49" i="160"/>
  <c r="EY45" i="160"/>
  <c r="EY45" i="48" s="1"/>
  <c r="EY47" i="160"/>
  <c r="EX45" i="160"/>
  <c r="EX47" i="160"/>
  <c r="CN45" i="160"/>
  <c r="CN47" i="160"/>
  <c r="AC41" i="160"/>
  <c r="AC45" i="160"/>
  <c r="E41" i="160"/>
  <c r="E45" i="160"/>
  <c r="G41" i="160"/>
  <c r="G45" i="160"/>
  <c r="I41" i="160"/>
  <c r="I45" i="160"/>
  <c r="DI7" i="160"/>
  <c r="CK28" i="48"/>
  <c r="DI13" i="160"/>
  <c r="CK34" i="48"/>
  <c r="DI9" i="160"/>
  <c r="CK30" i="48"/>
  <c r="FN23" i="160"/>
  <c r="EL16" i="160"/>
  <c r="EO16" i="160" s="1"/>
  <c r="EM18" i="160"/>
  <c r="DI6" i="160"/>
  <c r="CK27" i="48"/>
  <c r="DI12" i="160"/>
  <c r="CK33" i="48"/>
  <c r="DI8" i="160"/>
  <c r="CK29" i="48"/>
  <c r="DI17" i="160"/>
  <c r="CK38" i="48"/>
  <c r="EY41" i="160"/>
  <c r="EY23" i="48"/>
  <c r="EM13" i="160"/>
  <c r="DI16" i="160"/>
  <c r="CK37" i="48"/>
  <c r="DI10" i="160"/>
  <c r="CK31" i="48"/>
  <c r="CN41" i="160"/>
  <c r="CN23" i="48"/>
  <c r="EM20" i="160"/>
  <c r="EL20" i="160" s="1"/>
  <c r="CK41" i="48"/>
  <c r="EX41" i="160"/>
  <c r="DI5" i="160"/>
  <c r="CK26" i="48"/>
  <c r="DI11" i="160"/>
  <c r="CK32" i="48"/>
  <c r="DI14" i="160"/>
  <c r="CK35" i="48"/>
  <c r="DI15" i="160"/>
  <c r="CK36" i="48"/>
  <c r="GC17" i="160"/>
  <c r="EE20" i="160"/>
  <c r="CV23" i="160"/>
  <c r="CV21" i="160"/>
  <c r="GC4" i="160"/>
  <c r="FG21" i="160"/>
  <c r="DG21" i="160"/>
  <c r="CX21" i="160" s="1"/>
  <c r="GD21" i="160" s="1"/>
  <c r="EE19" i="160"/>
  <c r="CY31" i="160"/>
  <c r="FI21" i="160"/>
  <c r="EM14" i="160"/>
  <c r="GC13" i="160"/>
  <c r="CN39" i="160"/>
  <c r="CN39" i="48" s="1"/>
  <c r="CN38" i="160"/>
  <c r="CN38" i="48" s="1"/>
  <c r="CN37" i="160"/>
  <c r="CN37" i="48" s="1"/>
  <c r="CN36" i="160"/>
  <c r="CN36" i="48" s="1"/>
  <c r="CN31" i="160"/>
  <c r="CN31" i="48" s="1"/>
  <c r="CN30" i="160"/>
  <c r="CN30" i="48" s="1"/>
  <c r="CN29" i="160"/>
  <c r="CN29" i="48" s="1"/>
  <c r="CN35" i="160"/>
  <c r="CN35" i="48" s="1"/>
  <c r="CN34" i="160"/>
  <c r="CN34" i="48" s="1"/>
  <c r="CN33" i="160"/>
  <c r="CN33" i="48" s="1"/>
  <c r="CN32" i="160"/>
  <c r="CN32" i="48" s="1"/>
  <c r="CN28" i="160"/>
  <c r="CN28" i="48" s="1"/>
  <c r="CN27" i="160"/>
  <c r="CN27" i="48" s="1"/>
  <c r="CN26" i="160"/>
  <c r="CN26" i="48" s="1"/>
  <c r="CN25" i="160"/>
  <c r="CN25" i="48" s="1"/>
  <c r="FU23" i="160"/>
  <c r="EM12" i="160"/>
  <c r="EY37" i="160"/>
  <c r="EY37" i="48" s="1"/>
  <c r="EY38" i="160"/>
  <c r="EY38" i="48" s="1"/>
  <c r="EY34" i="160"/>
  <c r="EY34" i="48" s="1"/>
  <c r="EY33" i="160"/>
  <c r="EY33" i="48" s="1"/>
  <c r="EY32" i="160"/>
  <c r="EY32" i="48" s="1"/>
  <c r="EY31" i="160"/>
  <c r="EY31" i="48" s="1"/>
  <c r="EY39" i="160"/>
  <c r="EY39" i="48" s="1"/>
  <c r="EY36" i="160"/>
  <c r="EY36" i="48" s="1"/>
  <c r="EY35" i="160"/>
  <c r="EY35" i="48" s="1"/>
  <c r="EY29" i="160"/>
  <c r="EY29" i="48" s="1"/>
  <c r="EY28" i="160"/>
  <c r="EY28" i="48" s="1"/>
  <c r="EY27" i="160"/>
  <c r="EY27" i="48" s="1"/>
  <c r="EY26" i="160"/>
  <c r="EY26" i="48" s="1"/>
  <c r="EY25" i="160"/>
  <c r="EY25" i="48" s="1"/>
  <c r="FA23" i="160"/>
  <c r="DA23" i="160" s="1"/>
  <c r="GG23" i="160" s="1"/>
  <c r="EY30" i="160"/>
  <c r="EY30" i="48" s="1"/>
  <c r="G38" i="160"/>
  <c r="G35" i="160"/>
  <c r="G34" i="160"/>
  <c r="G33" i="160"/>
  <c r="G32" i="160"/>
  <c r="G39" i="160"/>
  <c r="G37" i="160"/>
  <c r="G36" i="160"/>
  <c r="G31" i="160"/>
  <c r="G29" i="160"/>
  <c r="G28" i="160"/>
  <c r="G27" i="160"/>
  <c r="G26" i="160"/>
  <c r="G25" i="160"/>
  <c r="FI23" i="160"/>
  <c r="G30" i="160"/>
  <c r="EM15" i="160"/>
  <c r="EL15" i="160" s="1"/>
  <c r="I39" i="160"/>
  <c r="I38" i="160"/>
  <c r="I37" i="160"/>
  <c r="I31" i="160"/>
  <c r="I30" i="160"/>
  <c r="I29" i="160"/>
  <c r="I36" i="160"/>
  <c r="I35" i="160"/>
  <c r="I34" i="160"/>
  <c r="I33" i="160"/>
  <c r="I28" i="160"/>
  <c r="I27" i="160"/>
  <c r="I26" i="160"/>
  <c r="I25" i="160"/>
  <c r="I32" i="160"/>
  <c r="EM6" i="160"/>
  <c r="EM7" i="160"/>
  <c r="AC39" i="160"/>
  <c r="AC38" i="160"/>
  <c r="AC36" i="160"/>
  <c r="AC35" i="160"/>
  <c r="AC34" i="160"/>
  <c r="AC33" i="160"/>
  <c r="AC32" i="160"/>
  <c r="AC37" i="160"/>
  <c r="AC31" i="160"/>
  <c r="AC29" i="160"/>
  <c r="AC30" i="160"/>
  <c r="AC28" i="160"/>
  <c r="AC27" i="160"/>
  <c r="AC26" i="160"/>
  <c r="AC25" i="160"/>
  <c r="EM9" i="160"/>
  <c r="E39" i="160"/>
  <c r="E38" i="160"/>
  <c r="E36" i="160"/>
  <c r="E35" i="160"/>
  <c r="E34" i="160"/>
  <c r="E33" i="160"/>
  <c r="E32" i="160"/>
  <c r="E37" i="160"/>
  <c r="E30" i="160"/>
  <c r="DG23" i="160"/>
  <c r="CX23" i="160" s="1"/>
  <c r="GD23" i="160" s="1"/>
  <c r="E31" i="160"/>
  <c r="E29" i="160"/>
  <c r="E28" i="160"/>
  <c r="E27" i="160"/>
  <c r="E26" i="160"/>
  <c r="E25" i="160"/>
  <c r="FG23" i="160"/>
  <c r="GM11" i="160"/>
  <c r="GN11" i="160" s="1"/>
  <c r="GO11" i="160" s="1"/>
  <c r="DI18" i="160"/>
  <c r="EX38" i="160"/>
  <c r="EX37" i="160"/>
  <c r="EX35" i="160"/>
  <c r="EX34" i="160"/>
  <c r="EX33" i="160"/>
  <c r="EX32" i="160"/>
  <c r="EX31" i="160"/>
  <c r="EX39" i="160"/>
  <c r="EX36" i="160"/>
  <c r="EX30" i="160"/>
  <c r="EX29" i="160"/>
  <c r="EX28" i="160"/>
  <c r="EX27" i="160"/>
  <c r="EX26" i="160"/>
  <c r="EX25" i="160"/>
  <c r="EM11" i="160"/>
  <c r="CZ31" i="160"/>
  <c r="FU21" i="160"/>
  <c r="EM17" i="160"/>
  <c r="DD9" i="159"/>
  <c r="DD10" i="159"/>
  <c r="DD15" i="159"/>
  <c r="DD16" i="159"/>
  <c r="DD7" i="159"/>
  <c r="DD8" i="159"/>
  <c r="DD13" i="159"/>
  <c r="DD14" i="159"/>
  <c r="DD17" i="159"/>
  <c r="FN9" i="159"/>
  <c r="BI22" i="159"/>
  <c r="FN8" i="159"/>
  <c r="AK22" i="159"/>
  <c r="FN6" i="159"/>
  <c r="DG6" i="159"/>
  <c r="W22" i="159"/>
  <c r="I14" i="159"/>
  <c r="G14" i="159"/>
  <c r="FI14" i="159" s="1"/>
  <c r="CK4" i="48"/>
  <c r="BK22" i="159"/>
  <c r="FJ7" i="159"/>
  <c r="FN7" i="159"/>
  <c r="DF11" i="159"/>
  <c r="I18" i="159"/>
  <c r="G17" i="159"/>
  <c r="G8" i="159"/>
  <c r="FI8" i="159" s="1"/>
  <c r="E8" i="159"/>
  <c r="S22" i="159"/>
  <c r="FN17" i="159"/>
  <c r="AQ30" i="159"/>
  <c r="BG30" i="159"/>
  <c r="FK18" i="159"/>
  <c r="FN18" i="159" s="1"/>
  <c r="G18" i="159"/>
  <c r="DE18" i="159" s="1"/>
  <c r="CN11" i="159"/>
  <c r="FU11" i="159" s="1"/>
  <c r="CL30" i="159"/>
  <c r="CN8" i="159"/>
  <c r="FU8" i="159" s="1"/>
  <c r="DF14" i="159"/>
  <c r="G22" i="159"/>
  <c r="G52" i="159" s="1"/>
  <c r="G4" i="159"/>
  <c r="CN4" i="159"/>
  <c r="FU4" i="159" s="1"/>
  <c r="Y22" i="159"/>
  <c r="FM22" i="159" s="1"/>
  <c r="CM28" i="159"/>
  <c r="AI22" i="159"/>
  <c r="AI54" i="159" s="1"/>
  <c r="CK22" i="159"/>
  <c r="CK48" i="159" s="1"/>
  <c r="AS30" i="159"/>
  <c r="BW30" i="159"/>
  <c r="CQ26" i="159"/>
  <c r="CU27" i="159"/>
  <c r="BY30" i="159"/>
  <c r="CS30" i="159"/>
  <c r="AM28" i="159"/>
  <c r="BC28" i="159"/>
  <c r="AU27" i="159"/>
  <c r="FR22" i="159"/>
  <c r="FG8" i="159"/>
  <c r="EF5" i="159"/>
  <c r="DY5" i="159"/>
  <c r="DY7" i="159"/>
  <c r="EF7" i="159"/>
  <c r="DT5" i="159"/>
  <c r="FG5" i="159"/>
  <c r="DE5" i="159"/>
  <c r="DG5" i="159"/>
  <c r="CV5" i="159"/>
  <c r="FN5" i="159"/>
  <c r="FI6" i="159"/>
  <c r="DY13" i="159"/>
  <c r="EF13" i="159"/>
  <c r="DY9" i="159"/>
  <c r="EF9" i="159"/>
  <c r="FI5" i="159"/>
  <c r="DY6" i="159"/>
  <c r="EF6" i="159"/>
  <c r="O23" i="159"/>
  <c r="O41" i="159" s="1"/>
  <c r="O21" i="159"/>
  <c r="W23" i="159"/>
  <c r="W53" i="159" s="1"/>
  <c r="W21" i="159"/>
  <c r="FK21" i="159" s="1"/>
  <c r="DF4" i="159"/>
  <c r="FO23" i="159"/>
  <c r="FO21" i="159"/>
  <c r="FG6" i="159"/>
  <c r="FJ6" i="159" s="1"/>
  <c r="DE7" i="159"/>
  <c r="DF8" i="159"/>
  <c r="DG9" i="159"/>
  <c r="DT9" i="159"/>
  <c r="FG10" i="159"/>
  <c r="DG10" i="159"/>
  <c r="FK10" i="159"/>
  <c r="FN10" i="159" s="1"/>
  <c r="DE10" i="159"/>
  <c r="FN11" i="159"/>
  <c r="DT14" i="159"/>
  <c r="DF16" i="159"/>
  <c r="FN16" i="159"/>
  <c r="FI17" i="159"/>
  <c r="FJ17" i="159" s="1"/>
  <c r="AE23" i="159"/>
  <c r="AE43" i="159" s="1"/>
  <c r="AE21" i="159"/>
  <c r="Y21" i="159"/>
  <c r="FM21" i="159" s="1"/>
  <c r="Y23" i="159"/>
  <c r="Y41" i="159" s="1"/>
  <c r="FK4" i="159"/>
  <c r="CN7" i="159"/>
  <c r="FU7" i="159" s="1"/>
  <c r="DF7" i="159"/>
  <c r="DT7" i="159"/>
  <c r="CV8" i="159"/>
  <c r="FG9" i="159"/>
  <c r="DF10" i="159"/>
  <c r="FI10" i="159"/>
  <c r="CV12" i="159"/>
  <c r="CV12" i="48" s="1"/>
  <c r="FT13" i="159"/>
  <c r="CN13" i="159"/>
  <c r="FU13" i="159" s="1"/>
  <c r="DE13" i="159"/>
  <c r="FI13" i="159"/>
  <c r="FJ13" i="159" s="1"/>
  <c r="DY15" i="159"/>
  <c r="EY15" i="159"/>
  <c r="EF15" i="159" s="1"/>
  <c r="FG16" i="159"/>
  <c r="DY17" i="159"/>
  <c r="EF17" i="159"/>
  <c r="BI23" i="159"/>
  <c r="BI45" i="159" s="1"/>
  <c r="BI21" i="159"/>
  <c r="AG21" i="159"/>
  <c r="AG23" i="159"/>
  <c r="AG43" i="159" s="1"/>
  <c r="FQ21" i="159"/>
  <c r="FQ23" i="159"/>
  <c r="DE6" i="159"/>
  <c r="K23" i="159"/>
  <c r="K49" i="159" s="1"/>
  <c r="K21" i="159"/>
  <c r="S23" i="159"/>
  <c r="S41" i="159" s="1"/>
  <c r="S21" i="159"/>
  <c r="AA23" i="159"/>
  <c r="AA42" i="159" s="1"/>
  <c r="AA21" i="159"/>
  <c r="AI23" i="159"/>
  <c r="AI49" i="159" s="1"/>
  <c r="AI21" i="159"/>
  <c r="BM21" i="159"/>
  <c r="BM23" i="159"/>
  <c r="BM41" i="159" s="1"/>
  <c r="FM4" i="159"/>
  <c r="FR4" i="159"/>
  <c r="CN6" i="159"/>
  <c r="FU6" i="159" s="1"/>
  <c r="DF6" i="159"/>
  <c r="DT6" i="159"/>
  <c r="CV7" i="159"/>
  <c r="DG7" i="159"/>
  <c r="EY8" i="159"/>
  <c r="EY23" i="159" s="1"/>
  <c r="EY45" i="159" s="1"/>
  <c r="I9" i="159"/>
  <c r="I23" i="159" s="1"/>
  <c r="I53" i="159" s="1"/>
  <c r="FT9" i="159"/>
  <c r="CN9" i="159"/>
  <c r="FU9" i="159" s="1"/>
  <c r="DE9" i="159"/>
  <c r="FI9" i="159"/>
  <c r="DY12" i="159"/>
  <c r="EF14" i="159"/>
  <c r="FT14" i="159"/>
  <c r="FI15" i="159"/>
  <c r="FK15" i="159"/>
  <c r="FN15" i="159" s="1"/>
  <c r="CV15" i="159"/>
  <c r="E15" i="159"/>
  <c r="G16" i="159"/>
  <c r="DE16" i="159" s="1"/>
  <c r="Q21" i="159"/>
  <c r="Q23" i="159"/>
  <c r="BK23" i="159"/>
  <c r="BK45" i="159" s="1"/>
  <c r="BK21" i="159"/>
  <c r="E4" i="159"/>
  <c r="M23" i="159"/>
  <c r="M42" i="159" s="1"/>
  <c r="DJ6" i="159" s="1"/>
  <c r="M21" i="159"/>
  <c r="U23" i="159"/>
  <c r="U41" i="159" s="1"/>
  <c r="U21" i="159"/>
  <c r="AC4" i="159"/>
  <c r="AK23" i="159"/>
  <c r="AK21" i="159"/>
  <c r="CK23" i="159"/>
  <c r="DH22" i="159" s="1"/>
  <c r="CZ22" i="159" s="1"/>
  <c r="GF22" i="159" s="1"/>
  <c r="CK21" i="159"/>
  <c r="FI4" i="159"/>
  <c r="CN5" i="159"/>
  <c r="FU5" i="159" s="1"/>
  <c r="CV6" i="159"/>
  <c r="CV6" i="48" s="1"/>
  <c r="AC10" i="159"/>
  <c r="EX10" i="159" s="1"/>
  <c r="FI11" i="159"/>
  <c r="E11" i="159"/>
  <c r="CV11" i="159" s="1"/>
  <c r="G12" i="159"/>
  <c r="DT12" i="159" s="1"/>
  <c r="FG12" i="159"/>
  <c r="DG13" i="159"/>
  <c r="DT13" i="159"/>
  <c r="FG14" i="159"/>
  <c r="FJ14" i="159" s="1"/>
  <c r="DG14" i="159"/>
  <c r="FK14" i="159"/>
  <c r="FN14" i="159" s="1"/>
  <c r="CV14" i="159"/>
  <c r="GC14" i="159" s="1"/>
  <c r="DE14" i="159"/>
  <c r="EF16" i="159"/>
  <c r="DG17" i="159"/>
  <c r="O52" i="159"/>
  <c r="O51" i="159"/>
  <c r="O54" i="159"/>
  <c r="O50" i="159"/>
  <c r="O48" i="159"/>
  <c r="O46" i="159"/>
  <c r="O44" i="159"/>
  <c r="O40" i="159"/>
  <c r="W52" i="159"/>
  <c r="W51" i="159"/>
  <c r="W54" i="159"/>
  <c r="W50" i="159"/>
  <c r="W46" i="159"/>
  <c r="W44" i="159"/>
  <c r="W48" i="159"/>
  <c r="W40" i="159"/>
  <c r="FK22" i="159"/>
  <c r="AE52" i="159"/>
  <c r="AE51" i="159"/>
  <c r="AE54" i="159"/>
  <c r="AE50" i="159"/>
  <c r="AE48" i="159"/>
  <c r="AE46" i="159"/>
  <c r="AE47" i="159"/>
  <c r="AE44" i="159"/>
  <c r="AE40" i="159"/>
  <c r="AM52" i="159"/>
  <c r="AM51" i="159"/>
  <c r="AM54" i="159"/>
  <c r="AM50" i="159"/>
  <c r="AM49" i="159"/>
  <c r="AM53" i="159"/>
  <c r="AM47" i="159"/>
  <c r="AM48" i="159"/>
  <c r="AM44" i="159"/>
  <c r="AM46" i="159"/>
  <c r="AM42" i="159"/>
  <c r="AM45" i="159"/>
  <c r="AM43" i="159"/>
  <c r="AM41" i="159"/>
  <c r="AM40" i="159"/>
  <c r="DE17" i="159"/>
  <c r="FI18" i="159"/>
  <c r="CV18" i="159"/>
  <c r="DF9" i="159"/>
  <c r="DF13" i="159"/>
  <c r="CN17" i="159"/>
  <c r="FU17" i="159" s="1"/>
  <c r="DF17" i="159"/>
  <c r="DT17" i="159"/>
  <c r="DY18" i="159"/>
  <c r="CV9" i="159"/>
  <c r="CN12" i="159"/>
  <c r="FU12" i="159" s="1"/>
  <c r="CV13" i="159"/>
  <c r="CV13" i="48" s="1"/>
  <c r="CN16" i="159"/>
  <c r="FU16" i="159" s="1"/>
  <c r="CV17" i="159"/>
  <c r="CV17" i="48" s="1"/>
  <c r="FG18" i="159"/>
  <c r="FU19" i="159"/>
  <c r="CN18" i="159"/>
  <c r="FU18" i="159" s="1"/>
  <c r="FT18" i="159"/>
  <c r="D54" i="159"/>
  <c r="D50" i="159"/>
  <c r="D53" i="159"/>
  <c r="D52" i="159"/>
  <c r="D49" i="159"/>
  <c r="D48" i="159"/>
  <c r="D47" i="159"/>
  <c r="D46" i="159"/>
  <c r="D45" i="159"/>
  <c r="D44" i="159"/>
  <c r="D43" i="159"/>
  <c r="D42" i="159"/>
  <c r="D51" i="159"/>
  <c r="D41" i="159"/>
  <c r="D40" i="159"/>
  <c r="K54" i="159"/>
  <c r="K50" i="159"/>
  <c r="K52" i="159"/>
  <c r="K48" i="159"/>
  <c r="K46" i="159"/>
  <c r="K44" i="159"/>
  <c r="K51" i="159"/>
  <c r="K40" i="159"/>
  <c r="S54" i="159"/>
  <c r="S50" i="159"/>
  <c r="S52" i="159"/>
  <c r="S51" i="159"/>
  <c r="S48" i="159"/>
  <c r="S46" i="159"/>
  <c r="S44" i="159"/>
  <c r="S40" i="159"/>
  <c r="AA54" i="159"/>
  <c r="AA50" i="159"/>
  <c r="AA52" i="159"/>
  <c r="AA51" i="159"/>
  <c r="AA48" i="159"/>
  <c r="AA46" i="159"/>
  <c r="AA44" i="159"/>
  <c r="AA43" i="159"/>
  <c r="AA40" i="159"/>
  <c r="AQ54" i="159"/>
  <c r="AQ50" i="159"/>
  <c r="AQ53" i="159"/>
  <c r="AQ52" i="159"/>
  <c r="AQ49" i="159"/>
  <c r="AQ48" i="159"/>
  <c r="AQ47" i="159"/>
  <c r="AQ46" i="159"/>
  <c r="AQ51" i="159"/>
  <c r="AQ45" i="159"/>
  <c r="AQ44" i="159"/>
  <c r="AQ43" i="159"/>
  <c r="AQ42" i="159"/>
  <c r="AQ41" i="159"/>
  <c r="AQ40" i="159"/>
  <c r="AY54" i="159"/>
  <c r="AY50" i="159"/>
  <c r="AY53" i="159"/>
  <c r="AY52" i="159"/>
  <c r="AY51" i="159"/>
  <c r="AY48" i="159"/>
  <c r="AY47" i="159"/>
  <c r="AY46" i="159"/>
  <c r="AY49" i="159"/>
  <c r="AY45" i="159"/>
  <c r="AY44" i="159"/>
  <c r="AY43" i="159"/>
  <c r="AY42" i="159"/>
  <c r="AY41" i="159"/>
  <c r="AY40" i="159"/>
  <c r="BG54" i="159"/>
  <c r="BG50" i="159"/>
  <c r="BG53" i="159"/>
  <c r="BG52" i="159"/>
  <c r="BG51" i="159"/>
  <c r="BG48" i="159"/>
  <c r="BG47" i="159"/>
  <c r="BG46" i="159"/>
  <c r="BG44" i="159"/>
  <c r="BG43" i="159"/>
  <c r="BG42" i="159"/>
  <c r="BG45" i="159"/>
  <c r="BG49" i="159"/>
  <c r="BG41" i="159"/>
  <c r="BG40" i="159"/>
  <c r="BO51" i="159"/>
  <c r="BO49" i="159"/>
  <c r="BO54" i="159"/>
  <c r="BO50" i="159"/>
  <c r="BO53" i="159"/>
  <c r="BO48" i="159"/>
  <c r="BO47" i="159"/>
  <c r="BO46" i="159"/>
  <c r="BO44" i="159"/>
  <c r="BO43" i="159"/>
  <c r="BO42" i="159"/>
  <c r="BO52" i="159"/>
  <c r="BO45" i="159"/>
  <c r="BO41" i="159"/>
  <c r="BO40" i="159"/>
  <c r="BW51" i="159"/>
  <c r="BW49" i="159"/>
  <c r="BW54" i="159"/>
  <c r="BW50" i="159"/>
  <c r="BW53" i="159"/>
  <c r="BW52" i="159"/>
  <c r="BW48" i="159"/>
  <c r="BW47" i="159"/>
  <c r="BW46" i="159"/>
  <c r="BW45" i="159"/>
  <c r="BW44" i="159"/>
  <c r="BW43" i="159"/>
  <c r="BW42" i="159"/>
  <c r="BW41" i="159"/>
  <c r="BW40" i="159"/>
  <c r="CE51" i="159"/>
  <c r="CE49" i="159"/>
  <c r="CE54" i="159"/>
  <c r="CE50" i="159"/>
  <c r="CE53" i="159"/>
  <c r="CE48" i="159"/>
  <c r="CE47" i="159"/>
  <c r="CE46" i="159"/>
  <c r="CE45" i="159"/>
  <c r="CE44" i="159"/>
  <c r="CE43" i="159"/>
  <c r="CE42" i="159"/>
  <c r="CE52" i="159"/>
  <c r="CE41" i="159"/>
  <c r="CE40" i="159"/>
  <c r="CO53" i="159"/>
  <c r="CO49" i="159"/>
  <c r="CO52" i="159"/>
  <c r="CO51" i="159"/>
  <c r="CO48" i="159"/>
  <c r="CO47" i="159"/>
  <c r="CO46" i="159"/>
  <c r="CO45" i="159"/>
  <c r="CO54" i="159"/>
  <c r="CO50" i="159"/>
  <c r="CO44" i="159"/>
  <c r="CO43" i="159"/>
  <c r="CO42" i="159"/>
  <c r="CO41" i="159"/>
  <c r="CO40" i="159"/>
  <c r="CS53" i="159"/>
  <c r="CS49" i="159"/>
  <c r="CS52" i="159"/>
  <c r="CS51" i="159"/>
  <c r="CS54" i="159"/>
  <c r="CS50" i="159"/>
  <c r="CS48" i="159"/>
  <c r="CS47" i="159"/>
  <c r="CS46" i="159"/>
  <c r="CS45" i="159"/>
  <c r="CS44" i="159"/>
  <c r="CS43" i="159"/>
  <c r="CS42" i="159"/>
  <c r="CS41" i="159"/>
  <c r="CS40" i="159"/>
  <c r="FF22" i="159"/>
  <c r="AO38" i="159"/>
  <c r="AO37" i="159"/>
  <c r="AO39" i="159"/>
  <c r="AO36" i="159"/>
  <c r="AO31" i="159"/>
  <c r="AO30" i="159"/>
  <c r="AO29" i="159"/>
  <c r="AO28" i="159"/>
  <c r="AO27" i="159"/>
  <c r="AW38" i="159"/>
  <c r="AW37" i="159"/>
  <c r="AW39" i="159"/>
  <c r="AW31" i="159"/>
  <c r="AW30" i="159"/>
  <c r="AW29" i="159"/>
  <c r="AW28" i="159"/>
  <c r="AW27" i="159"/>
  <c r="BE38" i="159"/>
  <c r="BE37" i="159"/>
  <c r="BE39" i="159"/>
  <c r="BE36" i="159"/>
  <c r="BE31" i="159"/>
  <c r="BE30" i="159"/>
  <c r="BE29" i="159"/>
  <c r="BE28" i="159"/>
  <c r="BE27" i="159"/>
  <c r="BU36" i="159"/>
  <c r="BU39" i="159"/>
  <c r="BU37" i="159"/>
  <c r="BU35" i="159"/>
  <c r="BU31" i="159"/>
  <c r="BU30" i="159"/>
  <c r="BU29" i="159"/>
  <c r="BU28" i="159"/>
  <c r="BU27" i="159"/>
  <c r="BU38" i="159"/>
  <c r="CC36" i="159"/>
  <c r="CC39" i="159"/>
  <c r="CC38" i="159"/>
  <c r="CC35" i="159"/>
  <c r="CC31" i="159"/>
  <c r="CC30" i="159"/>
  <c r="CC29" i="159"/>
  <c r="CC28" i="159"/>
  <c r="CC27" i="159"/>
  <c r="CJ37" i="159"/>
  <c r="CJ36" i="159"/>
  <c r="CJ39" i="159"/>
  <c r="CJ31" i="159"/>
  <c r="CJ30" i="159"/>
  <c r="CJ29" i="159"/>
  <c r="CJ28" i="159"/>
  <c r="CJ27" i="159"/>
  <c r="CJ26" i="159"/>
  <c r="CJ35" i="159"/>
  <c r="CR37" i="159"/>
  <c r="CR36" i="159"/>
  <c r="CR39" i="159"/>
  <c r="CR31" i="159"/>
  <c r="CR30" i="159"/>
  <c r="CR29" i="159"/>
  <c r="CR28" i="159"/>
  <c r="CR27" i="159"/>
  <c r="CR26" i="159"/>
  <c r="CR35" i="159"/>
  <c r="FX23" i="159"/>
  <c r="GB23" i="159"/>
  <c r="AM25" i="159"/>
  <c r="AU25" i="159"/>
  <c r="BC25" i="159"/>
  <c r="BS25" i="159"/>
  <c r="CA25" i="159"/>
  <c r="CI25" i="159"/>
  <c r="CM25" i="159"/>
  <c r="CM25" i="48" s="1"/>
  <c r="CQ25" i="159"/>
  <c r="CU25" i="159"/>
  <c r="AM26" i="159"/>
  <c r="AU26" i="159"/>
  <c r="BC26" i="159"/>
  <c r="BS26" i="159"/>
  <c r="CA26" i="159"/>
  <c r="CI26" i="159"/>
  <c r="CO26" i="159"/>
  <c r="CT26" i="159"/>
  <c r="AQ27" i="159"/>
  <c r="BA27" i="159"/>
  <c r="BW27" i="159"/>
  <c r="CG27" i="159"/>
  <c r="CM27" i="159"/>
  <c r="CS27" i="159"/>
  <c r="AY28" i="159"/>
  <c r="BS28" i="159"/>
  <c r="CE28" i="159"/>
  <c r="CL28" i="159"/>
  <c r="CS28" i="159"/>
  <c r="D29" i="159"/>
  <c r="AY29" i="159"/>
  <c r="BO29" i="159"/>
  <c r="CE29" i="159"/>
  <c r="CT31" i="159"/>
  <c r="AW32" i="159"/>
  <c r="CC32" i="159"/>
  <c r="BE33" i="159"/>
  <c r="CJ33" i="159"/>
  <c r="AO35" i="159"/>
  <c r="CA35" i="159"/>
  <c r="CQ35" i="159"/>
  <c r="CU36" i="159"/>
  <c r="BC37" i="159"/>
  <c r="CC37" i="159"/>
  <c r="CP37" i="159"/>
  <c r="AS38" i="159"/>
  <c r="CJ38" i="159"/>
  <c r="M52" i="159"/>
  <c r="DJ16" i="159" s="1"/>
  <c r="M51" i="159"/>
  <c r="DJ15" i="159" s="1"/>
  <c r="M50" i="159"/>
  <c r="M48" i="159"/>
  <c r="DJ12" i="159" s="1"/>
  <c r="M46" i="159"/>
  <c r="DJ10" i="159" s="1"/>
  <c r="M54" i="159"/>
  <c r="DJ18" i="159" s="1"/>
  <c r="M44" i="159"/>
  <c r="DJ8" i="159" s="1"/>
  <c r="M40" i="159"/>
  <c r="DJ4" i="159" s="1"/>
  <c r="U53" i="159"/>
  <c r="U52" i="159"/>
  <c r="U51" i="159"/>
  <c r="U54" i="159"/>
  <c r="U48" i="159"/>
  <c r="U47" i="159"/>
  <c r="U46" i="159"/>
  <c r="U49" i="159"/>
  <c r="U50" i="159"/>
  <c r="U43" i="159"/>
  <c r="U40" i="159"/>
  <c r="U44" i="159"/>
  <c r="AC52" i="159"/>
  <c r="AC51" i="159"/>
  <c r="AC50" i="159"/>
  <c r="AC48" i="159"/>
  <c r="AC46" i="159"/>
  <c r="AC54" i="159"/>
  <c r="AC44" i="159"/>
  <c r="AC40" i="159"/>
  <c r="AK53" i="159"/>
  <c r="AK52" i="159"/>
  <c r="AK51" i="159"/>
  <c r="AK48" i="159"/>
  <c r="AK47" i="159"/>
  <c r="AK46" i="159"/>
  <c r="AK54" i="159"/>
  <c r="AK49" i="159"/>
  <c r="AK45" i="159"/>
  <c r="AK43" i="159"/>
  <c r="AK41" i="159"/>
  <c r="AK40" i="159"/>
  <c r="AK44" i="159"/>
  <c r="AK50" i="159"/>
  <c r="AK42" i="159"/>
  <c r="AS53" i="159"/>
  <c r="AS52" i="159"/>
  <c r="AS51" i="159"/>
  <c r="AS49" i="159"/>
  <c r="AS48" i="159"/>
  <c r="AS47" i="159"/>
  <c r="AS46" i="159"/>
  <c r="AS54" i="159"/>
  <c r="AS50" i="159"/>
  <c r="AS44" i="159"/>
  <c r="AS42" i="159"/>
  <c r="AS41" i="159"/>
  <c r="AS40" i="159"/>
  <c r="AS45" i="159"/>
  <c r="AS43" i="159"/>
  <c r="BA53" i="159"/>
  <c r="BA52" i="159"/>
  <c r="BA51" i="159"/>
  <c r="BA54" i="159"/>
  <c r="BA50" i="159"/>
  <c r="BA48" i="159"/>
  <c r="BA47" i="159"/>
  <c r="BA46" i="159"/>
  <c r="BA45" i="159"/>
  <c r="BA49" i="159"/>
  <c r="BA43" i="159"/>
  <c r="BA41" i="159"/>
  <c r="BA40" i="159"/>
  <c r="BA44" i="159"/>
  <c r="BA42" i="159"/>
  <c r="BI52" i="159"/>
  <c r="BI51" i="159"/>
  <c r="BI48" i="159"/>
  <c r="BI46" i="159"/>
  <c r="BI54" i="159"/>
  <c r="BI50" i="159"/>
  <c r="BI44" i="159"/>
  <c r="BI40" i="159"/>
  <c r="BQ53" i="159"/>
  <c r="BQ52" i="159"/>
  <c r="BQ51" i="159"/>
  <c r="BQ49" i="159"/>
  <c r="BQ48" i="159"/>
  <c r="BQ47" i="159"/>
  <c r="BQ46" i="159"/>
  <c r="BQ45" i="159"/>
  <c r="BQ54" i="159"/>
  <c r="BQ50" i="159"/>
  <c r="BQ43" i="159"/>
  <c r="BQ41" i="159"/>
  <c r="BQ40" i="159"/>
  <c r="BQ44" i="159"/>
  <c r="BQ42" i="159"/>
  <c r="BY53" i="159"/>
  <c r="BY52" i="159"/>
  <c r="BY51" i="159"/>
  <c r="BY48" i="159"/>
  <c r="BY47" i="159"/>
  <c r="BY46" i="159"/>
  <c r="BY45" i="159"/>
  <c r="BY54" i="159"/>
  <c r="BY49" i="159"/>
  <c r="BY50" i="159"/>
  <c r="BY44" i="159"/>
  <c r="BY42" i="159"/>
  <c r="BY41" i="159"/>
  <c r="BY40" i="159"/>
  <c r="BY43" i="159"/>
  <c r="CG53" i="159"/>
  <c r="CG52" i="159"/>
  <c r="CG51" i="159"/>
  <c r="CG49" i="159"/>
  <c r="CG48" i="159"/>
  <c r="CG47" i="159"/>
  <c r="CG46" i="159"/>
  <c r="CG45" i="159"/>
  <c r="CG54" i="159"/>
  <c r="CG50" i="159"/>
  <c r="CG43" i="159"/>
  <c r="CG41" i="159"/>
  <c r="CG40" i="159"/>
  <c r="CG44" i="159"/>
  <c r="CG42" i="159"/>
  <c r="CL52" i="159"/>
  <c r="CL51" i="159"/>
  <c r="CL54" i="159"/>
  <c r="CL50" i="159"/>
  <c r="CL48" i="159"/>
  <c r="CL47" i="159"/>
  <c r="CL46" i="159"/>
  <c r="CL45" i="159"/>
  <c r="CL53" i="159"/>
  <c r="CL44" i="159"/>
  <c r="CL42" i="159"/>
  <c r="CL41" i="159"/>
  <c r="CL40" i="159"/>
  <c r="CL49" i="159"/>
  <c r="CL43" i="159"/>
  <c r="CP52" i="159"/>
  <c r="CP51" i="159"/>
  <c r="CP54" i="159"/>
  <c r="CP50" i="159"/>
  <c r="CP49" i="159"/>
  <c r="CP48" i="159"/>
  <c r="CP47" i="159"/>
  <c r="CP46" i="159"/>
  <c r="CP45" i="159"/>
  <c r="CP53" i="159"/>
  <c r="CP43" i="159"/>
  <c r="CP41" i="159"/>
  <c r="CP40" i="159"/>
  <c r="CP44" i="159"/>
  <c r="CP42" i="159"/>
  <c r="CT52" i="159"/>
  <c r="CT51" i="159"/>
  <c r="CT54" i="159"/>
  <c r="CT50" i="159"/>
  <c r="CT53" i="159"/>
  <c r="CT48" i="159"/>
  <c r="CT47" i="159"/>
  <c r="CT46" i="159"/>
  <c r="CT45" i="159"/>
  <c r="CT49" i="159"/>
  <c r="CT44" i="159"/>
  <c r="CT42" i="159"/>
  <c r="CT40" i="159"/>
  <c r="CT41" i="159"/>
  <c r="CT43" i="159"/>
  <c r="EY51" i="159"/>
  <c r="EY54" i="159"/>
  <c r="EY50" i="159"/>
  <c r="EY53" i="159"/>
  <c r="EY49" i="159"/>
  <c r="EY47" i="159"/>
  <c r="EY52" i="159"/>
  <c r="EY46" i="159"/>
  <c r="EY44" i="159"/>
  <c r="EY48" i="159"/>
  <c r="EY43" i="159"/>
  <c r="EY40" i="159"/>
  <c r="FV22" i="159"/>
  <c r="FZ22" i="159"/>
  <c r="D37" i="159"/>
  <c r="D36" i="159"/>
  <c r="D39" i="159"/>
  <c r="D38" i="159"/>
  <c r="D35" i="159"/>
  <c r="D34" i="159"/>
  <c r="D33" i="159"/>
  <c r="D32" i="159"/>
  <c r="AQ37" i="159"/>
  <c r="AQ36" i="159"/>
  <c r="AQ39" i="159"/>
  <c r="AQ38" i="159"/>
  <c r="AQ35" i="159"/>
  <c r="AQ34" i="159"/>
  <c r="AQ33" i="159"/>
  <c r="AQ32" i="159"/>
  <c r="AY37" i="159"/>
  <c r="AY36" i="159"/>
  <c r="AY38" i="159"/>
  <c r="AY35" i="159"/>
  <c r="AY34" i="159"/>
  <c r="AY33" i="159"/>
  <c r="AY32" i="159"/>
  <c r="BG37" i="159"/>
  <c r="BG36" i="159"/>
  <c r="BG38" i="159"/>
  <c r="BG39" i="159"/>
  <c r="BG35" i="159"/>
  <c r="BG34" i="159"/>
  <c r="BG33" i="159"/>
  <c r="BG32" i="159"/>
  <c r="BO38" i="159"/>
  <c r="BO37" i="159"/>
  <c r="BO39" i="159"/>
  <c r="BO36" i="159"/>
  <c r="BO34" i="159"/>
  <c r="BO33" i="159"/>
  <c r="BO32" i="159"/>
  <c r="BW38" i="159"/>
  <c r="BW37" i="159"/>
  <c r="BW39" i="159"/>
  <c r="BW36" i="159"/>
  <c r="BW34" i="159"/>
  <c r="BW33" i="159"/>
  <c r="BW32" i="159"/>
  <c r="CE38" i="159"/>
  <c r="CE37" i="159"/>
  <c r="CE39" i="159"/>
  <c r="CE36" i="159"/>
  <c r="CE34" i="159"/>
  <c r="CE33" i="159"/>
  <c r="CE32" i="159"/>
  <c r="CO36" i="159"/>
  <c r="CO39" i="159"/>
  <c r="CO38" i="159"/>
  <c r="CO37" i="159"/>
  <c r="CO31" i="159"/>
  <c r="CO35" i="159"/>
  <c r="CO34" i="159"/>
  <c r="CO33" i="159"/>
  <c r="CO32" i="159"/>
  <c r="CS36" i="159"/>
  <c r="CS39" i="159"/>
  <c r="CS31" i="159"/>
  <c r="CS35" i="159"/>
  <c r="CS38" i="159"/>
  <c r="CS37" i="159"/>
  <c r="CS34" i="159"/>
  <c r="CS33" i="159"/>
  <c r="CS32" i="159"/>
  <c r="FF23" i="159"/>
  <c r="FY23" i="159"/>
  <c r="AO25" i="159"/>
  <c r="AW25" i="159"/>
  <c r="BE25" i="159"/>
  <c r="BU25" i="159"/>
  <c r="CC25" i="159"/>
  <c r="CJ25" i="159"/>
  <c r="CR25" i="159"/>
  <c r="AO26" i="159"/>
  <c r="AW26" i="159"/>
  <c r="BE26" i="159"/>
  <c r="BU26" i="159"/>
  <c r="CC26" i="159"/>
  <c r="CP26" i="159"/>
  <c r="CU26" i="159"/>
  <c r="D27" i="159"/>
  <c r="AS27" i="159"/>
  <c r="BC27" i="159"/>
  <c r="BO27" i="159"/>
  <c r="BY27" i="159"/>
  <c r="CI27" i="159"/>
  <c r="CO27" i="159"/>
  <c r="CT27" i="159"/>
  <c r="AQ28" i="159"/>
  <c r="BA28" i="159"/>
  <c r="BW28" i="159"/>
  <c r="CG28" i="159"/>
  <c r="CT28" i="159"/>
  <c r="BA29" i="159"/>
  <c r="BQ29" i="159"/>
  <c r="CG29" i="159"/>
  <c r="BE32" i="159"/>
  <c r="CJ32" i="159"/>
  <c r="AO34" i="159"/>
  <c r="BU34" i="159"/>
  <c r="CR34" i="159"/>
  <c r="AW35" i="159"/>
  <c r="BW35" i="159"/>
  <c r="CU35" i="159"/>
  <c r="CR38" i="159"/>
  <c r="AY39" i="159"/>
  <c r="AU52" i="159"/>
  <c r="AU51" i="159"/>
  <c r="AU54" i="159"/>
  <c r="AU50" i="159"/>
  <c r="AU49" i="159"/>
  <c r="AU53" i="159"/>
  <c r="AU48" i="159"/>
  <c r="AU46" i="159"/>
  <c r="AU45" i="159"/>
  <c r="AU43" i="159"/>
  <c r="AU47" i="159"/>
  <c r="AU44" i="159"/>
  <c r="AU42" i="159"/>
  <c r="AU41" i="159"/>
  <c r="AU40" i="159"/>
  <c r="BC52" i="159"/>
  <c r="BC51" i="159"/>
  <c r="BC54" i="159"/>
  <c r="BC50" i="159"/>
  <c r="BC49" i="159"/>
  <c r="BC53" i="159"/>
  <c r="BC47" i="159"/>
  <c r="BC46" i="159"/>
  <c r="BC45" i="159"/>
  <c r="BC44" i="159"/>
  <c r="BC42" i="159"/>
  <c r="BC48" i="159"/>
  <c r="BC43" i="159"/>
  <c r="BC41" i="159"/>
  <c r="BC40" i="159"/>
  <c r="BK51" i="159"/>
  <c r="BK54" i="159"/>
  <c r="BK50" i="159"/>
  <c r="BK52" i="159"/>
  <c r="BK48" i="159"/>
  <c r="BK46" i="159"/>
  <c r="BK44" i="159"/>
  <c r="BK40" i="159"/>
  <c r="BS51" i="159"/>
  <c r="BS54" i="159"/>
  <c r="BS50" i="159"/>
  <c r="BS53" i="159"/>
  <c r="BS49" i="159"/>
  <c r="BS47" i="159"/>
  <c r="BS45" i="159"/>
  <c r="BS52" i="159"/>
  <c r="BS48" i="159"/>
  <c r="BS44" i="159"/>
  <c r="BS42" i="159"/>
  <c r="BS46" i="159"/>
  <c r="BS43" i="159"/>
  <c r="BS41" i="159"/>
  <c r="BS40" i="159"/>
  <c r="CA51" i="159"/>
  <c r="CA54" i="159"/>
  <c r="CA50" i="159"/>
  <c r="CA53" i="159"/>
  <c r="CA49" i="159"/>
  <c r="CA52" i="159"/>
  <c r="CA48" i="159"/>
  <c r="CA46" i="159"/>
  <c r="CA45" i="159"/>
  <c r="CA43" i="159"/>
  <c r="CA47" i="159"/>
  <c r="CA44" i="159"/>
  <c r="CA42" i="159"/>
  <c r="CA41" i="159"/>
  <c r="CA40" i="159"/>
  <c r="CI51" i="159"/>
  <c r="CI54" i="159"/>
  <c r="CI50" i="159"/>
  <c r="CI53" i="159"/>
  <c r="CI49" i="159"/>
  <c r="CI52" i="159"/>
  <c r="CI47" i="159"/>
  <c r="CI45" i="159"/>
  <c r="CI46" i="159"/>
  <c r="CI44" i="159"/>
  <c r="CI42" i="159"/>
  <c r="CI48" i="159"/>
  <c r="CI43" i="159"/>
  <c r="CI41" i="159"/>
  <c r="CI40" i="159"/>
  <c r="CM51" i="159"/>
  <c r="CM54" i="159"/>
  <c r="CM50" i="159"/>
  <c r="CM53" i="159"/>
  <c r="CM49" i="159"/>
  <c r="CM52" i="159"/>
  <c r="CM48" i="159"/>
  <c r="CM46" i="159"/>
  <c r="CM47" i="159"/>
  <c r="CM43" i="159"/>
  <c r="CM45" i="159"/>
  <c r="CM44" i="159"/>
  <c r="CM42" i="159"/>
  <c r="CM41" i="159"/>
  <c r="CM40" i="159"/>
  <c r="CQ51" i="159"/>
  <c r="CQ54" i="159"/>
  <c r="CQ50" i="159"/>
  <c r="CQ53" i="159"/>
  <c r="CQ49" i="159"/>
  <c r="CQ52" i="159"/>
  <c r="CQ47" i="159"/>
  <c r="CQ45" i="159"/>
  <c r="CQ48" i="159"/>
  <c r="CQ44" i="159"/>
  <c r="CQ42" i="159"/>
  <c r="CQ46" i="159"/>
  <c r="CQ43" i="159"/>
  <c r="CQ41" i="159"/>
  <c r="CQ40" i="159"/>
  <c r="CU51" i="159"/>
  <c r="CU54" i="159"/>
  <c r="CU50" i="159"/>
  <c r="CU53" i="159"/>
  <c r="CU49" i="159"/>
  <c r="CU52" i="159"/>
  <c r="CU48" i="159"/>
  <c r="CU46" i="159"/>
  <c r="CU45" i="159"/>
  <c r="CU41" i="159"/>
  <c r="CU43" i="159"/>
  <c r="CU47" i="159"/>
  <c r="CU44" i="159"/>
  <c r="CU42" i="159"/>
  <c r="CU40" i="159"/>
  <c r="AS36" i="159"/>
  <c r="AS39" i="159"/>
  <c r="AS35" i="159"/>
  <c r="AS34" i="159"/>
  <c r="AS33" i="159"/>
  <c r="AS32" i="159"/>
  <c r="AS37" i="159"/>
  <c r="BA36" i="159"/>
  <c r="BA39" i="159"/>
  <c r="BA37" i="159"/>
  <c r="BA38" i="159"/>
  <c r="BA35" i="159"/>
  <c r="BA34" i="159"/>
  <c r="BA33" i="159"/>
  <c r="BA32" i="159"/>
  <c r="BQ36" i="159"/>
  <c r="BQ39" i="159"/>
  <c r="BQ37" i="159"/>
  <c r="BQ38" i="159"/>
  <c r="BQ35" i="159"/>
  <c r="BQ34" i="159"/>
  <c r="BQ33" i="159"/>
  <c r="BQ32" i="159"/>
  <c r="BY36" i="159"/>
  <c r="BY39" i="159"/>
  <c r="BY35" i="159"/>
  <c r="BY34" i="159"/>
  <c r="BY33" i="159"/>
  <c r="BY32" i="159"/>
  <c r="BY37" i="159"/>
  <c r="CG36" i="159"/>
  <c r="CG39" i="159"/>
  <c r="CG37" i="159"/>
  <c r="CG38" i="159"/>
  <c r="CG35" i="159"/>
  <c r="CG34" i="159"/>
  <c r="CG33" i="159"/>
  <c r="CG32" i="159"/>
  <c r="CL39" i="159"/>
  <c r="CL38" i="159"/>
  <c r="CL36" i="159"/>
  <c r="CL35" i="159"/>
  <c r="CL37" i="159"/>
  <c r="CL34" i="159"/>
  <c r="CL33" i="159"/>
  <c r="CL32" i="159"/>
  <c r="CP39" i="159"/>
  <c r="CP38" i="159"/>
  <c r="CP35" i="159"/>
  <c r="CP34" i="159"/>
  <c r="CP33" i="159"/>
  <c r="CP32" i="159"/>
  <c r="CP36" i="159"/>
  <c r="CT39" i="159"/>
  <c r="CT38" i="159"/>
  <c r="CT36" i="159"/>
  <c r="CT35" i="159"/>
  <c r="CT37" i="159"/>
  <c r="CT34" i="159"/>
  <c r="CT33" i="159"/>
  <c r="CT32" i="159"/>
  <c r="FV23" i="159"/>
  <c r="FZ23" i="159"/>
  <c r="D25" i="159"/>
  <c r="AQ25" i="159"/>
  <c r="AY25" i="159"/>
  <c r="BG25" i="159"/>
  <c r="BO25" i="159"/>
  <c r="BW25" i="159"/>
  <c r="CE25" i="159"/>
  <c r="CO25" i="159"/>
  <c r="CS25" i="159"/>
  <c r="D26" i="159"/>
  <c r="AQ26" i="159"/>
  <c r="AY26" i="159"/>
  <c r="BG26" i="159"/>
  <c r="BO26" i="159"/>
  <c r="BW26" i="159"/>
  <c r="CE26" i="159"/>
  <c r="CL26" i="159"/>
  <c r="BG27" i="159"/>
  <c r="BQ27" i="159"/>
  <c r="CA27" i="159"/>
  <c r="CP27" i="159"/>
  <c r="D28" i="159"/>
  <c r="AS28" i="159"/>
  <c r="BO28" i="159"/>
  <c r="BY28" i="159"/>
  <c r="CI28" i="159"/>
  <c r="CO28" i="159"/>
  <c r="AQ29" i="159"/>
  <c r="BG29" i="159"/>
  <c r="BW29" i="159"/>
  <c r="CS29" i="159"/>
  <c r="D30" i="159"/>
  <c r="AY30" i="159"/>
  <c r="BO30" i="159"/>
  <c r="CE30" i="159"/>
  <c r="CO30" i="159"/>
  <c r="AQ31" i="159"/>
  <c r="BG31" i="159"/>
  <c r="BW31" i="159"/>
  <c r="CL31" i="159"/>
  <c r="AO33" i="159"/>
  <c r="BU33" i="159"/>
  <c r="CR33" i="159"/>
  <c r="AW34" i="159"/>
  <c r="CC34" i="159"/>
  <c r="BE35" i="159"/>
  <c r="BY38" i="159"/>
  <c r="I47" i="159"/>
  <c r="Q51" i="159"/>
  <c r="Q54" i="159"/>
  <c r="Q53" i="159"/>
  <c r="Q52" i="159"/>
  <c r="Q48" i="159"/>
  <c r="Q46" i="159"/>
  <c r="Q50" i="159"/>
  <c r="Q45" i="159"/>
  <c r="Q44" i="159"/>
  <c r="Q43" i="159"/>
  <c r="Q49" i="159"/>
  <c r="Q47" i="159"/>
  <c r="Q42" i="159"/>
  <c r="Q41" i="159"/>
  <c r="Q40" i="159"/>
  <c r="Y51" i="159"/>
  <c r="Y54" i="159"/>
  <c r="Y50" i="159"/>
  <c r="Y52" i="159"/>
  <c r="Y48" i="159"/>
  <c r="AG51" i="159"/>
  <c r="AG54" i="159"/>
  <c r="AG49" i="159"/>
  <c r="AG48" i="159"/>
  <c r="AG46" i="159"/>
  <c r="AG44" i="159"/>
  <c r="AG52" i="159"/>
  <c r="AG50" i="159"/>
  <c r="AG40" i="159"/>
  <c r="AO51" i="159"/>
  <c r="AO54" i="159"/>
  <c r="AO50" i="159"/>
  <c r="AO53" i="159"/>
  <c r="AO52" i="159"/>
  <c r="AO47" i="159"/>
  <c r="AO45" i="159"/>
  <c r="AO44" i="159"/>
  <c r="AO43" i="159"/>
  <c r="AO46" i="159"/>
  <c r="AO42" i="159"/>
  <c r="AO41" i="159"/>
  <c r="AO40" i="159"/>
  <c r="AO49" i="159"/>
  <c r="AO48" i="159"/>
  <c r="AW51" i="159"/>
  <c r="AW54" i="159"/>
  <c r="AW50" i="159"/>
  <c r="AW53" i="159"/>
  <c r="AW52" i="159"/>
  <c r="AW48" i="159"/>
  <c r="AW46" i="159"/>
  <c r="AW49" i="159"/>
  <c r="AW45" i="159"/>
  <c r="AW44" i="159"/>
  <c r="AW43" i="159"/>
  <c r="AW42" i="159"/>
  <c r="AW47" i="159"/>
  <c r="AW41" i="159"/>
  <c r="AW40" i="159"/>
  <c r="BE51" i="159"/>
  <c r="BE54" i="159"/>
  <c r="BE50" i="159"/>
  <c r="BE53" i="159"/>
  <c r="BE49" i="159"/>
  <c r="BE47" i="159"/>
  <c r="BE52" i="159"/>
  <c r="BE44" i="159"/>
  <c r="BE43" i="159"/>
  <c r="BE42" i="159"/>
  <c r="BE48" i="159"/>
  <c r="BE41" i="159"/>
  <c r="BE40" i="159"/>
  <c r="BE46" i="159"/>
  <c r="BE45" i="159"/>
  <c r="BM53" i="159"/>
  <c r="BM52" i="159"/>
  <c r="BM51" i="159"/>
  <c r="BM54" i="159"/>
  <c r="BM50" i="159"/>
  <c r="BM49" i="159"/>
  <c r="BM48" i="159"/>
  <c r="BM46" i="159"/>
  <c r="BM44" i="159"/>
  <c r="BM45" i="159"/>
  <c r="BM40" i="159"/>
  <c r="BM47" i="159"/>
  <c r="BU53" i="159"/>
  <c r="BU52" i="159"/>
  <c r="BU51" i="159"/>
  <c r="BU54" i="159"/>
  <c r="BU47" i="159"/>
  <c r="BU45" i="159"/>
  <c r="BU49" i="159"/>
  <c r="BU44" i="159"/>
  <c r="BU43" i="159"/>
  <c r="BU42" i="159"/>
  <c r="BU50" i="159"/>
  <c r="BU46" i="159"/>
  <c r="BU41" i="159"/>
  <c r="BU40" i="159"/>
  <c r="BU48" i="159"/>
  <c r="CC53" i="159"/>
  <c r="CC52" i="159"/>
  <c r="CC51" i="159"/>
  <c r="CC54" i="159"/>
  <c r="CC50" i="159"/>
  <c r="CC49" i="159"/>
  <c r="CC48" i="159"/>
  <c r="CC46" i="159"/>
  <c r="CC44" i="159"/>
  <c r="CC43" i="159"/>
  <c r="CC42" i="159"/>
  <c r="CC47" i="159"/>
  <c r="CC41" i="159"/>
  <c r="CC40" i="159"/>
  <c r="CC45" i="159"/>
  <c r="CJ54" i="159"/>
  <c r="CJ50" i="159"/>
  <c r="CJ53" i="159"/>
  <c r="CJ52" i="159"/>
  <c r="CJ47" i="159"/>
  <c r="CJ45" i="159"/>
  <c r="CJ44" i="159"/>
  <c r="CJ43" i="159"/>
  <c r="CJ42" i="159"/>
  <c r="CJ51" i="159"/>
  <c r="CJ49" i="159"/>
  <c r="CJ48" i="159"/>
  <c r="CJ41" i="159"/>
  <c r="CJ40" i="159"/>
  <c r="CJ46" i="159"/>
  <c r="CR54" i="159"/>
  <c r="CR50" i="159"/>
  <c r="CR53" i="159"/>
  <c r="CR52" i="159"/>
  <c r="CR51" i="159"/>
  <c r="CR47" i="159"/>
  <c r="CR45" i="159"/>
  <c r="CR49" i="159"/>
  <c r="CR44" i="159"/>
  <c r="CR43" i="159"/>
  <c r="CR42" i="159"/>
  <c r="CR46" i="159"/>
  <c r="CR41" i="159"/>
  <c r="CR40" i="159"/>
  <c r="CR48" i="159"/>
  <c r="FX22" i="159"/>
  <c r="GB22" i="159"/>
  <c r="AM39" i="159"/>
  <c r="AM38" i="159"/>
  <c r="AM35" i="159"/>
  <c r="AM34" i="159"/>
  <c r="AM33" i="159"/>
  <c r="AM32" i="159"/>
  <c r="AM36" i="159"/>
  <c r="AM31" i="159"/>
  <c r="AM30" i="159"/>
  <c r="AM29" i="159"/>
  <c r="AU39" i="159"/>
  <c r="AU38" i="159"/>
  <c r="AU36" i="159"/>
  <c r="AU35" i="159"/>
  <c r="AU34" i="159"/>
  <c r="AU33" i="159"/>
  <c r="AU32" i="159"/>
  <c r="AU37" i="159"/>
  <c r="AU31" i="159"/>
  <c r="AU30" i="159"/>
  <c r="AU29" i="159"/>
  <c r="BC39" i="159"/>
  <c r="BC38" i="159"/>
  <c r="BC35" i="159"/>
  <c r="BC34" i="159"/>
  <c r="BC33" i="159"/>
  <c r="BC32" i="159"/>
  <c r="BC36" i="159"/>
  <c r="BC31" i="159"/>
  <c r="BC30" i="159"/>
  <c r="BC29" i="159"/>
  <c r="BS38" i="159"/>
  <c r="BS37" i="159"/>
  <c r="BS39" i="159"/>
  <c r="BS34" i="159"/>
  <c r="BS33" i="159"/>
  <c r="BS32" i="159"/>
  <c r="BS36" i="159"/>
  <c r="BS31" i="159"/>
  <c r="BS30" i="159"/>
  <c r="BS29" i="159"/>
  <c r="CA38" i="159"/>
  <c r="CA37" i="159"/>
  <c r="CA39" i="159"/>
  <c r="CA34" i="159"/>
  <c r="CA33" i="159"/>
  <c r="CA32" i="159"/>
  <c r="CA31" i="159"/>
  <c r="CA30" i="159"/>
  <c r="CA29" i="159"/>
  <c r="CI38" i="159"/>
  <c r="CI37" i="159"/>
  <c r="CI39" i="159"/>
  <c r="CI34" i="159"/>
  <c r="CI33" i="159"/>
  <c r="CI32" i="159"/>
  <c r="CI36" i="159"/>
  <c r="CI31" i="159"/>
  <c r="CI30" i="159"/>
  <c r="CI29" i="159"/>
  <c r="CM38" i="159"/>
  <c r="CM37" i="159"/>
  <c r="CM39" i="159"/>
  <c r="CM34" i="159"/>
  <c r="CM33" i="159"/>
  <c r="CM32" i="159"/>
  <c r="CM31" i="159"/>
  <c r="CM30" i="159"/>
  <c r="CM29" i="159"/>
  <c r="CQ38" i="159"/>
  <c r="CQ37" i="159"/>
  <c r="CQ39" i="159"/>
  <c r="GL11" i="159" s="1"/>
  <c r="CQ34" i="159"/>
  <c r="CQ33" i="159"/>
  <c r="CQ32" i="159"/>
  <c r="CQ36" i="159"/>
  <c r="CQ31" i="159"/>
  <c r="CQ30" i="159"/>
  <c r="CQ29" i="159"/>
  <c r="CQ28" i="159"/>
  <c r="CU38" i="159"/>
  <c r="CU37" i="159"/>
  <c r="CU39" i="159"/>
  <c r="CU34" i="159"/>
  <c r="CU33" i="159"/>
  <c r="CU32" i="159"/>
  <c r="CU31" i="159"/>
  <c r="CU30" i="159"/>
  <c r="CU29" i="159"/>
  <c r="CU28" i="159"/>
  <c r="FS23" i="159"/>
  <c r="FW23" i="159"/>
  <c r="GA23" i="159"/>
  <c r="AS25" i="159"/>
  <c r="BA25" i="159"/>
  <c r="BQ25" i="159"/>
  <c r="BY25" i="159"/>
  <c r="CG25" i="159"/>
  <c r="CL25" i="159"/>
  <c r="CL25" i="48" s="1"/>
  <c r="CP25" i="159"/>
  <c r="CT25" i="159"/>
  <c r="AS26" i="159"/>
  <c r="BA26" i="159"/>
  <c r="BQ26" i="159"/>
  <c r="BY26" i="159"/>
  <c r="CG26" i="159"/>
  <c r="CM26" i="159"/>
  <c r="CS26" i="159"/>
  <c r="AM27" i="159"/>
  <c r="AY27" i="159"/>
  <c r="BS27" i="159"/>
  <c r="CE27" i="159"/>
  <c r="CL27" i="159"/>
  <c r="CQ27" i="159"/>
  <c r="AU28" i="159"/>
  <c r="BG28" i="159"/>
  <c r="BQ28" i="159"/>
  <c r="CA28" i="159"/>
  <c r="CP28" i="159"/>
  <c r="AS29" i="159"/>
  <c r="BY29" i="159"/>
  <c r="CL29" i="159"/>
  <c r="CT29" i="159"/>
  <c r="BA30" i="159"/>
  <c r="BQ30" i="159"/>
  <c r="CG30" i="159"/>
  <c r="CP30" i="159"/>
  <c r="AS31" i="159"/>
  <c r="BY31" i="159"/>
  <c r="CP31" i="159"/>
  <c r="AO32" i="159"/>
  <c r="BU32" i="159"/>
  <c r="CR32" i="159"/>
  <c r="AW33" i="159"/>
  <c r="CC33" i="159"/>
  <c r="BE34" i="159"/>
  <c r="CJ34" i="159"/>
  <c r="BO35" i="159"/>
  <c r="CE35" i="159"/>
  <c r="CM35" i="159"/>
  <c r="AW36" i="159"/>
  <c r="CM36" i="159"/>
  <c r="AM37" i="159"/>
  <c r="O15" i="48"/>
  <c r="K15" i="48"/>
  <c r="S14" i="48"/>
  <c r="K14" i="48"/>
  <c r="S12" i="48"/>
  <c r="K12" i="48"/>
  <c r="Y10" i="48"/>
  <c r="Q10" i="48"/>
  <c r="M9" i="48"/>
  <c r="U8" i="48"/>
  <c r="U7" i="48"/>
  <c r="M7" i="48"/>
  <c r="Q6" i="48"/>
  <c r="E5" i="48"/>
  <c r="U5" i="48"/>
  <c r="M5" i="48"/>
  <c r="Q18" i="48"/>
  <c r="O18" i="48"/>
  <c r="S17" i="48"/>
  <c r="O16" i="48"/>
  <c r="E14" i="48"/>
  <c r="AA13" i="48"/>
  <c r="O11" i="48"/>
  <c r="M11" i="48"/>
  <c r="K9" i="48"/>
  <c r="K7" i="48"/>
  <c r="W6" i="48"/>
  <c r="M6" i="48"/>
  <c r="AA16" i="48"/>
  <c r="E12" i="48"/>
  <c r="M10" i="48"/>
  <c r="U6" i="48"/>
  <c r="EF19" i="48"/>
  <c r="EN19" i="48"/>
  <c r="ET19" i="48"/>
  <c r="EF20" i="48"/>
  <c r="EN20" i="48"/>
  <c r="ET20" i="48"/>
  <c r="DY19" i="48"/>
  <c r="DY20" i="48"/>
  <c r="DE5" i="107"/>
  <c r="DF5" i="107"/>
  <c r="DG5" i="107"/>
  <c r="DO5" i="107"/>
  <c r="DP5" i="107"/>
  <c r="DQ5" i="107"/>
  <c r="DE6" i="107"/>
  <c r="DF6" i="107"/>
  <c r="DG6" i="107"/>
  <c r="DO6" i="107"/>
  <c r="DP6" i="107"/>
  <c r="DQ6" i="107"/>
  <c r="DE7" i="107"/>
  <c r="DF7" i="107"/>
  <c r="DG7" i="107"/>
  <c r="DO7" i="107"/>
  <c r="DP7" i="107"/>
  <c r="DQ7" i="107"/>
  <c r="DE8" i="107"/>
  <c r="DF8" i="107"/>
  <c r="DG8" i="107"/>
  <c r="DO8" i="107"/>
  <c r="DP8" i="107"/>
  <c r="DQ8" i="107"/>
  <c r="DE9" i="107"/>
  <c r="DF9" i="107"/>
  <c r="DG9" i="107"/>
  <c r="DO9" i="107"/>
  <c r="DP9" i="107"/>
  <c r="DQ9" i="107"/>
  <c r="DE10" i="107"/>
  <c r="DF10" i="107"/>
  <c r="DG10" i="107"/>
  <c r="DO10" i="107"/>
  <c r="DP10" i="107"/>
  <c r="DQ10" i="107"/>
  <c r="DE11" i="107"/>
  <c r="DF11" i="107"/>
  <c r="DG11" i="107"/>
  <c r="DO11" i="107"/>
  <c r="DP11" i="107"/>
  <c r="DQ11" i="107"/>
  <c r="DE12" i="107"/>
  <c r="DF12" i="107"/>
  <c r="DG12" i="107"/>
  <c r="DO12" i="107"/>
  <c r="DP12" i="107"/>
  <c r="DQ12" i="107"/>
  <c r="DE13" i="107"/>
  <c r="DF13" i="107"/>
  <c r="DG13" i="107"/>
  <c r="DO13" i="107"/>
  <c r="DP13" i="107"/>
  <c r="DQ13" i="107"/>
  <c r="DE14" i="107"/>
  <c r="DF14" i="107"/>
  <c r="DG14" i="107"/>
  <c r="DO14" i="107"/>
  <c r="DP14" i="107"/>
  <c r="DQ14" i="107"/>
  <c r="DE15" i="107"/>
  <c r="DF15" i="107"/>
  <c r="DG15" i="107"/>
  <c r="DO15" i="107"/>
  <c r="DP15" i="107"/>
  <c r="DQ15" i="107"/>
  <c r="DE16" i="107"/>
  <c r="DF16" i="107"/>
  <c r="DG16" i="107"/>
  <c r="DO16" i="107"/>
  <c r="DP16" i="107"/>
  <c r="DQ16" i="107"/>
  <c r="DE17" i="107"/>
  <c r="DF17" i="107"/>
  <c r="DG17" i="107"/>
  <c r="DO17" i="107"/>
  <c r="DP17" i="107"/>
  <c r="DQ17" i="107"/>
  <c r="DE18" i="107"/>
  <c r="DF18" i="107"/>
  <c r="DG18" i="107"/>
  <c r="DO18" i="107"/>
  <c r="DP18" i="107"/>
  <c r="DQ18" i="107"/>
  <c r="DY5" i="107"/>
  <c r="EF5" i="107"/>
  <c r="DY6" i="107"/>
  <c r="EF6" i="107"/>
  <c r="DY9" i="107"/>
  <c r="EF9" i="107"/>
  <c r="DY14" i="107"/>
  <c r="EF14" i="107"/>
  <c r="DY16" i="107"/>
  <c r="EF16" i="107"/>
  <c r="DY19" i="107"/>
  <c r="EF19" i="107"/>
  <c r="EN19" i="107"/>
  <c r="ET19" i="107"/>
  <c r="DY20" i="107"/>
  <c r="EF20" i="107"/>
  <c r="EN20" i="107"/>
  <c r="ET20" i="107"/>
  <c r="AG7" i="107"/>
  <c r="BI7" i="107"/>
  <c r="FT17" i="48"/>
  <c r="AE6" i="48"/>
  <c r="AE7" i="48"/>
  <c r="AE10" i="48"/>
  <c r="AE11" i="48"/>
  <c r="AE12" i="48"/>
  <c r="AE14" i="48"/>
  <c r="AE15" i="48"/>
  <c r="AE17" i="48"/>
  <c r="AE18" i="48"/>
  <c r="AA5" i="48"/>
  <c r="AA6" i="48"/>
  <c r="AA7" i="48"/>
  <c r="AA9" i="48"/>
  <c r="AA10" i="48"/>
  <c r="AA12" i="48"/>
  <c r="AA15" i="48"/>
  <c r="AA17" i="48"/>
  <c r="AA18" i="48"/>
  <c r="Y5" i="48"/>
  <c r="Y7" i="48"/>
  <c r="Y12" i="48"/>
  <c r="Y17" i="48"/>
  <c r="W5" i="48"/>
  <c r="W7" i="48"/>
  <c r="W10" i="48"/>
  <c r="W12" i="48"/>
  <c r="W13" i="48"/>
  <c r="W14" i="48"/>
  <c r="W16" i="48"/>
  <c r="W18" i="48"/>
  <c r="U9" i="48"/>
  <c r="U10" i="48"/>
  <c r="U11" i="48"/>
  <c r="U12" i="48"/>
  <c r="U13" i="48"/>
  <c r="U14" i="48"/>
  <c r="U15" i="48"/>
  <c r="U16" i="48"/>
  <c r="U17" i="48"/>
  <c r="U18" i="48"/>
  <c r="S5" i="48"/>
  <c r="S6" i="48"/>
  <c r="S7" i="48"/>
  <c r="S8" i="48"/>
  <c r="S9" i="48"/>
  <c r="S10" i="48"/>
  <c r="S11" i="48"/>
  <c r="S13" i="48"/>
  <c r="S15" i="48"/>
  <c r="S18" i="48"/>
  <c r="Q5" i="48"/>
  <c r="Q9" i="48"/>
  <c r="Q11" i="48"/>
  <c r="Q12" i="48"/>
  <c r="Q13" i="48"/>
  <c r="Q14" i="48"/>
  <c r="Q15" i="48"/>
  <c r="Q16" i="48"/>
  <c r="Q17" i="48"/>
  <c r="O5" i="48"/>
  <c r="O6" i="48"/>
  <c r="O7" i="48"/>
  <c r="O8" i="48"/>
  <c r="O9" i="48"/>
  <c r="O10" i="48"/>
  <c r="O12" i="48"/>
  <c r="O13" i="48"/>
  <c r="O14" i="48"/>
  <c r="O17" i="48"/>
  <c r="M12" i="48"/>
  <c r="M13" i="48"/>
  <c r="M14" i="48"/>
  <c r="M17" i="48"/>
  <c r="M18" i="48"/>
  <c r="K5" i="48"/>
  <c r="K6" i="48"/>
  <c r="K10" i="48"/>
  <c r="K11" i="48"/>
  <c r="K13" i="48"/>
  <c r="K16" i="48"/>
  <c r="K17" i="48"/>
  <c r="K18" i="48"/>
  <c r="I10" i="48"/>
  <c r="I14" i="48"/>
  <c r="I17" i="48"/>
  <c r="I18" i="48"/>
  <c r="E17" i="48"/>
  <c r="D18" i="48"/>
  <c r="FF18" i="48" s="1"/>
  <c r="BJ50" i="107"/>
  <c r="BL50" i="107"/>
  <c r="BN50" i="107"/>
  <c r="BP50" i="107"/>
  <c r="BR50" i="107"/>
  <c r="BT50" i="107"/>
  <c r="BV50" i="107"/>
  <c r="BX50" i="107"/>
  <c r="BZ50" i="107"/>
  <c r="CB50" i="107"/>
  <c r="CD50" i="107"/>
  <c r="CF50" i="107"/>
  <c r="CH50" i="107"/>
  <c r="BJ51" i="107"/>
  <c r="BL51" i="107"/>
  <c r="BN51" i="107"/>
  <c r="BP51" i="107"/>
  <c r="BR51" i="107"/>
  <c r="BT51" i="107"/>
  <c r="BV51" i="107"/>
  <c r="BX51" i="107"/>
  <c r="BZ51" i="107"/>
  <c r="CB51" i="107"/>
  <c r="CD51" i="107"/>
  <c r="CF51" i="107"/>
  <c r="CH51" i="107"/>
  <c r="BJ52" i="107"/>
  <c r="BL52" i="107"/>
  <c r="BN52" i="107"/>
  <c r="BP52" i="107"/>
  <c r="BR52" i="107"/>
  <c r="BT52" i="107"/>
  <c r="BV52" i="107"/>
  <c r="BX52" i="107"/>
  <c r="BZ52" i="107"/>
  <c r="CB52" i="107"/>
  <c r="CD52" i="107"/>
  <c r="CF52" i="107"/>
  <c r="CH52" i="107"/>
  <c r="BJ53" i="107"/>
  <c r="BL53" i="107"/>
  <c r="BN53" i="107"/>
  <c r="BP53" i="107"/>
  <c r="BR53" i="107"/>
  <c r="BT53" i="107"/>
  <c r="BV53" i="107"/>
  <c r="BX53" i="107"/>
  <c r="BZ53" i="107"/>
  <c r="CB53" i="107"/>
  <c r="CD53" i="107"/>
  <c r="CF53" i="107"/>
  <c r="CH53" i="107"/>
  <c r="BJ54" i="107"/>
  <c r="BL54" i="107"/>
  <c r="BN54" i="107"/>
  <c r="BP54" i="107"/>
  <c r="BR54" i="107"/>
  <c r="BT54" i="107"/>
  <c r="BV54" i="107"/>
  <c r="BX54" i="107"/>
  <c r="BZ54" i="107"/>
  <c r="CB54" i="107"/>
  <c r="CD54" i="107"/>
  <c r="CF54" i="107"/>
  <c r="CH54" i="107"/>
  <c r="BJ35" i="107"/>
  <c r="BL35" i="107"/>
  <c r="BN35" i="107"/>
  <c r="BP35" i="107"/>
  <c r="BR35" i="107"/>
  <c r="BT35" i="107"/>
  <c r="BV35" i="107"/>
  <c r="BX35" i="107"/>
  <c r="BZ35" i="107"/>
  <c r="CB35" i="107"/>
  <c r="CD35" i="107"/>
  <c r="CF35" i="107"/>
  <c r="CH35" i="107"/>
  <c r="BJ36" i="107"/>
  <c r="BL36" i="107"/>
  <c r="BN36" i="107"/>
  <c r="BP36" i="107"/>
  <c r="BR36" i="107"/>
  <c r="BT36" i="107"/>
  <c r="BV36" i="107"/>
  <c r="BX36" i="107"/>
  <c r="BZ36" i="107"/>
  <c r="CB36" i="107"/>
  <c r="CD36" i="107"/>
  <c r="CF36" i="107"/>
  <c r="CH36" i="107"/>
  <c r="BJ37" i="107"/>
  <c r="BL37" i="107"/>
  <c r="BN37" i="107"/>
  <c r="BP37" i="107"/>
  <c r="BR37" i="107"/>
  <c r="BT37" i="107"/>
  <c r="BV37" i="107"/>
  <c r="BX37" i="107"/>
  <c r="BZ37" i="107"/>
  <c r="CB37" i="107"/>
  <c r="CD37" i="107"/>
  <c r="CF37" i="107"/>
  <c r="CH37" i="107"/>
  <c r="BJ38" i="107"/>
  <c r="BL38" i="107"/>
  <c r="BN38" i="107"/>
  <c r="BP38" i="107"/>
  <c r="BR38" i="107"/>
  <c r="BT38" i="107"/>
  <c r="BV38" i="107"/>
  <c r="BX38" i="107"/>
  <c r="BZ38" i="107"/>
  <c r="CB38" i="107"/>
  <c r="CD38" i="107"/>
  <c r="CF38" i="107"/>
  <c r="CH38" i="107"/>
  <c r="BJ39" i="107"/>
  <c r="BL39" i="107"/>
  <c r="BN39" i="107"/>
  <c r="BP39" i="107"/>
  <c r="BR39" i="107"/>
  <c r="BT39" i="107"/>
  <c r="BV39" i="107"/>
  <c r="BX39" i="107"/>
  <c r="BZ39" i="107"/>
  <c r="CB39" i="107"/>
  <c r="CD39" i="107"/>
  <c r="CF39" i="107"/>
  <c r="CH39" i="107"/>
  <c r="CU23" i="107"/>
  <c r="CT23" i="107"/>
  <c r="CS23" i="107"/>
  <c r="CR23" i="107"/>
  <c r="CQ23" i="107"/>
  <c r="CP23" i="107"/>
  <c r="CO23" i="107"/>
  <c r="CK23" i="107"/>
  <c r="CJ23" i="107"/>
  <c r="CI23" i="107"/>
  <c r="CG23" i="107"/>
  <c r="CE23" i="107"/>
  <c r="CC23" i="107"/>
  <c r="CA23" i="107"/>
  <c r="BY23" i="107"/>
  <c r="BW23" i="107"/>
  <c r="BU23" i="107"/>
  <c r="BS23" i="107"/>
  <c r="BQ23" i="107"/>
  <c r="BO23" i="107"/>
  <c r="BG23" i="107"/>
  <c r="BE23" i="107"/>
  <c r="BC23" i="107"/>
  <c r="BA23" i="107"/>
  <c r="AY23" i="107"/>
  <c r="AW23" i="107"/>
  <c r="AU23" i="107"/>
  <c r="AS23" i="107"/>
  <c r="AQ23" i="107"/>
  <c r="AO23" i="107"/>
  <c r="AM23" i="107"/>
  <c r="D26" i="107"/>
  <c r="CU22" i="107"/>
  <c r="CT22" i="107"/>
  <c r="CS22" i="107"/>
  <c r="CR22" i="107"/>
  <c r="CQ22" i="107"/>
  <c r="CP22" i="107"/>
  <c r="CO22" i="107"/>
  <c r="CJ22" i="107"/>
  <c r="CI22" i="107"/>
  <c r="CG22" i="107"/>
  <c r="CE22" i="107"/>
  <c r="CC22" i="107"/>
  <c r="CA22" i="107"/>
  <c r="BY22" i="107"/>
  <c r="BW22" i="107"/>
  <c r="BU22" i="107"/>
  <c r="BS22" i="107"/>
  <c r="BQ22" i="107"/>
  <c r="BO22" i="107"/>
  <c r="BG22" i="107"/>
  <c r="BE22" i="107"/>
  <c r="BC22" i="107"/>
  <c r="BA22" i="107"/>
  <c r="AY22" i="107"/>
  <c r="AW22" i="107"/>
  <c r="AU22" i="107"/>
  <c r="AS22" i="107"/>
  <c r="AQ22" i="107"/>
  <c r="AO22" i="107"/>
  <c r="AM22" i="107"/>
  <c r="D30" i="107"/>
  <c r="CU21" i="107"/>
  <c r="GB21" i="107" s="1"/>
  <c r="CT21" i="107"/>
  <c r="CS21" i="107"/>
  <c r="FZ21" i="107" s="1"/>
  <c r="CR21" i="107"/>
  <c r="FY21" i="107" s="1"/>
  <c r="CQ21" i="107"/>
  <c r="FX21" i="107" s="1"/>
  <c r="CP21" i="107"/>
  <c r="FW21" i="107" s="1"/>
  <c r="CO21" i="107"/>
  <c r="FV21" i="107" s="1"/>
  <c r="FT21" i="107"/>
  <c r="CJ21" i="107"/>
  <c r="FS21" i="107" s="1"/>
  <c r="CI21" i="107"/>
  <c r="CG21" i="107"/>
  <c r="CE21" i="107"/>
  <c r="CC21" i="107"/>
  <c r="CA21" i="107"/>
  <c r="BY21" i="107"/>
  <c r="BW21" i="107"/>
  <c r="BU21" i="107"/>
  <c r="BS21" i="107"/>
  <c r="BQ21" i="107"/>
  <c r="BO21" i="107"/>
  <c r="BG21" i="107"/>
  <c r="BE21" i="107"/>
  <c r="BC21" i="107"/>
  <c r="BA21" i="107"/>
  <c r="AY21" i="107"/>
  <c r="AW21" i="107"/>
  <c r="AU21" i="107"/>
  <c r="AS21" i="107"/>
  <c r="AQ21" i="107"/>
  <c r="AO21" i="107"/>
  <c r="AM21" i="107"/>
  <c r="D21" i="107"/>
  <c r="GA20" i="107"/>
  <c r="FT20" i="107"/>
  <c r="FS20" i="107"/>
  <c r="CN20" i="107"/>
  <c r="FU20" i="107" s="1"/>
  <c r="GA19" i="107"/>
  <c r="FT19" i="107"/>
  <c r="FS19" i="107"/>
  <c r="CN19" i="107"/>
  <c r="FU19" i="107" s="1"/>
  <c r="GB18" i="107"/>
  <c r="GA18" i="107"/>
  <c r="FZ18" i="107"/>
  <c r="FY18" i="107"/>
  <c r="FX18" i="107"/>
  <c r="FW18" i="107"/>
  <c r="FV18" i="107"/>
  <c r="FT18" i="107"/>
  <c r="FS18" i="107"/>
  <c r="FQ18" i="107"/>
  <c r="FO18" i="107"/>
  <c r="FR18" i="107" s="1"/>
  <c r="FF18" i="107"/>
  <c r="CN18" i="107"/>
  <c r="FU18" i="107" s="1"/>
  <c r="BM18" i="107"/>
  <c r="BK18" i="107"/>
  <c r="BI18" i="107"/>
  <c r="AK18" i="107"/>
  <c r="AI18" i="107"/>
  <c r="AG18" i="107"/>
  <c r="AE18" i="107"/>
  <c r="AA18" i="107"/>
  <c r="Y18" i="107"/>
  <c r="FM18" i="107" s="1"/>
  <c r="W18" i="107"/>
  <c r="U18" i="107"/>
  <c r="S18" i="107"/>
  <c r="Q18" i="107"/>
  <c r="O18" i="107"/>
  <c r="M18" i="107"/>
  <c r="K18" i="107"/>
  <c r="GB17" i="107"/>
  <c r="GA17" i="107"/>
  <c r="FZ17" i="107"/>
  <c r="FY17" i="107"/>
  <c r="FX17" i="107"/>
  <c r="FW17" i="107"/>
  <c r="FV17" i="107"/>
  <c r="FT17" i="107"/>
  <c r="FS17" i="107"/>
  <c r="FQ17" i="107"/>
  <c r="FO17" i="107"/>
  <c r="FR17" i="107" s="1"/>
  <c r="FF17" i="107"/>
  <c r="CN17" i="107"/>
  <c r="FU17" i="107" s="1"/>
  <c r="BM17" i="107"/>
  <c r="BK17" i="107"/>
  <c r="BI17" i="107"/>
  <c r="AK17" i="107"/>
  <c r="I17" i="107" s="1"/>
  <c r="AI17" i="107"/>
  <c r="G17" i="107" s="1"/>
  <c r="FI17" i="107" s="1"/>
  <c r="AG17" i="107"/>
  <c r="AE17" i="107"/>
  <c r="AA17" i="107"/>
  <c r="Y17" i="107"/>
  <c r="FM17" i="107" s="1"/>
  <c r="W17" i="107"/>
  <c r="U17" i="107"/>
  <c r="S17" i="107"/>
  <c r="Q17" i="107"/>
  <c r="O17" i="107"/>
  <c r="M17" i="107"/>
  <c r="K17" i="107"/>
  <c r="GB16" i="107"/>
  <c r="GA16" i="107"/>
  <c r="FZ16" i="107"/>
  <c r="FY16" i="107"/>
  <c r="FX16" i="107"/>
  <c r="FW16" i="107"/>
  <c r="FV16" i="107"/>
  <c r="FT16" i="107"/>
  <c r="FS16" i="107"/>
  <c r="FQ16" i="107"/>
  <c r="FR16" i="107" s="1"/>
  <c r="FO16" i="107"/>
  <c r="FF16" i="107"/>
  <c r="CN16" i="107"/>
  <c r="FU16" i="107" s="1"/>
  <c r="BM16" i="107"/>
  <c r="BK16" i="107"/>
  <c r="BI16" i="107"/>
  <c r="AK16" i="107"/>
  <c r="AI16" i="107"/>
  <c r="AG16" i="107"/>
  <c r="AE16" i="107"/>
  <c r="EY16" i="107" s="1"/>
  <c r="AA16" i="107"/>
  <c r="Y16" i="107"/>
  <c r="FM16" i="107" s="1"/>
  <c r="W16" i="107"/>
  <c r="U16" i="107"/>
  <c r="S16" i="107"/>
  <c r="Q16" i="107"/>
  <c r="O16" i="107"/>
  <c r="M16" i="107"/>
  <c r="K16" i="107"/>
  <c r="GB15" i="107"/>
  <c r="GA15" i="107"/>
  <c r="FZ15" i="107"/>
  <c r="FY15" i="107"/>
  <c r="FX15" i="107"/>
  <c r="FW15" i="107"/>
  <c r="FV15" i="107"/>
  <c r="FT15" i="107"/>
  <c r="FS15" i="107"/>
  <c r="FQ15" i="107"/>
  <c r="FO15" i="107"/>
  <c r="FR15" i="107" s="1"/>
  <c r="FF15" i="107"/>
  <c r="EY15" i="107"/>
  <c r="CN15" i="107"/>
  <c r="FU15" i="107" s="1"/>
  <c r="BM15" i="107"/>
  <c r="BK15" i="107"/>
  <c r="G15" i="107" s="1"/>
  <c r="BI15" i="107"/>
  <c r="AK15" i="107"/>
  <c r="I15" i="107" s="1"/>
  <c r="AI15" i="107"/>
  <c r="AG15" i="107"/>
  <c r="E15" i="107" s="1"/>
  <c r="FG15" i="107" s="1"/>
  <c r="AE15" i="107"/>
  <c r="AC15" i="107"/>
  <c r="EX15" i="107" s="1"/>
  <c r="EF15" i="107" s="1"/>
  <c r="AA15" i="107"/>
  <c r="Y15" i="107"/>
  <c r="FM15" i="107" s="1"/>
  <c r="W15" i="107"/>
  <c r="FK15" i="107" s="1"/>
  <c r="U15" i="107"/>
  <c r="S15" i="107"/>
  <c r="Q15" i="107"/>
  <c r="O15" i="107"/>
  <c r="M15" i="107"/>
  <c r="K15" i="107"/>
  <c r="GB14" i="107"/>
  <c r="GA14" i="107"/>
  <c r="FZ14" i="107"/>
  <c r="FY14" i="107"/>
  <c r="FX14" i="107"/>
  <c r="FW14" i="107"/>
  <c r="FV14" i="107"/>
  <c r="FT14" i="107"/>
  <c r="FS14" i="107"/>
  <c r="FQ14" i="107"/>
  <c r="FR14" i="107" s="1"/>
  <c r="FO14" i="107"/>
  <c r="FF14" i="107"/>
  <c r="CN14" i="107"/>
  <c r="FU14" i="107" s="1"/>
  <c r="BM14" i="107"/>
  <c r="BK14" i="107"/>
  <c r="BI14" i="107"/>
  <c r="AK14" i="107"/>
  <c r="I14" i="107" s="1"/>
  <c r="AI14" i="107"/>
  <c r="AG14" i="107"/>
  <c r="AE14" i="107"/>
  <c r="EY14" i="107" s="1"/>
  <c r="AA14" i="107"/>
  <c r="Y14" i="107"/>
  <c r="FM14" i="107" s="1"/>
  <c r="W14" i="107"/>
  <c r="U14" i="107"/>
  <c r="S14" i="107"/>
  <c r="Q14" i="107"/>
  <c r="O14" i="107"/>
  <c r="M14" i="107"/>
  <c r="K14" i="107"/>
  <c r="GB13" i="107"/>
  <c r="GA13" i="107"/>
  <c r="FZ13" i="107"/>
  <c r="FY13" i="107"/>
  <c r="FX13" i="107"/>
  <c r="FW13" i="107"/>
  <c r="FV13" i="107"/>
  <c r="FT13" i="107"/>
  <c r="FS13" i="107"/>
  <c r="FQ13" i="107"/>
  <c r="FO13" i="107"/>
  <c r="FR13" i="107" s="1"/>
  <c r="FF13" i="107"/>
  <c r="EY13" i="107"/>
  <c r="CN13" i="107"/>
  <c r="FU13" i="107" s="1"/>
  <c r="BM13" i="107"/>
  <c r="BK13" i="107"/>
  <c r="G13" i="107" s="1"/>
  <c r="BI13" i="107"/>
  <c r="AK13" i="107"/>
  <c r="AI13" i="107"/>
  <c r="AG13" i="107"/>
  <c r="AE13" i="107"/>
  <c r="AC13" i="107"/>
  <c r="EX13" i="107" s="1"/>
  <c r="DY13" i="107" s="1"/>
  <c r="AA13" i="107"/>
  <c r="Y13" i="107"/>
  <c r="FM13" i="107" s="1"/>
  <c r="W13" i="107"/>
  <c r="FK13" i="107" s="1"/>
  <c r="U13" i="107"/>
  <c r="S13" i="107"/>
  <c r="Q13" i="107"/>
  <c r="O13" i="107"/>
  <c r="M13" i="107"/>
  <c r="K13" i="107"/>
  <c r="GB12" i="107"/>
  <c r="GA12" i="107"/>
  <c r="FZ12" i="107"/>
  <c r="FY12" i="107"/>
  <c r="FX12" i="107"/>
  <c r="FW12" i="107"/>
  <c r="FV12" i="107"/>
  <c r="FT12" i="107"/>
  <c r="FS12" i="107"/>
  <c r="FQ12" i="107"/>
  <c r="FR12" i="107" s="1"/>
  <c r="FO12" i="107"/>
  <c r="FF12" i="107"/>
  <c r="CN12" i="107"/>
  <c r="FU12" i="107" s="1"/>
  <c r="BM12" i="107"/>
  <c r="BK12" i="107"/>
  <c r="BI12" i="107"/>
  <c r="AK12" i="107"/>
  <c r="I12" i="107" s="1"/>
  <c r="AI12" i="107"/>
  <c r="AG12" i="107"/>
  <c r="AE12" i="107"/>
  <c r="EY12" i="107" s="1"/>
  <c r="AA12" i="107"/>
  <c r="Y12" i="107"/>
  <c r="FM12" i="107" s="1"/>
  <c r="W12" i="107"/>
  <c r="U12" i="107"/>
  <c r="S12" i="107"/>
  <c r="Q12" i="107"/>
  <c r="O12" i="107"/>
  <c r="M12" i="107"/>
  <c r="K12" i="107"/>
  <c r="GB11" i="107"/>
  <c r="GA11" i="107"/>
  <c r="FZ11" i="107"/>
  <c r="FY11" i="107"/>
  <c r="FX11" i="107"/>
  <c r="FW11" i="107"/>
  <c r="FV11" i="107"/>
  <c r="FT11" i="107"/>
  <c r="FS11" i="107"/>
  <c r="FQ11" i="107"/>
  <c r="FO11" i="107"/>
  <c r="FR11" i="107" s="1"/>
  <c r="FF11" i="107"/>
  <c r="EY11" i="107"/>
  <c r="CN11" i="107"/>
  <c r="FU11" i="107" s="1"/>
  <c r="BM11" i="107"/>
  <c r="BK11" i="107"/>
  <c r="G11" i="107" s="1"/>
  <c r="BI11" i="107"/>
  <c r="AK11" i="107"/>
  <c r="I11" i="107" s="1"/>
  <c r="AI11" i="107"/>
  <c r="AG11" i="107"/>
  <c r="AE11" i="107"/>
  <c r="AC11" i="107"/>
  <c r="EX11" i="107" s="1"/>
  <c r="DY11" i="107" s="1"/>
  <c r="AA11" i="107"/>
  <c r="Y11" i="107"/>
  <c r="FM11" i="107" s="1"/>
  <c r="W11" i="107"/>
  <c r="FK11" i="107" s="1"/>
  <c r="U11" i="107"/>
  <c r="S11" i="107"/>
  <c r="Q11" i="107"/>
  <c r="O11" i="107"/>
  <c r="M11" i="107"/>
  <c r="K11" i="107"/>
  <c r="GB10" i="107"/>
  <c r="GA10" i="107"/>
  <c r="FZ10" i="107"/>
  <c r="FY10" i="107"/>
  <c r="FX10" i="107"/>
  <c r="FW10" i="107"/>
  <c r="FV10" i="107"/>
  <c r="FT10" i="107"/>
  <c r="FS10" i="107"/>
  <c r="FQ10" i="107"/>
  <c r="FR10" i="107" s="1"/>
  <c r="FO10" i="107"/>
  <c r="FF10" i="107"/>
  <c r="CN10" i="107"/>
  <c r="FU10" i="107" s="1"/>
  <c r="BM10" i="107"/>
  <c r="BK10" i="107"/>
  <c r="BI10" i="107"/>
  <c r="AK10" i="107"/>
  <c r="I10" i="107" s="1"/>
  <c r="AI10" i="107"/>
  <c r="AG10" i="107"/>
  <c r="E10" i="107" s="1"/>
  <c r="AE10" i="107"/>
  <c r="EY10" i="107" s="1"/>
  <c r="AA10" i="107"/>
  <c r="Y10" i="107"/>
  <c r="FM10" i="107" s="1"/>
  <c r="W10" i="107"/>
  <c r="U10" i="107"/>
  <c r="S10" i="107"/>
  <c r="Q10" i="107"/>
  <c r="O10" i="107"/>
  <c r="M10" i="107"/>
  <c r="K10" i="107"/>
  <c r="GB9" i="107"/>
  <c r="GA9" i="107"/>
  <c r="FZ9" i="107"/>
  <c r="FY9" i="107"/>
  <c r="FX9" i="107"/>
  <c r="FW9" i="107"/>
  <c r="FV9" i="107"/>
  <c r="FT9" i="107"/>
  <c r="FS9" i="107"/>
  <c r="FQ9" i="107"/>
  <c r="FO9" i="107"/>
  <c r="FR9" i="107" s="1"/>
  <c r="FF9" i="107"/>
  <c r="EY9" i="107"/>
  <c r="CN9" i="107"/>
  <c r="FU9" i="107" s="1"/>
  <c r="BM9" i="107"/>
  <c r="BK9" i="107"/>
  <c r="BI9" i="107"/>
  <c r="AK9" i="107"/>
  <c r="AI9" i="107"/>
  <c r="AG9" i="107"/>
  <c r="E9" i="107" s="1"/>
  <c r="AE9" i="107"/>
  <c r="AC9" i="107"/>
  <c r="EX9" i="107" s="1"/>
  <c r="AA9" i="107"/>
  <c r="Y9" i="107"/>
  <c r="FM9" i="107" s="1"/>
  <c r="W9" i="107"/>
  <c r="FK9" i="107" s="1"/>
  <c r="U9" i="107"/>
  <c r="S9" i="107"/>
  <c r="Q9" i="107"/>
  <c r="O9" i="107"/>
  <c r="M9" i="107"/>
  <c r="K9" i="107"/>
  <c r="GB8" i="107"/>
  <c r="GA8" i="107"/>
  <c r="FZ8" i="107"/>
  <c r="FY8" i="107"/>
  <c r="FX8" i="107"/>
  <c r="FW8" i="107"/>
  <c r="FV8" i="107"/>
  <c r="FT8" i="107"/>
  <c r="FS8" i="107"/>
  <c r="FR8" i="107"/>
  <c r="FQ8" i="107"/>
  <c r="FO8" i="107"/>
  <c r="FF8" i="107"/>
  <c r="CN8" i="107"/>
  <c r="FU8" i="107" s="1"/>
  <c r="BM8" i="107"/>
  <c r="BK8" i="107"/>
  <c r="G8" i="107" s="1"/>
  <c r="BI8" i="107"/>
  <c r="AK8" i="107"/>
  <c r="I8" i="107" s="1"/>
  <c r="AI8" i="107"/>
  <c r="AG8" i="107"/>
  <c r="AE8" i="107"/>
  <c r="AA8" i="107"/>
  <c r="Y8" i="107"/>
  <c r="FM8" i="107" s="1"/>
  <c r="W8" i="107"/>
  <c r="FK8" i="107" s="1"/>
  <c r="U8" i="107"/>
  <c r="S8" i="107"/>
  <c r="Q8" i="107"/>
  <c r="O8" i="107"/>
  <c r="M8" i="107"/>
  <c r="K8" i="107"/>
  <c r="GB7" i="107"/>
  <c r="GA7" i="107"/>
  <c r="FZ7" i="107"/>
  <c r="FY7" i="107"/>
  <c r="FX7" i="107"/>
  <c r="FW7" i="107"/>
  <c r="FV7" i="107"/>
  <c r="FT7" i="107"/>
  <c r="FS7" i="107"/>
  <c r="FQ7" i="107"/>
  <c r="FO7" i="107"/>
  <c r="FF7" i="107"/>
  <c r="CN7" i="107"/>
  <c r="BM7" i="107"/>
  <c r="BK7" i="107"/>
  <c r="AK7" i="107"/>
  <c r="I7" i="107" s="1"/>
  <c r="AI7" i="107"/>
  <c r="AI22" i="107" s="1"/>
  <c r="E7" i="107"/>
  <c r="AE7" i="107"/>
  <c r="AE22" i="107" s="1"/>
  <c r="AA7" i="107"/>
  <c r="Y7" i="107"/>
  <c r="W7" i="107"/>
  <c r="U7" i="107"/>
  <c r="U22" i="107" s="1"/>
  <c r="U43" i="107" s="1"/>
  <c r="S7" i="107"/>
  <c r="Q7" i="107"/>
  <c r="Q22" i="107" s="1"/>
  <c r="Q47" i="107" s="1"/>
  <c r="O7" i="107"/>
  <c r="M7" i="107"/>
  <c r="K7" i="107"/>
  <c r="GB6" i="107"/>
  <c r="GA6" i="107"/>
  <c r="FZ6" i="107"/>
  <c r="FY6" i="107"/>
  <c r="FX6" i="107"/>
  <c r="FW6" i="107"/>
  <c r="FV6" i="107"/>
  <c r="FT6" i="107"/>
  <c r="FS6" i="107"/>
  <c r="FR6" i="107"/>
  <c r="FQ6" i="107"/>
  <c r="FO6" i="107"/>
  <c r="FF6" i="107"/>
  <c r="CN6" i="107"/>
  <c r="FU6" i="107" s="1"/>
  <c r="BM6" i="107"/>
  <c r="I6" i="107" s="1"/>
  <c r="BK6" i="107"/>
  <c r="BI6" i="107"/>
  <c r="AK6" i="107"/>
  <c r="AI6" i="107"/>
  <c r="AG6" i="107"/>
  <c r="AE6" i="107"/>
  <c r="EY6" i="107" s="1"/>
  <c r="AA6" i="107"/>
  <c r="Y6" i="107"/>
  <c r="FM6" i="107" s="1"/>
  <c r="W6" i="107"/>
  <c r="FK6" i="107" s="1"/>
  <c r="U6" i="107"/>
  <c r="S6" i="107"/>
  <c r="Q6" i="107"/>
  <c r="O6" i="107"/>
  <c r="M6" i="107"/>
  <c r="K6" i="107"/>
  <c r="GB5" i="107"/>
  <c r="GA5" i="107"/>
  <c r="FZ5" i="107"/>
  <c r="FY5" i="107"/>
  <c r="FX5" i="107"/>
  <c r="FW5" i="107"/>
  <c r="FV5" i="107"/>
  <c r="FT5" i="107"/>
  <c r="FS5" i="107"/>
  <c r="FQ5" i="107"/>
  <c r="FO5" i="107"/>
  <c r="FR5" i="107" s="1"/>
  <c r="FF5" i="107"/>
  <c r="CN5" i="107"/>
  <c r="FU5" i="107" s="1"/>
  <c r="BM5" i="107"/>
  <c r="BK5" i="107"/>
  <c r="BI5" i="107"/>
  <c r="AK5" i="107"/>
  <c r="I5" i="107" s="1"/>
  <c r="AI5" i="107"/>
  <c r="AG5" i="107"/>
  <c r="AE5" i="107"/>
  <c r="EY5" i="107" s="1"/>
  <c r="AA5" i="107"/>
  <c r="Y5" i="107"/>
  <c r="FM5" i="107" s="1"/>
  <c r="W5" i="107"/>
  <c r="FK5" i="107" s="1"/>
  <c r="U5" i="107"/>
  <c r="S5" i="107"/>
  <c r="Q5" i="107"/>
  <c r="O5" i="107"/>
  <c r="M5" i="107"/>
  <c r="K5" i="107"/>
  <c r="GB4" i="107"/>
  <c r="GA4" i="107"/>
  <c r="FZ4" i="107"/>
  <c r="FY4" i="107"/>
  <c r="FX4" i="107"/>
  <c r="FW4" i="107"/>
  <c r="FV4" i="107"/>
  <c r="FT4" i="107"/>
  <c r="FS4" i="107"/>
  <c r="FR4" i="107"/>
  <c r="FQ4" i="107"/>
  <c r="FO4" i="107"/>
  <c r="FF4" i="107"/>
  <c r="DQ4" i="107"/>
  <c r="DP4" i="107"/>
  <c r="DO4" i="107"/>
  <c r="BM4" i="107"/>
  <c r="BK4" i="107"/>
  <c r="G4" i="107" s="1"/>
  <c r="BI4" i="107"/>
  <c r="AK4" i="107"/>
  <c r="AI4" i="107"/>
  <c r="AG4" i="107"/>
  <c r="E4" i="107" s="1"/>
  <c r="AE4" i="107"/>
  <c r="EY4" i="107" s="1"/>
  <c r="AA4" i="107"/>
  <c r="Y4" i="107"/>
  <c r="W4" i="107"/>
  <c r="U4" i="107"/>
  <c r="S4" i="107"/>
  <c r="Q4" i="107"/>
  <c r="O4" i="107"/>
  <c r="M4" i="107"/>
  <c r="K4" i="107"/>
  <c r="IN9" i="48"/>
  <c r="EG47" i="165" l="1"/>
  <c r="GO14" i="165" s="1"/>
  <c r="EG50" i="165"/>
  <c r="EG54" i="165"/>
  <c r="EG53" i="165"/>
  <c r="GO18" i="165" s="1"/>
  <c r="EG52" i="165"/>
  <c r="EG45" i="165"/>
  <c r="GO12" i="165"/>
  <c r="ER20" i="165"/>
  <c r="ES20" i="165"/>
  <c r="ES19" i="165"/>
  <c r="ER19" i="165"/>
  <c r="EG39" i="165"/>
  <c r="EG35" i="165"/>
  <c r="EG38" i="165"/>
  <c r="EG34" i="165"/>
  <c r="EG33" i="165"/>
  <c r="EG32" i="165"/>
  <c r="EG31" i="165"/>
  <c r="EG37" i="165"/>
  <c r="EG36" i="165"/>
  <c r="EG30" i="165"/>
  <c r="EG29" i="165"/>
  <c r="EG28" i="165"/>
  <c r="EG26" i="165"/>
  <c r="EG25" i="165"/>
  <c r="EG27" i="165"/>
  <c r="EE23" i="48"/>
  <c r="ED22" i="48" s="1"/>
  <c r="ED23" i="48" s="1"/>
  <c r="DN23" i="165"/>
  <c r="CY23" i="165" s="1"/>
  <c r="GE23" i="165" s="1"/>
  <c r="EH10" i="164"/>
  <c r="EH17" i="164"/>
  <c r="EH8" i="164"/>
  <c r="DU17" i="164"/>
  <c r="EH16" i="164"/>
  <c r="EH6" i="164"/>
  <c r="EH5" i="164"/>
  <c r="EH12" i="164"/>
  <c r="CX16" i="163"/>
  <c r="GD16" i="163" s="1"/>
  <c r="EG22" i="163"/>
  <c r="EG15" i="164"/>
  <c r="CY15" i="164" s="1"/>
  <c r="GE15" i="164" s="1"/>
  <c r="EG8" i="164"/>
  <c r="CX8" i="164" s="1"/>
  <c r="GD8" i="164" s="1"/>
  <c r="EG13" i="164"/>
  <c r="CY18" i="164"/>
  <c r="GE18" i="164" s="1"/>
  <c r="EG11" i="164"/>
  <c r="CY11" i="164" s="1"/>
  <c r="GE11" i="164" s="1"/>
  <c r="EG17" i="164"/>
  <c r="EG10" i="164"/>
  <c r="CY10" i="164" s="1"/>
  <c r="GE10" i="164" s="1"/>
  <c r="EG7" i="164"/>
  <c r="CY7" i="164" s="1"/>
  <c r="GE7" i="164" s="1"/>
  <c r="EG16" i="164"/>
  <c r="CY16" i="164" s="1"/>
  <c r="GE16" i="164" s="1"/>
  <c r="EG9" i="164"/>
  <c r="CX9" i="164" s="1"/>
  <c r="GD9" i="164" s="1"/>
  <c r="EG5" i="164"/>
  <c r="EG14" i="164"/>
  <c r="CX14" i="164" s="1"/>
  <c r="GD14" i="164" s="1"/>
  <c r="EG12" i="164"/>
  <c r="EG6" i="164"/>
  <c r="EG4" i="164"/>
  <c r="CY4" i="164" s="1"/>
  <c r="GE4" i="164" s="1"/>
  <c r="DN10" i="163"/>
  <c r="CX10" i="163"/>
  <c r="GD10" i="163" s="1"/>
  <c r="DN12" i="163"/>
  <c r="CX12" i="163"/>
  <c r="GD12" i="163" s="1"/>
  <c r="DN9" i="163"/>
  <c r="DN18" i="163"/>
  <c r="CX18" i="163"/>
  <c r="GD18" i="163" s="1"/>
  <c r="DN11" i="163"/>
  <c r="CX9" i="163"/>
  <c r="GD9" i="163" s="1"/>
  <c r="EG23" i="163"/>
  <c r="EG21" i="163"/>
  <c r="DN21" i="163" s="1"/>
  <c r="CY21" i="163" s="1"/>
  <c r="GE21" i="163" s="1"/>
  <c r="DN4" i="163"/>
  <c r="DN6" i="163"/>
  <c r="CY9" i="163"/>
  <c r="GE9" i="163" s="1"/>
  <c r="CY18" i="163"/>
  <c r="GE18" i="163" s="1"/>
  <c r="CY11" i="163"/>
  <c r="GE11" i="163" s="1"/>
  <c r="CX6" i="163"/>
  <c r="GD6" i="163" s="1"/>
  <c r="CY4" i="163"/>
  <c r="GE4" i="163" s="1"/>
  <c r="DN16" i="163"/>
  <c r="DN7" i="163"/>
  <c r="CX7" i="163"/>
  <c r="GD7" i="163" s="1"/>
  <c r="CY6" i="163"/>
  <c r="GE6" i="163" s="1"/>
  <c r="CY12" i="163"/>
  <c r="GE12" i="163" s="1"/>
  <c r="CX4" i="163"/>
  <c r="GD4" i="163" s="1"/>
  <c r="DU19" i="162"/>
  <c r="EG19" i="162" s="1"/>
  <c r="EQ13" i="162"/>
  <c r="EQ17" i="162"/>
  <c r="EJ19" i="162"/>
  <c r="EK19" i="162"/>
  <c r="ET4" i="162"/>
  <c r="DX14" i="162"/>
  <c r="DU14" i="162" s="1"/>
  <c r="EJ14" i="162"/>
  <c r="DX9" i="162"/>
  <c r="DU9" i="162" s="1"/>
  <c r="EJ9" i="162"/>
  <c r="EK9" i="162"/>
  <c r="DX18" i="162"/>
  <c r="DU18" i="162" s="1"/>
  <c r="EJ18" i="162"/>
  <c r="DX6" i="162"/>
  <c r="DU6" i="162" s="1"/>
  <c r="EJ6" i="162"/>
  <c r="EH6" i="162" s="1"/>
  <c r="DX10" i="162"/>
  <c r="DU10" i="162" s="1"/>
  <c r="EJ10" i="162"/>
  <c r="EH10" i="162" s="1"/>
  <c r="DX12" i="162"/>
  <c r="DU12" i="162" s="1"/>
  <c r="EJ12" i="162"/>
  <c r="EH12" i="162" s="1"/>
  <c r="EK18" i="162"/>
  <c r="DX5" i="162"/>
  <c r="DU5" i="162" s="1"/>
  <c r="EJ5" i="162"/>
  <c r="DX11" i="162"/>
  <c r="DU11" i="162" s="1"/>
  <c r="EJ11" i="162"/>
  <c r="EH11" i="162" s="1"/>
  <c r="DX7" i="162"/>
  <c r="DU7" i="162" s="1"/>
  <c r="EJ7" i="162"/>
  <c r="EH7" i="162" s="1"/>
  <c r="DX15" i="162"/>
  <c r="DU15" i="162" s="1"/>
  <c r="EJ15" i="162"/>
  <c r="EH15" i="162" s="1"/>
  <c r="DX13" i="162"/>
  <c r="DU13" i="162" s="1"/>
  <c r="EJ13" i="162"/>
  <c r="EH13" i="162" s="1"/>
  <c r="EK5" i="162"/>
  <c r="DX4" i="162"/>
  <c r="DU4" i="162" s="1"/>
  <c r="EJ4" i="162"/>
  <c r="EH4" i="162" s="1"/>
  <c r="DX8" i="162"/>
  <c r="DU8" i="162" s="1"/>
  <c r="EJ8" i="162"/>
  <c r="DX16" i="162"/>
  <c r="DU16" i="162" s="1"/>
  <c r="EJ16" i="162"/>
  <c r="EH16" i="162" s="1"/>
  <c r="DX17" i="162"/>
  <c r="DU17" i="162" s="1"/>
  <c r="EJ17" i="162"/>
  <c r="EH17" i="162" s="1"/>
  <c r="EK14" i="162"/>
  <c r="EK8" i="162"/>
  <c r="EZ22" i="159"/>
  <c r="EZ22" i="48" s="1"/>
  <c r="EX22" i="48"/>
  <c r="EX51" i="159"/>
  <c r="EX51" i="48" s="1"/>
  <c r="EX46" i="159"/>
  <c r="EX46" i="48" s="1"/>
  <c r="EX54" i="159"/>
  <c r="EX54" i="48" s="1"/>
  <c r="EX40" i="159"/>
  <c r="EX40" i="48" s="1"/>
  <c r="EX50" i="159"/>
  <c r="EX44" i="159"/>
  <c r="EX44" i="48" s="1"/>
  <c r="EX52" i="159"/>
  <c r="EX52" i="48" s="1"/>
  <c r="EX48" i="159"/>
  <c r="GC18" i="159"/>
  <c r="CV18" i="48"/>
  <c r="GC9" i="159"/>
  <c r="CV9" i="48"/>
  <c r="GC15" i="159"/>
  <c r="CV15" i="48"/>
  <c r="GC5" i="159"/>
  <c r="CV5" i="48"/>
  <c r="CV22" i="159"/>
  <c r="CV22" i="48" s="1"/>
  <c r="GC16" i="159"/>
  <c r="CV16" i="48"/>
  <c r="GC7" i="159"/>
  <c r="CV7" i="48"/>
  <c r="GC8" i="159"/>
  <c r="CV8" i="48"/>
  <c r="EX50" i="48"/>
  <c r="EX48" i="48"/>
  <c r="CV14" i="48"/>
  <c r="GL18" i="159"/>
  <c r="GC11" i="159"/>
  <c r="CV11" i="48"/>
  <c r="DY15" i="107"/>
  <c r="EF13" i="107"/>
  <c r="EF11" i="107"/>
  <c r="EO5" i="161"/>
  <c r="EP6" i="161"/>
  <c r="EQ6" i="161" s="1"/>
  <c r="EP9" i="161"/>
  <c r="EQ9" i="161" s="1"/>
  <c r="EP16" i="161"/>
  <c r="EQ16" i="161" s="1"/>
  <c r="EO12" i="161"/>
  <c r="EQ12" i="161" s="1"/>
  <c r="EP15" i="161"/>
  <c r="EO15" i="161"/>
  <c r="EP14" i="161"/>
  <c r="EQ14" i="161" s="1"/>
  <c r="EK20" i="161"/>
  <c r="EH20" i="161" s="1"/>
  <c r="GN6" i="161"/>
  <c r="DX20" i="161"/>
  <c r="DU20" i="161" s="1"/>
  <c r="ET5" i="161"/>
  <c r="EP17" i="161"/>
  <c r="EQ17" i="161" s="1"/>
  <c r="GN7" i="161"/>
  <c r="GN10" i="161"/>
  <c r="EP13" i="161"/>
  <c r="EQ13" i="161" s="1"/>
  <c r="EP4" i="161"/>
  <c r="EQ4" i="161" s="1"/>
  <c r="GN4" i="161"/>
  <c r="GN15" i="161"/>
  <c r="EO10" i="161"/>
  <c r="EQ10" i="161" s="1"/>
  <c r="EO8" i="161"/>
  <c r="EP8" i="161"/>
  <c r="EP7" i="161"/>
  <c r="EO7" i="161"/>
  <c r="GN5" i="161"/>
  <c r="GN13" i="161"/>
  <c r="DX19" i="161"/>
  <c r="EK19" i="161"/>
  <c r="ET4" i="161"/>
  <c r="EI19" i="161"/>
  <c r="EQ5" i="161"/>
  <c r="EK14" i="161"/>
  <c r="ED14" i="161"/>
  <c r="EI11" i="161"/>
  <c r="EK4" i="161"/>
  <c r="ED4" i="161"/>
  <c r="EI13" i="161"/>
  <c r="ED13" i="161"/>
  <c r="EK13" i="161"/>
  <c r="EI18" i="161"/>
  <c r="EI10" i="161"/>
  <c r="EI6" i="161"/>
  <c r="EI12" i="161"/>
  <c r="EK5" i="161"/>
  <c r="ED5" i="161"/>
  <c r="EI17" i="161"/>
  <c r="ED8" i="161"/>
  <c r="EK8" i="161"/>
  <c r="EI14" i="161"/>
  <c r="EI9" i="161"/>
  <c r="ED9" i="161"/>
  <c r="EK9" i="161"/>
  <c r="EI8" i="161"/>
  <c r="EI4" i="161"/>
  <c r="DU4" i="161"/>
  <c r="EI15" i="161"/>
  <c r="ED15" i="161"/>
  <c r="EK15" i="161"/>
  <c r="ED16" i="161"/>
  <c r="EK16" i="161"/>
  <c r="EK7" i="161"/>
  <c r="ED7" i="161"/>
  <c r="EK18" i="161"/>
  <c r="ED18" i="161"/>
  <c r="ED10" i="161"/>
  <c r="EK10" i="161"/>
  <c r="ED6" i="161"/>
  <c r="EK6" i="161"/>
  <c r="EI5" i="161"/>
  <c r="EK11" i="161"/>
  <c r="ED11" i="161"/>
  <c r="ED17" i="161"/>
  <c r="EK17" i="161"/>
  <c r="EI16" i="161"/>
  <c r="EI7" i="161"/>
  <c r="ED12" i="161"/>
  <c r="EK12" i="161"/>
  <c r="EQ11" i="161"/>
  <c r="GN16" i="160"/>
  <c r="GN13" i="160"/>
  <c r="EL4" i="160"/>
  <c r="EO4" i="160" s="1"/>
  <c r="DV19" i="160"/>
  <c r="EL18" i="160"/>
  <c r="EP18" i="160" s="1"/>
  <c r="EL7" i="160"/>
  <c r="EO7" i="160" s="1"/>
  <c r="EL6" i="160"/>
  <c r="EO6" i="160" s="1"/>
  <c r="EP10" i="160"/>
  <c r="EQ10" i="160" s="1"/>
  <c r="EL12" i="160"/>
  <c r="EP12" i="160" s="1"/>
  <c r="GM12" i="160"/>
  <c r="DX19" i="160"/>
  <c r="ET4" i="160"/>
  <c r="EO19" i="160"/>
  <c r="EP19" i="160"/>
  <c r="CN44" i="48"/>
  <c r="EB8" i="160"/>
  <c r="EE8" i="160" s="1"/>
  <c r="CN52" i="48"/>
  <c r="EB16" i="160"/>
  <c r="EE16" i="160" s="1"/>
  <c r="CN40" i="48"/>
  <c r="EB4" i="160"/>
  <c r="EE4" i="160" s="1"/>
  <c r="CN43" i="48"/>
  <c r="EB7" i="160"/>
  <c r="EE7" i="160" s="1"/>
  <c r="CN46" i="48"/>
  <c r="EB10" i="160"/>
  <c r="EE10" i="160" s="1"/>
  <c r="CN42" i="48"/>
  <c r="EB6" i="160"/>
  <c r="EE6" i="160" s="1"/>
  <c r="CN51" i="48"/>
  <c r="EB15" i="160"/>
  <c r="EE15" i="160" s="1"/>
  <c r="CN54" i="48"/>
  <c r="EB18" i="160"/>
  <c r="EE18" i="160" s="1"/>
  <c r="CV53" i="160"/>
  <c r="ET17" i="160" s="1"/>
  <c r="CV48" i="160"/>
  <c r="ET12" i="160" s="1"/>
  <c r="CN48" i="48"/>
  <c r="EB12" i="160"/>
  <c r="EE12" i="160" s="1"/>
  <c r="EZ53" i="160"/>
  <c r="EZ48" i="160"/>
  <c r="CN53" i="48"/>
  <c r="EB17" i="160"/>
  <c r="EE17" i="160" s="1"/>
  <c r="EN17" i="160"/>
  <c r="EL17" i="160" s="1"/>
  <c r="GM18" i="160"/>
  <c r="GN18" i="160" s="1"/>
  <c r="EB13" i="160"/>
  <c r="EE13" i="160" s="1"/>
  <c r="EN14" i="160"/>
  <c r="EL14" i="160" s="1"/>
  <c r="EP14" i="160" s="1"/>
  <c r="EY49" i="48"/>
  <c r="GL15" i="160"/>
  <c r="CV49" i="160"/>
  <c r="ET13" i="160" s="1"/>
  <c r="CV50" i="160"/>
  <c r="ET14" i="160" s="1"/>
  <c r="CN50" i="48"/>
  <c r="EB14" i="160"/>
  <c r="EE14" i="160" s="1"/>
  <c r="EZ49" i="160"/>
  <c r="EZ50" i="160"/>
  <c r="EN13" i="160"/>
  <c r="EL13" i="160" s="1"/>
  <c r="EO13" i="160" s="1"/>
  <c r="GM15" i="160"/>
  <c r="GN15" i="160" s="1"/>
  <c r="GM14" i="160"/>
  <c r="EN11" i="160"/>
  <c r="EL11" i="160" s="1"/>
  <c r="EZ45" i="160"/>
  <c r="EZ47" i="160"/>
  <c r="CV45" i="160"/>
  <c r="ET9" i="160" s="1"/>
  <c r="CV47" i="160"/>
  <c r="ET11" i="160" s="1"/>
  <c r="EN9" i="160"/>
  <c r="EL9" i="160" s="1"/>
  <c r="CN47" i="48"/>
  <c r="EB11" i="160"/>
  <c r="EE11" i="160" s="1"/>
  <c r="EY47" i="48"/>
  <c r="GL14" i="160"/>
  <c r="EN5" i="160"/>
  <c r="EL5" i="160" s="1"/>
  <c r="EP5" i="160" s="1"/>
  <c r="CN45" i="48"/>
  <c r="EB9" i="160"/>
  <c r="EE9" i="160" s="1"/>
  <c r="EP16" i="160"/>
  <c r="EQ16" i="160" s="1"/>
  <c r="DW20" i="160"/>
  <c r="EY41" i="48"/>
  <c r="GL12" i="160"/>
  <c r="EO20" i="160"/>
  <c r="EP20" i="160"/>
  <c r="EZ41" i="160"/>
  <c r="CV41" i="160"/>
  <c r="CN41" i="48"/>
  <c r="EB5" i="160"/>
  <c r="EE5" i="160" s="1"/>
  <c r="DZ20" i="160"/>
  <c r="EC20" i="160" s="1"/>
  <c r="EA20" i="160" s="1"/>
  <c r="ED20" i="160" s="1"/>
  <c r="FJ21" i="160"/>
  <c r="FJ23" i="160"/>
  <c r="GC21" i="160"/>
  <c r="EO15" i="160"/>
  <c r="EP15" i="160"/>
  <c r="DZ6" i="160"/>
  <c r="EC6" i="160" s="1"/>
  <c r="DL6" i="160"/>
  <c r="DW6" i="160"/>
  <c r="DZ12" i="160"/>
  <c r="EC12" i="160" s="1"/>
  <c r="DL12" i="160"/>
  <c r="DW12" i="160"/>
  <c r="DZ17" i="160"/>
  <c r="EC17" i="160" s="1"/>
  <c r="GM10" i="160"/>
  <c r="DL17" i="160"/>
  <c r="DW17" i="160"/>
  <c r="GL6" i="160"/>
  <c r="GL9" i="160"/>
  <c r="CV39" i="160"/>
  <c r="DX18" i="160" s="1"/>
  <c r="CV38" i="160"/>
  <c r="DX17" i="160" s="1"/>
  <c r="CV37" i="160"/>
  <c r="DX16" i="160" s="1"/>
  <c r="CV36" i="160"/>
  <c r="DX15" i="160" s="1"/>
  <c r="CV31" i="160"/>
  <c r="DX10" i="160" s="1"/>
  <c r="CV30" i="160"/>
  <c r="DX9" i="160" s="1"/>
  <c r="CV29" i="160"/>
  <c r="DX8" i="160" s="1"/>
  <c r="CV35" i="160"/>
  <c r="DX14" i="160" s="1"/>
  <c r="CV34" i="160"/>
  <c r="DX13" i="160" s="1"/>
  <c r="CV33" i="160"/>
  <c r="DX12" i="160" s="1"/>
  <c r="CV32" i="160"/>
  <c r="DX11" i="160" s="1"/>
  <c r="CV28" i="160"/>
  <c r="DX7" i="160" s="1"/>
  <c r="CV27" i="160"/>
  <c r="DX6" i="160" s="1"/>
  <c r="CV26" i="160"/>
  <c r="DX5" i="160" s="1"/>
  <c r="CV25" i="160"/>
  <c r="DX4" i="160" s="1"/>
  <c r="GC23" i="160"/>
  <c r="EZ39" i="160"/>
  <c r="EZ36" i="160"/>
  <c r="EZ30" i="160"/>
  <c r="EZ29" i="160"/>
  <c r="EZ35" i="160"/>
  <c r="EZ38" i="160"/>
  <c r="EZ37" i="160"/>
  <c r="EZ34" i="160"/>
  <c r="EZ33" i="160"/>
  <c r="EZ31" i="160"/>
  <c r="EZ28" i="160"/>
  <c r="EZ27" i="160"/>
  <c r="EZ26" i="160"/>
  <c r="EZ25" i="160"/>
  <c r="EZ32" i="160"/>
  <c r="DZ7" i="160"/>
  <c r="EC7" i="160" s="1"/>
  <c r="GM5" i="160"/>
  <c r="DL7" i="160"/>
  <c r="DW7" i="160"/>
  <c r="DZ9" i="160"/>
  <c r="EC9" i="160" s="1"/>
  <c r="GM6" i="160"/>
  <c r="DL9" i="160"/>
  <c r="DW9" i="160"/>
  <c r="DZ13" i="160"/>
  <c r="EC13" i="160" s="1"/>
  <c r="GM8" i="160"/>
  <c r="DL13" i="160"/>
  <c r="DW13" i="160"/>
  <c r="DZ18" i="160"/>
  <c r="EC18" i="160" s="1"/>
  <c r="DL18" i="160"/>
  <c r="DW18" i="160"/>
  <c r="GL5" i="160"/>
  <c r="GL8" i="160"/>
  <c r="EO8" i="160"/>
  <c r="EP8" i="160"/>
  <c r="DZ4" i="160"/>
  <c r="EC4" i="160" s="1"/>
  <c r="DL4" i="160"/>
  <c r="DW4" i="160"/>
  <c r="DZ8" i="160"/>
  <c r="EC8" i="160" s="1"/>
  <c r="DL8" i="160"/>
  <c r="DW8" i="160"/>
  <c r="DZ16" i="160"/>
  <c r="EC16" i="160" s="1"/>
  <c r="DL16" i="160"/>
  <c r="DW16" i="160"/>
  <c r="DZ14" i="160"/>
  <c r="EC14" i="160" s="1"/>
  <c r="DL14" i="160"/>
  <c r="DW14" i="160"/>
  <c r="GL10" i="160"/>
  <c r="ED19" i="160"/>
  <c r="EK19" i="160"/>
  <c r="GM4" i="160"/>
  <c r="DZ5" i="160"/>
  <c r="EC5" i="160" s="1"/>
  <c r="DL5" i="160"/>
  <c r="DW5" i="160"/>
  <c r="DZ10" i="160"/>
  <c r="EC10" i="160" s="1"/>
  <c r="DL10" i="160"/>
  <c r="DW10" i="160"/>
  <c r="GM7" i="160"/>
  <c r="DZ11" i="160"/>
  <c r="EC11" i="160" s="1"/>
  <c r="DL11" i="160"/>
  <c r="DW11" i="160"/>
  <c r="DZ15" i="160"/>
  <c r="EC15" i="160" s="1"/>
  <c r="GM9" i="160"/>
  <c r="DL15" i="160"/>
  <c r="DW15" i="160"/>
  <c r="GL4" i="160"/>
  <c r="GL7" i="160"/>
  <c r="DJ14" i="159"/>
  <c r="I21" i="159"/>
  <c r="I41" i="159"/>
  <c r="I22" i="159"/>
  <c r="O47" i="159"/>
  <c r="BI49" i="159"/>
  <c r="Y47" i="159"/>
  <c r="AG42" i="159"/>
  <c r="FJ8" i="159"/>
  <c r="DE8" i="159"/>
  <c r="DG16" i="159"/>
  <c r="Y42" i="159"/>
  <c r="BI47" i="159"/>
  <c r="BI53" i="159"/>
  <c r="K42" i="159"/>
  <c r="BI41" i="159"/>
  <c r="BI43" i="159"/>
  <c r="BI42" i="159"/>
  <c r="O53" i="159"/>
  <c r="M47" i="159"/>
  <c r="DJ11" i="159" s="1"/>
  <c r="AA47" i="159"/>
  <c r="AG47" i="159"/>
  <c r="AG45" i="159"/>
  <c r="AG53" i="159"/>
  <c r="AG41" i="159"/>
  <c r="E22" i="159"/>
  <c r="DG22" i="159" s="1"/>
  <c r="CX22" i="159" s="1"/>
  <c r="GD22" i="159" s="1"/>
  <c r="DE12" i="159"/>
  <c r="DG8" i="159"/>
  <c r="W45" i="159"/>
  <c r="Y40" i="159"/>
  <c r="Y45" i="159"/>
  <c r="Y53" i="159"/>
  <c r="Y46" i="159"/>
  <c r="Y44" i="159"/>
  <c r="Y49" i="159"/>
  <c r="FN22" i="159"/>
  <c r="CK54" i="159"/>
  <c r="DG18" i="159"/>
  <c r="DT18" i="159"/>
  <c r="CK51" i="159"/>
  <c r="CK52" i="159"/>
  <c r="DH16" i="159" s="1"/>
  <c r="FT22" i="159"/>
  <c r="CK40" i="159"/>
  <c r="EM19" i="159" s="1"/>
  <c r="EL19" i="159" s="1"/>
  <c r="EO19" i="159" s="1"/>
  <c r="K53" i="159"/>
  <c r="K47" i="159"/>
  <c r="S47" i="159"/>
  <c r="S42" i="159"/>
  <c r="BK47" i="159"/>
  <c r="BK49" i="159"/>
  <c r="BK41" i="159"/>
  <c r="BK42" i="159"/>
  <c r="BK53" i="159"/>
  <c r="BK43" i="159"/>
  <c r="W47" i="159"/>
  <c r="W49" i="159"/>
  <c r="W43" i="159"/>
  <c r="W42" i="159"/>
  <c r="CN22" i="159"/>
  <c r="CN51" i="159" s="1"/>
  <c r="EB15" i="159" s="1"/>
  <c r="G44" i="159"/>
  <c r="AE45" i="159"/>
  <c r="AE49" i="159"/>
  <c r="AA41" i="159"/>
  <c r="AA49" i="159"/>
  <c r="AA45" i="159"/>
  <c r="AA53" i="159"/>
  <c r="K43" i="159"/>
  <c r="K41" i="159"/>
  <c r="K45" i="159"/>
  <c r="G54" i="159"/>
  <c r="W41" i="159"/>
  <c r="FI22" i="159"/>
  <c r="G48" i="159"/>
  <c r="G51" i="159"/>
  <c r="FA22" i="159"/>
  <c r="DA22" i="159" s="1"/>
  <c r="GG22" i="159" s="1"/>
  <c r="G40" i="159"/>
  <c r="G46" i="159"/>
  <c r="G50" i="159"/>
  <c r="CK46" i="159"/>
  <c r="DH10" i="159" s="1"/>
  <c r="GC6" i="159"/>
  <c r="AE41" i="159"/>
  <c r="AE53" i="159"/>
  <c r="S43" i="159"/>
  <c r="S53" i="159"/>
  <c r="S49" i="159"/>
  <c r="S45" i="159"/>
  <c r="I43" i="159"/>
  <c r="I49" i="159"/>
  <c r="I42" i="159"/>
  <c r="I45" i="159"/>
  <c r="AI51" i="159"/>
  <c r="AI44" i="159"/>
  <c r="M49" i="159"/>
  <c r="DJ13" i="159" s="1"/>
  <c r="M53" i="159"/>
  <c r="DJ17" i="159" s="1"/>
  <c r="AI48" i="159"/>
  <c r="AI52" i="159"/>
  <c r="M45" i="159"/>
  <c r="DJ9" i="159" s="1"/>
  <c r="AI46" i="159"/>
  <c r="AI50" i="159"/>
  <c r="AI40" i="159"/>
  <c r="AI47" i="159"/>
  <c r="FJ18" i="159"/>
  <c r="DH12" i="159"/>
  <c r="CK50" i="159"/>
  <c r="DH14" i="159" s="1"/>
  <c r="CK47" i="159"/>
  <c r="DH11" i="159" s="1"/>
  <c r="DH23" i="159"/>
  <c r="CZ23" i="159" s="1"/>
  <c r="GF23" i="159" s="1"/>
  <c r="CK44" i="159"/>
  <c r="DH8" i="159" s="1"/>
  <c r="G21" i="159"/>
  <c r="AI45" i="159"/>
  <c r="AI41" i="159"/>
  <c r="DH15" i="159"/>
  <c r="CK53" i="159"/>
  <c r="DH17" i="159" s="1"/>
  <c r="CK42" i="159"/>
  <c r="DH6" i="159" s="1"/>
  <c r="CK45" i="159"/>
  <c r="DH9" i="159" s="1"/>
  <c r="CK43" i="159"/>
  <c r="DH7" i="159" s="1"/>
  <c r="CK49" i="159"/>
  <c r="DH13" i="159" s="1"/>
  <c r="M41" i="159"/>
  <c r="DJ5" i="159" s="1"/>
  <c r="M43" i="159"/>
  <c r="DJ7" i="159" s="1"/>
  <c r="O49" i="159"/>
  <c r="AI42" i="159"/>
  <c r="AI53" i="159"/>
  <c r="AI43" i="159"/>
  <c r="DH18" i="159"/>
  <c r="BM42" i="159"/>
  <c r="U42" i="159"/>
  <c r="U45" i="159"/>
  <c r="O43" i="159"/>
  <c r="BM43" i="159"/>
  <c r="Y43" i="159"/>
  <c r="EY41" i="159"/>
  <c r="O42" i="159"/>
  <c r="O45" i="159"/>
  <c r="EY42" i="159"/>
  <c r="AE42" i="159"/>
  <c r="GL16" i="159"/>
  <c r="CK41" i="159"/>
  <c r="EM20" i="159" s="1"/>
  <c r="EL20" i="159" s="1"/>
  <c r="EO20" i="159" s="1"/>
  <c r="I38" i="159"/>
  <c r="I37" i="159"/>
  <c r="I39" i="159"/>
  <c r="I31" i="159"/>
  <c r="I30" i="159"/>
  <c r="I29" i="159"/>
  <c r="I28" i="159"/>
  <c r="I27" i="159"/>
  <c r="I36" i="159"/>
  <c r="I32" i="159"/>
  <c r="I33" i="159"/>
  <c r="I34" i="159"/>
  <c r="I26" i="159"/>
  <c r="I25" i="159"/>
  <c r="I35" i="159"/>
  <c r="EY38" i="159"/>
  <c r="EY37" i="159"/>
  <c r="EY39" i="159"/>
  <c r="EY34" i="159"/>
  <c r="EY33" i="159"/>
  <c r="EY32" i="159"/>
  <c r="EY31" i="159"/>
  <c r="EY36" i="159"/>
  <c r="EY30" i="159"/>
  <c r="EY29" i="159"/>
  <c r="EY28" i="159"/>
  <c r="EY35" i="159"/>
  <c r="EY27" i="159"/>
  <c r="EY26" i="159"/>
  <c r="EY25" i="159"/>
  <c r="DH21" i="159"/>
  <c r="CZ21" i="159" s="1"/>
  <c r="GF21" i="159" s="1"/>
  <c r="FT21" i="159"/>
  <c r="AC23" i="159"/>
  <c r="AC47" i="159" s="1"/>
  <c r="AC21" i="159"/>
  <c r="EX4" i="159"/>
  <c r="M39" i="159"/>
  <c r="M36" i="159"/>
  <c r="M35" i="159"/>
  <c r="M34" i="159"/>
  <c r="M33" i="159"/>
  <c r="M32" i="159"/>
  <c r="M37" i="159"/>
  <c r="M31" i="159"/>
  <c r="M29" i="159"/>
  <c r="M26" i="159"/>
  <c r="M25" i="159"/>
  <c r="M38" i="159"/>
  <c r="M28" i="159"/>
  <c r="M30" i="159"/>
  <c r="M27" i="159"/>
  <c r="CN23" i="159"/>
  <c r="CN41" i="159" s="1"/>
  <c r="BM36" i="159"/>
  <c r="BM39" i="159"/>
  <c r="BM38" i="159"/>
  <c r="BM35" i="159"/>
  <c r="BM31" i="159"/>
  <c r="BM30" i="159"/>
  <c r="BM29" i="159"/>
  <c r="BM28" i="159"/>
  <c r="BM27" i="159"/>
  <c r="BM37" i="159"/>
  <c r="BM32" i="159"/>
  <c r="BM33" i="159"/>
  <c r="BM26" i="159"/>
  <c r="BM25" i="159"/>
  <c r="BM34" i="159"/>
  <c r="BI36" i="159"/>
  <c r="BI39" i="159"/>
  <c r="BI35" i="159"/>
  <c r="BI34" i="159"/>
  <c r="BI33" i="159"/>
  <c r="BI32" i="159"/>
  <c r="BI37" i="159"/>
  <c r="BI31" i="159"/>
  <c r="BI29" i="159"/>
  <c r="BI27" i="159"/>
  <c r="BI26" i="159"/>
  <c r="BI25" i="159"/>
  <c r="BI38" i="159"/>
  <c r="BI30" i="159"/>
  <c r="BI28" i="159"/>
  <c r="FJ9" i="159"/>
  <c r="AE39" i="159"/>
  <c r="AE38" i="159"/>
  <c r="AE36" i="159"/>
  <c r="AE35" i="159"/>
  <c r="AE34" i="159"/>
  <c r="AE33" i="159"/>
  <c r="AE32" i="159"/>
  <c r="AE37" i="159"/>
  <c r="AE31" i="159"/>
  <c r="AE30" i="159"/>
  <c r="AE29" i="159"/>
  <c r="AE28" i="159"/>
  <c r="AE27" i="159"/>
  <c r="AE26" i="159"/>
  <c r="AE25" i="159"/>
  <c r="FN21" i="159"/>
  <c r="EF8" i="159"/>
  <c r="DE11" i="159"/>
  <c r="FG11" i="159"/>
  <c r="FJ11" i="159" s="1"/>
  <c r="DT11" i="159"/>
  <c r="DG11" i="159"/>
  <c r="DY10" i="159"/>
  <c r="EF10" i="159"/>
  <c r="CK36" i="159"/>
  <c r="DI15" i="159" s="1"/>
  <c r="CK39" i="159"/>
  <c r="EM18" i="159" s="1"/>
  <c r="CK31" i="159"/>
  <c r="DI10" i="159" s="1"/>
  <c r="CK35" i="159"/>
  <c r="DI14" i="159" s="1"/>
  <c r="CK38" i="159"/>
  <c r="DI17" i="159" s="1"/>
  <c r="CK37" i="159"/>
  <c r="DI16" i="159" s="1"/>
  <c r="CK34" i="159"/>
  <c r="DI13" i="159" s="1"/>
  <c r="CK33" i="159"/>
  <c r="DI12" i="159" s="1"/>
  <c r="CK32" i="159"/>
  <c r="DI11" i="159" s="1"/>
  <c r="CK28" i="159"/>
  <c r="DI7" i="159" s="1"/>
  <c r="CK29" i="159"/>
  <c r="DI8" i="159" s="1"/>
  <c r="CK27" i="159"/>
  <c r="DI6" i="159" s="1"/>
  <c r="CK25" i="159"/>
  <c r="DI4" i="159" s="1"/>
  <c r="CK26" i="159"/>
  <c r="DI5" i="159" s="1"/>
  <c r="CK30" i="159"/>
  <c r="DI9" i="159" s="1"/>
  <c r="FT23" i="159"/>
  <c r="E23" i="159"/>
  <c r="E47" i="159" s="1"/>
  <c r="E21" i="159"/>
  <c r="DE4" i="159"/>
  <c r="FG4" i="159"/>
  <c r="FJ4" i="159" s="1"/>
  <c r="DG4" i="159"/>
  <c r="DT4" i="159"/>
  <c r="BK38" i="159"/>
  <c r="BK37" i="159"/>
  <c r="BK39" i="159"/>
  <c r="BK34" i="159"/>
  <c r="BK33" i="159"/>
  <c r="BK32" i="159"/>
  <c r="BK31" i="159"/>
  <c r="BK30" i="159"/>
  <c r="BK29" i="159"/>
  <c r="BK36" i="159"/>
  <c r="BK28" i="159"/>
  <c r="BK35" i="159"/>
  <c r="BK27" i="159"/>
  <c r="BK26" i="159"/>
  <c r="BK25" i="159"/>
  <c r="CN21" i="159"/>
  <c r="AA37" i="159"/>
  <c r="AA39" i="159"/>
  <c r="AA38" i="159"/>
  <c r="AA36" i="159"/>
  <c r="AA35" i="159"/>
  <c r="AA34" i="159"/>
  <c r="AA33" i="159"/>
  <c r="AA32" i="159"/>
  <c r="AA28" i="159"/>
  <c r="AA31" i="159"/>
  <c r="AA29" i="159"/>
  <c r="AA27" i="159"/>
  <c r="AA26" i="159"/>
  <c r="AA25" i="159"/>
  <c r="AA30" i="159"/>
  <c r="K37" i="159"/>
  <c r="K39" i="159"/>
  <c r="K38" i="159"/>
  <c r="K36" i="159"/>
  <c r="K35" i="159"/>
  <c r="K34" i="159"/>
  <c r="K33" i="159"/>
  <c r="K32" i="159"/>
  <c r="K31" i="159"/>
  <c r="K29" i="159"/>
  <c r="K26" i="159"/>
  <c r="K25" i="159"/>
  <c r="K28" i="159"/>
  <c r="K30" i="159"/>
  <c r="K27" i="159"/>
  <c r="Y38" i="159"/>
  <c r="Y37" i="159"/>
  <c r="Y39" i="159"/>
  <c r="Y31" i="159"/>
  <c r="Y30" i="159"/>
  <c r="Y29" i="159"/>
  <c r="Y28" i="159"/>
  <c r="Y27" i="159"/>
  <c r="Y36" i="159"/>
  <c r="Y34" i="159"/>
  <c r="Y35" i="159"/>
  <c r="FM23" i="159"/>
  <c r="Y32" i="159"/>
  <c r="Y26" i="159"/>
  <c r="Y25" i="159"/>
  <c r="Y33" i="159"/>
  <c r="CV10" i="159"/>
  <c r="CV10" i="48" s="1"/>
  <c r="FJ10" i="159"/>
  <c r="FR21" i="159"/>
  <c r="W39" i="159"/>
  <c r="W38" i="159"/>
  <c r="W35" i="159"/>
  <c r="W34" i="159"/>
  <c r="W33" i="159"/>
  <c r="W32" i="159"/>
  <c r="W31" i="159"/>
  <c r="W30" i="159"/>
  <c r="W29" i="159"/>
  <c r="W37" i="159"/>
  <c r="W28" i="159"/>
  <c r="W36" i="159"/>
  <c r="W27" i="159"/>
  <c r="FK23" i="159"/>
  <c r="W26" i="159"/>
  <c r="W25" i="159"/>
  <c r="DY8" i="159"/>
  <c r="EB19" i="159"/>
  <c r="GC13" i="159"/>
  <c r="U39" i="159"/>
  <c r="U37" i="159"/>
  <c r="U36" i="159"/>
  <c r="U38" i="159"/>
  <c r="U35" i="159"/>
  <c r="U34" i="159"/>
  <c r="U33" i="159"/>
  <c r="U32" i="159"/>
  <c r="U30" i="159"/>
  <c r="U26" i="159"/>
  <c r="U25" i="159"/>
  <c r="U31" i="159"/>
  <c r="U29" i="159"/>
  <c r="U28" i="159"/>
  <c r="U27" i="159"/>
  <c r="Q38" i="159"/>
  <c r="Q37" i="159"/>
  <c r="Q31" i="159"/>
  <c r="Q30" i="159"/>
  <c r="Q29" i="159"/>
  <c r="Q28" i="159"/>
  <c r="Q27" i="159"/>
  <c r="Q36" i="159"/>
  <c r="Q39" i="159"/>
  <c r="Q33" i="159"/>
  <c r="Q34" i="159"/>
  <c r="Q35" i="159"/>
  <c r="Q26" i="159"/>
  <c r="Q25" i="159"/>
  <c r="Q32" i="159"/>
  <c r="FI16" i="159"/>
  <c r="FJ16" i="159" s="1"/>
  <c r="DT10" i="159"/>
  <c r="FR23" i="159"/>
  <c r="EY21" i="159"/>
  <c r="DT8" i="159"/>
  <c r="EB20" i="159"/>
  <c r="GC17" i="159"/>
  <c r="FI12" i="159"/>
  <c r="FJ12" i="159" s="1"/>
  <c r="DG12" i="159"/>
  <c r="AK36" i="159"/>
  <c r="AK39" i="159"/>
  <c r="AK37" i="159"/>
  <c r="AK38" i="159"/>
  <c r="AK35" i="159"/>
  <c r="AK34" i="159"/>
  <c r="AK33" i="159"/>
  <c r="AK32" i="159"/>
  <c r="AK30" i="159"/>
  <c r="AK28" i="159"/>
  <c r="AK26" i="159"/>
  <c r="AK25" i="159"/>
  <c r="AK27" i="159"/>
  <c r="AK31" i="159"/>
  <c r="AK29" i="159"/>
  <c r="G23" i="159"/>
  <c r="G47" i="159" s="1"/>
  <c r="DE15" i="159"/>
  <c r="FG15" i="159"/>
  <c r="FJ15" i="159" s="1"/>
  <c r="DG15" i="159"/>
  <c r="DT15" i="159"/>
  <c r="AI37" i="159"/>
  <c r="AI36" i="159"/>
  <c r="AI39" i="159"/>
  <c r="AI38" i="159"/>
  <c r="AI35" i="159"/>
  <c r="AI34" i="159"/>
  <c r="AI33" i="159"/>
  <c r="AI32" i="159"/>
  <c r="AI30" i="159"/>
  <c r="AI28" i="159"/>
  <c r="AI26" i="159"/>
  <c r="AI25" i="159"/>
  <c r="AI27" i="159"/>
  <c r="AI31" i="159"/>
  <c r="AI29" i="159"/>
  <c r="S37" i="159"/>
  <c r="S36" i="159"/>
  <c r="S39" i="159"/>
  <c r="S38" i="159"/>
  <c r="S35" i="159"/>
  <c r="S34" i="159"/>
  <c r="S33" i="159"/>
  <c r="S32" i="159"/>
  <c r="S27" i="159"/>
  <c r="S30" i="159"/>
  <c r="S26" i="159"/>
  <c r="S25" i="159"/>
  <c r="S31" i="159"/>
  <c r="S29" i="159"/>
  <c r="S28" i="159"/>
  <c r="AG38" i="159"/>
  <c r="AG37" i="159"/>
  <c r="AG31" i="159"/>
  <c r="AG30" i="159"/>
  <c r="AG29" i="159"/>
  <c r="AG28" i="159"/>
  <c r="AG27" i="159"/>
  <c r="AG35" i="159"/>
  <c r="AG36" i="159"/>
  <c r="AG32" i="159"/>
  <c r="AG33" i="159"/>
  <c r="AG26" i="159"/>
  <c r="AG25" i="159"/>
  <c r="AG39" i="159"/>
  <c r="AG34" i="159"/>
  <c r="DT16" i="159"/>
  <c r="GC12" i="159"/>
  <c r="FN4" i="159"/>
  <c r="O39" i="159"/>
  <c r="O38" i="159"/>
  <c r="O35" i="159"/>
  <c r="O34" i="159"/>
  <c r="O33" i="159"/>
  <c r="O32" i="159"/>
  <c r="O37" i="159"/>
  <c r="O31" i="159"/>
  <c r="O30" i="159"/>
  <c r="O29" i="159"/>
  <c r="O28" i="159"/>
  <c r="O27" i="159"/>
  <c r="O36" i="159"/>
  <c r="O26" i="159"/>
  <c r="O25" i="159"/>
  <c r="FJ5" i="159"/>
  <c r="D39" i="107"/>
  <c r="U51" i="107"/>
  <c r="AY41" i="107"/>
  <c r="AY45" i="107"/>
  <c r="AY49" i="107"/>
  <c r="AY53" i="107"/>
  <c r="AY46" i="107"/>
  <c r="AY48" i="107"/>
  <c r="AY54" i="107"/>
  <c r="AY42" i="107"/>
  <c r="AY44" i="107"/>
  <c r="AY51" i="107"/>
  <c r="AY40" i="107"/>
  <c r="AY47" i="107"/>
  <c r="AY43" i="107"/>
  <c r="AY50" i="107"/>
  <c r="AY52" i="107"/>
  <c r="CC30" i="107"/>
  <c r="CC51" i="107"/>
  <c r="CC53" i="107"/>
  <c r="CC52" i="107"/>
  <c r="CC50" i="107"/>
  <c r="CC54" i="107"/>
  <c r="AQ28" i="107"/>
  <c r="AQ32" i="107"/>
  <c r="AQ36" i="107"/>
  <c r="AQ25" i="107"/>
  <c r="AQ29" i="107"/>
  <c r="AQ33" i="107"/>
  <c r="AQ37" i="107"/>
  <c r="AQ26" i="107"/>
  <c r="AQ30" i="107"/>
  <c r="AQ39" i="107"/>
  <c r="AQ27" i="107"/>
  <c r="AQ38" i="107"/>
  <c r="AQ31" i="107"/>
  <c r="AQ35" i="107"/>
  <c r="AQ34" i="107"/>
  <c r="CC26" i="107"/>
  <c r="CC35" i="107"/>
  <c r="CC37" i="107"/>
  <c r="CC38" i="107"/>
  <c r="CC36" i="107"/>
  <c r="CC39" i="107"/>
  <c r="CU26" i="107"/>
  <c r="CU37" i="107"/>
  <c r="CU38" i="107"/>
  <c r="CU35" i="107"/>
  <c r="CU36" i="107"/>
  <c r="CU39" i="107"/>
  <c r="AM43" i="107"/>
  <c r="AM47" i="107"/>
  <c r="AM51" i="107"/>
  <c r="AM44" i="107"/>
  <c r="AM46" i="107"/>
  <c r="AM53" i="107"/>
  <c r="AM42" i="107"/>
  <c r="AM49" i="107"/>
  <c r="AM45" i="107"/>
  <c r="AM52" i="107"/>
  <c r="AM54" i="107"/>
  <c r="AM41" i="107"/>
  <c r="AM48" i="107"/>
  <c r="AM50" i="107"/>
  <c r="AM40" i="107"/>
  <c r="AU43" i="107"/>
  <c r="AU47" i="107"/>
  <c r="AU51" i="107"/>
  <c r="AU42" i="107"/>
  <c r="AU49" i="107"/>
  <c r="AU45" i="107"/>
  <c r="AU52" i="107"/>
  <c r="AU41" i="107"/>
  <c r="AU48" i="107"/>
  <c r="AU50" i="107"/>
  <c r="AU54" i="107"/>
  <c r="AU44" i="107"/>
  <c r="AU46" i="107"/>
  <c r="AU53" i="107"/>
  <c r="AU40" i="107"/>
  <c r="BC43" i="107"/>
  <c r="BC47" i="107"/>
  <c r="BC51" i="107"/>
  <c r="BC45" i="107"/>
  <c r="BC52" i="107"/>
  <c r="BC41" i="107"/>
  <c r="BC48" i="107"/>
  <c r="BC50" i="107"/>
  <c r="BC44" i="107"/>
  <c r="BC46" i="107"/>
  <c r="BC53" i="107"/>
  <c r="BC54" i="107"/>
  <c r="BC42" i="107"/>
  <c r="BC49" i="107"/>
  <c r="BC40" i="107"/>
  <c r="BQ51" i="107"/>
  <c r="BQ53" i="107"/>
  <c r="BQ50" i="107"/>
  <c r="BQ54" i="107"/>
  <c r="BQ52" i="107"/>
  <c r="BY51" i="107"/>
  <c r="BY53" i="107"/>
  <c r="BY54" i="107"/>
  <c r="BY52" i="107"/>
  <c r="BY50" i="107"/>
  <c r="CG51" i="107"/>
  <c r="CG53" i="107"/>
  <c r="CG50" i="107"/>
  <c r="CG54" i="107"/>
  <c r="CG52" i="107"/>
  <c r="CO52" i="107"/>
  <c r="CO51" i="107"/>
  <c r="CO50" i="107"/>
  <c r="CO54" i="107"/>
  <c r="CO53" i="107"/>
  <c r="CS52" i="107"/>
  <c r="CS51" i="107"/>
  <c r="CS54" i="107"/>
  <c r="CS53" i="107"/>
  <c r="CS50" i="107"/>
  <c r="AM26" i="107"/>
  <c r="AM30" i="107"/>
  <c r="AM34" i="107"/>
  <c r="AM38" i="107"/>
  <c r="AM27" i="107"/>
  <c r="AM31" i="107"/>
  <c r="AM35" i="107"/>
  <c r="AM39" i="107"/>
  <c r="AM28" i="107"/>
  <c r="AM33" i="107"/>
  <c r="AM32" i="107"/>
  <c r="AM25" i="107"/>
  <c r="AM37" i="107"/>
  <c r="AM29" i="107"/>
  <c r="AM36" i="107"/>
  <c r="AU26" i="107"/>
  <c r="AU30" i="107"/>
  <c r="AU34" i="107"/>
  <c r="AU38" i="107"/>
  <c r="AU27" i="107"/>
  <c r="AU31" i="107"/>
  <c r="AU35" i="107"/>
  <c r="AU39" i="107"/>
  <c r="AU28" i="107"/>
  <c r="AU29" i="107"/>
  <c r="AU37" i="107"/>
  <c r="AU36" i="107"/>
  <c r="AU33" i="107"/>
  <c r="AU32" i="107"/>
  <c r="AU25" i="107"/>
  <c r="BC26" i="107"/>
  <c r="BC30" i="107"/>
  <c r="BC34" i="107"/>
  <c r="BC38" i="107"/>
  <c r="BC27" i="107"/>
  <c r="BC31" i="107"/>
  <c r="BC35" i="107"/>
  <c r="BC39" i="107"/>
  <c r="BC28" i="107"/>
  <c r="BC33" i="107"/>
  <c r="BC29" i="107"/>
  <c r="BC32" i="107"/>
  <c r="BC25" i="107"/>
  <c r="BC37" i="107"/>
  <c r="BC36" i="107"/>
  <c r="BQ35" i="107"/>
  <c r="BQ37" i="107"/>
  <c r="BQ39" i="107"/>
  <c r="BQ38" i="107"/>
  <c r="BQ36" i="107"/>
  <c r="BY35" i="107"/>
  <c r="BY37" i="107"/>
  <c r="BY38" i="107"/>
  <c r="BY36" i="107"/>
  <c r="BY39" i="107"/>
  <c r="CG35" i="107"/>
  <c r="CG37" i="107"/>
  <c r="CG38" i="107"/>
  <c r="CG36" i="107"/>
  <c r="CG39" i="107"/>
  <c r="CO26" i="107"/>
  <c r="CO36" i="107"/>
  <c r="CO39" i="107"/>
  <c r="CO35" i="107"/>
  <c r="CO38" i="107"/>
  <c r="CO37" i="107"/>
  <c r="CS26" i="107"/>
  <c r="CS39" i="107"/>
  <c r="CS36" i="107"/>
  <c r="CS35" i="107"/>
  <c r="CS37" i="107"/>
  <c r="CS38" i="107"/>
  <c r="D37" i="107"/>
  <c r="D52" i="107"/>
  <c r="FF21" i="107"/>
  <c r="DD7" i="107"/>
  <c r="DD12" i="107"/>
  <c r="DD17" i="107"/>
  <c r="DD5" i="107"/>
  <c r="DD8" i="107"/>
  <c r="DD11" i="107"/>
  <c r="DD14" i="107"/>
  <c r="DD6" i="107"/>
  <c r="DD13" i="107"/>
  <c r="DD16" i="107"/>
  <c r="DD9" i="107"/>
  <c r="DD10" i="107"/>
  <c r="DD15" i="107"/>
  <c r="DD18" i="107"/>
  <c r="DD4" i="107"/>
  <c r="BG41" i="107"/>
  <c r="BG45" i="107"/>
  <c r="BG49" i="107"/>
  <c r="BG53" i="107"/>
  <c r="BG42" i="107"/>
  <c r="BG44" i="107"/>
  <c r="BG51" i="107"/>
  <c r="BG54" i="107"/>
  <c r="BG47" i="107"/>
  <c r="BG40" i="107"/>
  <c r="BG43" i="107"/>
  <c r="BG50" i="107"/>
  <c r="BG52" i="107"/>
  <c r="BG46" i="107"/>
  <c r="BG48" i="107"/>
  <c r="FS22" i="107"/>
  <c r="CJ50" i="107"/>
  <c r="CJ51" i="107"/>
  <c r="CJ53" i="107"/>
  <c r="CJ52" i="107"/>
  <c r="GB22" i="107"/>
  <c r="CU50" i="107"/>
  <c r="CU54" i="107"/>
  <c r="CU52" i="107"/>
  <c r="CU51" i="107"/>
  <c r="CU53" i="107"/>
  <c r="BG28" i="107"/>
  <c r="BG32" i="107"/>
  <c r="BG36" i="107"/>
  <c r="BG25" i="107"/>
  <c r="BG29" i="107"/>
  <c r="BG33" i="107"/>
  <c r="BG37" i="107"/>
  <c r="BG26" i="107"/>
  <c r="BG30" i="107"/>
  <c r="BG31" i="107"/>
  <c r="BG39" i="107"/>
  <c r="BG38" i="107"/>
  <c r="BG35" i="107"/>
  <c r="BG27" i="107"/>
  <c r="BG34" i="107"/>
  <c r="CJ26" i="107"/>
  <c r="CJ38" i="107"/>
  <c r="CJ37" i="107"/>
  <c r="CJ39" i="107"/>
  <c r="CJ36" i="107"/>
  <c r="CJ35" i="107"/>
  <c r="Q44" i="107"/>
  <c r="Q48" i="107"/>
  <c r="Q52" i="107"/>
  <c r="Q41" i="107"/>
  <c r="Q45" i="107"/>
  <c r="Q49" i="107"/>
  <c r="Q53" i="107"/>
  <c r="Q42" i="107"/>
  <c r="Q46" i="107"/>
  <c r="Q50" i="107"/>
  <c r="Q54" i="107"/>
  <c r="AI41" i="107"/>
  <c r="AI45" i="107"/>
  <c r="AI49" i="107"/>
  <c r="AI53" i="107"/>
  <c r="AI47" i="107"/>
  <c r="AI54" i="107"/>
  <c r="AI43" i="107"/>
  <c r="AI50" i="107"/>
  <c r="AI52" i="107"/>
  <c r="AI40" i="107"/>
  <c r="AI46" i="107"/>
  <c r="AI48" i="107"/>
  <c r="AI42" i="107"/>
  <c r="AI44" i="107"/>
  <c r="AI51" i="107"/>
  <c r="AO42" i="107"/>
  <c r="AO46" i="107"/>
  <c r="AO50" i="107"/>
  <c r="AO41" i="107"/>
  <c r="AO48" i="107"/>
  <c r="AO44" i="107"/>
  <c r="AO51" i="107"/>
  <c r="AO53" i="107"/>
  <c r="AO47" i="107"/>
  <c r="AO49" i="107"/>
  <c r="AO40" i="107"/>
  <c r="AO43" i="107"/>
  <c r="AO45" i="107"/>
  <c r="AO52" i="107"/>
  <c r="AO54" i="107"/>
  <c r="AW42" i="107"/>
  <c r="AW46" i="107"/>
  <c r="AW50" i="107"/>
  <c r="AW44" i="107"/>
  <c r="AW51" i="107"/>
  <c r="AW53" i="107"/>
  <c r="AW47" i="107"/>
  <c r="AW49" i="107"/>
  <c r="AW43" i="107"/>
  <c r="AW45" i="107"/>
  <c r="AW52" i="107"/>
  <c r="AW40" i="107"/>
  <c r="AW41" i="107"/>
  <c r="AW48" i="107"/>
  <c r="AW54" i="107"/>
  <c r="BE42" i="107"/>
  <c r="BE46" i="107"/>
  <c r="BE50" i="107"/>
  <c r="BE47" i="107"/>
  <c r="BE49" i="107"/>
  <c r="BE43" i="107"/>
  <c r="BE45" i="107"/>
  <c r="BE52" i="107"/>
  <c r="BE41" i="107"/>
  <c r="BE48" i="107"/>
  <c r="BE40" i="107"/>
  <c r="BE44" i="107"/>
  <c r="BE51" i="107"/>
  <c r="BE53" i="107"/>
  <c r="BE54" i="107"/>
  <c r="BS50" i="107"/>
  <c r="BS52" i="107"/>
  <c r="BS54" i="107"/>
  <c r="BS53" i="107"/>
  <c r="BS51" i="107"/>
  <c r="CA50" i="107"/>
  <c r="CA52" i="107"/>
  <c r="CA54" i="107"/>
  <c r="CA53" i="107"/>
  <c r="CA51" i="107"/>
  <c r="CI50" i="107"/>
  <c r="CI52" i="107"/>
  <c r="CI54" i="107"/>
  <c r="CI53" i="107"/>
  <c r="CI51" i="107"/>
  <c r="CP51" i="107"/>
  <c r="CP50" i="107"/>
  <c r="CP52" i="107"/>
  <c r="CP53" i="107"/>
  <c r="CP54" i="107"/>
  <c r="GA22" i="107"/>
  <c r="CT51" i="107"/>
  <c r="CT50" i="107"/>
  <c r="CT54" i="107"/>
  <c r="CT53" i="107"/>
  <c r="CT52" i="107"/>
  <c r="AO29" i="107"/>
  <c r="AO33" i="107"/>
  <c r="AO37" i="107"/>
  <c r="AO26" i="107"/>
  <c r="AO30" i="107"/>
  <c r="AO34" i="107"/>
  <c r="AO38" i="107"/>
  <c r="AO25" i="107"/>
  <c r="AO27" i="107"/>
  <c r="AO31" i="107"/>
  <c r="AO28" i="107"/>
  <c r="AO36" i="107"/>
  <c r="AO35" i="107"/>
  <c r="AO32" i="107"/>
  <c r="AO39" i="107"/>
  <c r="AW29" i="107"/>
  <c r="AW33" i="107"/>
  <c r="AW37" i="107"/>
  <c r="AW26" i="107"/>
  <c r="AW30" i="107"/>
  <c r="AW34" i="107"/>
  <c r="AW38" i="107"/>
  <c r="AW25" i="107"/>
  <c r="AW27" i="107"/>
  <c r="AW31" i="107"/>
  <c r="AW32" i="107"/>
  <c r="AW28" i="107"/>
  <c r="AW39" i="107"/>
  <c r="AW36" i="107"/>
  <c r="AW35" i="107"/>
  <c r="BE29" i="107"/>
  <c r="BE33" i="107"/>
  <c r="BE37" i="107"/>
  <c r="BE26" i="107"/>
  <c r="BE30" i="107"/>
  <c r="BE34" i="107"/>
  <c r="BE38" i="107"/>
  <c r="BE25" i="107"/>
  <c r="BE27" i="107"/>
  <c r="BE31" i="107"/>
  <c r="BE36" i="107"/>
  <c r="BE35" i="107"/>
  <c r="BE28" i="107"/>
  <c r="BE32" i="107"/>
  <c r="BE39" i="107"/>
  <c r="BS26" i="107"/>
  <c r="BS36" i="107"/>
  <c r="BS38" i="107"/>
  <c r="BS39" i="107"/>
  <c r="BS37" i="107"/>
  <c r="BS35" i="107"/>
  <c r="CA26" i="107"/>
  <c r="CA36" i="107"/>
  <c r="CA38" i="107"/>
  <c r="CA37" i="107"/>
  <c r="CA35" i="107"/>
  <c r="CA39" i="107"/>
  <c r="CI26" i="107"/>
  <c r="CI36" i="107"/>
  <c r="CI38" i="107"/>
  <c r="CI39" i="107"/>
  <c r="CI37" i="107"/>
  <c r="CI35" i="107"/>
  <c r="CP26" i="107"/>
  <c r="CP35" i="107"/>
  <c r="CP38" i="107"/>
  <c r="CP39" i="107"/>
  <c r="CP37" i="107"/>
  <c r="CP36" i="107"/>
  <c r="CT26" i="107"/>
  <c r="CT35" i="107"/>
  <c r="CT38" i="107"/>
  <c r="CT39" i="107"/>
  <c r="CT36" i="107"/>
  <c r="CT37" i="107"/>
  <c r="D38" i="107"/>
  <c r="D53" i="107"/>
  <c r="Q43" i="107"/>
  <c r="AQ41" i="107"/>
  <c r="AQ45" i="107"/>
  <c r="AQ49" i="107"/>
  <c r="AQ53" i="107"/>
  <c r="AQ43" i="107"/>
  <c r="AQ50" i="107"/>
  <c r="AQ52" i="107"/>
  <c r="AQ54" i="107"/>
  <c r="AQ46" i="107"/>
  <c r="AQ48" i="107"/>
  <c r="AQ40" i="107"/>
  <c r="AQ42" i="107"/>
  <c r="AQ44" i="107"/>
  <c r="AQ51" i="107"/>
  <c r="AQ47" i="107"/>
  <c r="BU51" i="107"/>
  <c r="BU53" i="107"/>
  <c r="BU54" i="107"/>
  <c r="BU52" i="107"/>
  <c r="BU50" i="107"/>
  <c r="CQ30" i="107"/>
  <c r="CQ50" i="107"/>
  <c r="CQ54" i="107"/>
  <c r="CQ51" i="107"/>
  <c r="CQ53" i="107"/>
  <c r="CQ52" i="107"/>
  <c r="AY28" i="107"/>
  <c r="AY32" i="107"/>
  <c r="AY36" i="107"/>
  <c r="AY25" i="107"/>
  <c r="AY29" i="107"/>
  <c r="AY33" i="107"/>
  <c r="AY37" i="107"/>
  <c r="AY26" i="107"/>
  <c r="AY30" i="107"/>
  <c r="AY35" i="107"/>
  <c r="AY34" i="107"/>
  <c r="AY27" i="107"/>
  <c r="AY39" i="107"/>
  <c r="AY31" i="107"/>
  <c r="AY38" i="107"/>
  <c r="BU26" i="107"/>
  <c r="BU35" i="107"/>
  <c r="BU37" i="107"/>
  <c r="BU36" i="107"/>
  <c r="BU38" i="107"/>
  <c r="BU39" i="107"/>
  <c r="CQ26" i="107"/>
  <c r="CQ35" i="107"/>
  <c r="CQ37" i="107"/>
  <c r="CQ38" i="107"/>
  <c r="CQ36" i="107"/>
  <c r="CQ39" i="107"/>
  <c r="U44" i="107"/>
  <c r="U48" i="107"/>
  <c r="U52" i="107"/>
  <c r="U41" i="107"/>
  <c r="U45" i="107"/>
  <c r="U49" i="107"/>
  <c r="U53" i="107"/>
  <c r="U40" i="107"/>
  <c r="U42" i="107"/>
  <c r="U46" i="107"/>
  <c r="U50" i="107"/>
  <c r="U54" i="107"/>
  <c r="AE44" i="107"/>
  <c r="AE48" i="107"/>
  <c r="AE52" i="107"/>
  <c r="AE41" i="107"/>
  <c r="AE43" i="107"/>
  <c r="AE49" i="107"/>
  <c r="AE45" i="107"/>
  <c r="AE50" i="107"/>
  <c r="AE46" i="107"/>
  <c r="AE51" i="107"/>
  <c r="AE40" i="107"/>
  <c r="AE42" i="107"/>
  <c r="AE47" i="107"/>
  <c r="AE53" i="107"/>
  <c r="AS44" i="107"/>
  <c r="AS48" i="107"/>
  <c r="AS52" i="107"/>
  <c r="AS45" i="107"/>
  <c r="AS47" i="107"/>
  <c r="AS40" i="107"/>
  <c r="AS41" i="107"/>
  <c r="AS43" i="107"/>
  <c r="AS50" i="107"/>
  <c r="AS54" i="107"/>
  <c r="AS46" i="107"/>
  <c r="AS53" i="107"/>
  <c r="AS42" i="107"/>
  <c r="AS49" i="107"/>
  <c r="AS51" i="107"/>
  <c r="BA44" i="107"/>
  <c r="BA48" i="107"/>
  <c r="BA52" i="107"/>
  <c r="BA41" i="107"/>
  <c r="BA43" i="107"/>
  <c r="BA50" i="107"/>
  <c r="BA40" i="107"/>
  <c r="BA46" i="107"/>
  <c r="BA53" i="107"/>
  <c r="BA54" i="107"/>
  <c r="BA42" i="107"/>
  <c r="BA49" i="107"/>
  <c r="BA51" i="107"/>
  <c r="BA45" i="107"/>
  <c r="BA47" i="107"/>
  <c r="BO30" i="107"/>
  <c r="BO50" i="107"/>
  <c r="BO52" i="107"/>
  <c r="BO54" i="107"/>
  <c r="BO53" i="107"/>
  <c r="BO51" i="107"/>
  <c r="BW30" i="107"/>
  <c r="BW50" i="107"/>
  <c r="BW52" i="107"/>
  <c r="BW54" i="107"/>
  <c r="BW51" i="107"/>
  <c r="BW53" i="107"/>
  <c r="CE30" i="107"/>
  <c r="CE50" i="107"/>
  <c r="CE52" i="107"/>
  <c r="CE54" i="107"/>
  <c r="CE53" i="107"/>
  <c r="CE51" i="107"/>
  <c r="FT22" i="107"/>
  <c r="CR53" i="107"/>
  <c r="CR50" i="107"/>
  <c r="CR51" i="107"/>
  <c r="CR54" i="107"/>
  <c r="CR52" i="107"/>
  <c r="AS27" i="107"/>
  <c r="AS31" i="107"/>
  <c r="AS35" i="107"/>
  <c r="AS39" i="107"/>
  <c r="AS28" i="107"/>
  <c r="AS32" i="107"/>
  <c r="AS36" i="107"/>
  <c r="AS29" i="107"/>
  <c r="AS34" i="107"/>
  <c r="AS25" i="107"/>
  <c r="AS33" i="107"/>
  <c r="AS26" i="107"/>
  <c r="AS38" i="107"/>
  <c r="AS30" i="107"/>
  <c r="AS37" i="107"/>
  <c r="BA27" i="107"/>
  <c r="BA31" i="107"/>
  <c r="BA35" i="107"/>
  <c r="BA39" i="107"/>
  <c r="BA28" i="107"/>
  <c r="BA32" i="107"/>
  <c r="BA36" i="107"/>
  <c r="BA29" i="107"/>
  <c r="BA30" i="107"/>
  <c r="BA38" i="107"/>
  <c r="BA37" i="107"/>
  <c r="BA34" i="107"/>
  <c r="BA25" i="107"/>
  <c r="BA26" i="107"/>
  <c r="BA33" i="107"/>
  <c r="BO26" i="107"/>
  <c r="BO36" i="107"/>
  <c r="BO38" i="107"/>
  <c r="BO35" i="107"/>
  <c r="BO39" i="107"/>
  <c r="BO37" i="107"/>
  <c r="BW26" i="107"/>
  <c r="BW36" i="107"/>
  <c r="BW38" i="107"/>
  <c r="BW37" i="107"/>
  <c r="BW39" i="107"/>
  <c r="BW35" i="107"/>
  <c r="CE26" i="107"/>
  <c r="CE36" i="107"/>
  <c r="CE38" i="107"/>
  <c r="CE35" i="107"/>
  <c r="CE39" i="107"/>
  <c r="CE37" i="107"/>
  <c r="CK26" i="107"/>
  <c r="CR36" i="107"/>
  <c r="CR35" i="107"/>
  <c r="CR37" i="107"/>
  <c r="CR38" i="107"/>
  <c r="CR39" i="107"/>
  <c r="D36" i="107"/>
  <c r="D51" i="107"/>
  <c r="Q40" i="107"/>
  <c r="Q51" i="107"/>
  <c r="U47" i="107"/>
  <c r="AE54" i="107"/>
  <c r="DO8" i="48"/>
  <c r="M16" i="48"/>
  <c r="AA11" i="48"/>
  <c r="Q7" i="48"/>
  <c r="W9" i="48"/>
  <c r="W17" i="48"/>
  <c r="DF17" i="48" s="1"/>
  <c r="I7" i="48"/>
  <c r="Q8" i="48"/>
  <c r="AE13" i="48"/>
  <c r="I5" i="48"/>
  <c r="E13" i="48"/>
  <c r="W15" i="48"/>
  <c r="W11" i="48"/>
  <c r="Y13" i="48"/>
  <c r="DF13" i="48" s="1"/>
  <c r="I9" i="48"/>
  <c r="M8" i="48"/>
  <c r="G11" i="48"/>
  <c r="M15" i="48"/>
  <c r="HH15" i="48" s="1"/>
  <c r="W8" i="48"/>
  <c r="Y11" i="48"/>
  <c r="I15" i="48"/>
  <c r="G17" i="48"/>
  <c r="DE17" i="48" s="1"/>
  <c r="I16" i="48"/>
  <c r="Y6" i="48"/>
  <c r="DF6" i="48" s="1"/>
  <c r="DO18" i="48"/>
  <c r="K8" i="48"/>
  <c r="S16" i="48"/>
  <c r="E16" i="48"/>
  <c r="Y9" i="48"/>
  <c r="AE9" i="48"/>
  <c r="E9" i="48"/>
  <c r="I6" i="48"/>
  <c r="G9" i="48"/>
  <c r="G16" i="48"/>
  <c r="DO13" i="48"/>
  <c r="E18" i="48"/>
  <c r="I13" i="48"/>
  <c r="AA14" i="48"/>
  <c r="G18" i="48"/>
  <c r="E11" i="48"/>
  <c r="DF10" i="48"/>
  <c r="AE8" i="48"/>
  <c r="Y16" i="48"/>
  <c r="DF16" i="48" s="1"/>
  <c r="Y14" i="48"/>
  <c r="DF14" i="48" s="1"/>
  <c r="Y18" i="48"/>
  <c r="DF18" i="48" s="1"/>
  <c r="O22" i="48"/>
  <c r="I12" i="48"/>
  <c r="G7" i="48"/>
  <c r="E15" i="48"/>
  <c r="DO16" i="48"/>
  <c r="G14" i="48"/>
  <c r="DE14" i="48" s="1"/>
  <c r="Y15" i="48"/>
  <c r="G12" i="48"/>
  <c r="DG12" i="48" s="1"/>
  <c r="AE5" i="48"/>
  <c r="AA22" i="48"/>
  <c r="G13" i="48"/>
  <c r="AE16" i="48"/>
  <c r="AE22" i="48"/>
  <c r="G5" i="48"/>
  <c r="DE5" i="48" s="1"/>
  <c r="Y8" i="48"/>
  <c r="AA8" i="48"/>
  <c r="W22" i="48"/>
  <c r="G15" i="48"/>
  <c r="D21" i="48"/>
  <c r="Q22" i="48"/>
  <c r="D22" i="48"/>
  <c r="FF22" i="48" s="1"/>
  <c r="S22" i="48"/>
  <c r="U22" i="48"/>
  <c r="AQ32" i="48"/>
  <c r="G10" i="48"/>
  <c r="E8" i="48"/>
  <c r="G8" i="48"/>
  <c r="E6" i="48"/>
  <c r="E10" i="48"/>
  <c r="K21" i="48"/>
  <c r="S21" i="48"/>
  <c r="DF5" i="48"/>
  <c r="M21" i="48"/>
  <c r="U21" i="48"/>
  <c r="DF12" i="48"/>
  <c r="DO11" i="48"/>
  <c r="O21" i="48"/>
  <c r="AE21" i="48"/>
  <c r="Q21" i="48"/>
  <c r="CE27" i="48"/>
  <c r="BS28" i="48"/>
  <c r="BO31" i="48"/>
  <c r="DF7" i="48"/>
  <c r="BS38" i="48"/>
  <c r="CI38" i="48"/>
  <c r="AU40" i="48"/>
  <c r="DO6" i="48"/>
  <c r="DQ18" i="48"/>
  <c r="DO17" i="48"/>
  <c r="DO14" i="48"/>
  <c r="DO5" i="48"/>
  <c r="DP18" i="48"/>
  <c r="DO15" i="48"/>
  <c r="DO12" i="48"/>
  <c r="DO10" i="48"/>
  <c r="DO7" i="48"/>
  <c r="DO9" i="48"/>
  <c r="BY25" i="48"/>
  <c r="M22" i="48"/>
  <c r="D23" i="48"/>
  <c r="FF23" i="48" s="1"/>
  <c r="AC16" i="48"/>
  <c r="AC12" i="48"/>
  <c r="AC7" i="48"/>
  <c r="AC18" i="48"/>
  <c r="AC14" i="48"/>
  <c r="AC10" i="48"/>
  <c r="CA26" i="48"/>
  <c r="CG29" i="48"/>
  <c r="CG25" i="48"/>
  <c r="CI26" i="48"/>
  <c r="BY36" i="48"/>
  <c r="CA38" i="48"/>
  <c r="BS30" i="48"/>
  <c r="BS26" i="48"/>
  <c r="CI30" i="48"/>
  <c r="CE29" i="48"/>
  <c r="BQ25" i="48"/>
  <c r="BO27" i="48"/>
  <c r="AU26" i="48"/>
  <c r="AS25" i="48"/>
  <c r="AU28" i="48"/>
  <c r="AM37" i="48"/>
  <c r="AM26" i="48"/>
  <c r="Q23" i="48"/>
  <c r="K23" i="48"/>
  <c r="U23" i="48"/>
  <c r="AO35" i="48"/>
  <c r="AO33" i="48"/>
  <c r="AO36" i="48"/>
  <c r="AO34" i="48"/>
  <c r="AO32" i="48"/>
  <c r="AO31" i="48"/>
  <c r="AO29" i="48"/>
  <c r="AO27" i="48"/>
  <c r="AO28" i="48"/>
  <c r="AO26" i="48"/>
  <c r="AW39" i="48"/>
  <c r="AW33" i="48"/>
  <c r="AW36" i="48"/>
  <c r="AW37" i="48"/>
  <c r="AW34" i="48"/>
  <c r="AW29" i="48"/>
  <c r="AW27" i="48"/>
  <c r="AW25" i="48"/>
  <c r="AW38" i="48"/>
  <c r="AW30" i="48"/>
  <c r="AW28" i="48"/>
  <c r="AW26" i="48"/>
  <c r="BE35" i="48"/>
  <c r="BE36" i="48"/>
  <c r="BE37" i="48"/>
  <c r="BE34" i="48"/>
  <c r="BE31" i="48"/>
  <c r="BE29" i="48"/>
  <c r="BE27" i="48"/>
  <c r="BE25" i="48"/>
  <c r="BE38" i="48"/>
  <c r="BE30" i="48"/>
  <c r="BE28" i="48"/>
  <c r="BE26" i="48"/>
  <c r="W23" i="48"/>
  <c r="AE23" i="48"/>
  <c r="D54" i="48"/>
  <c r="D49" i="48"/>
  <c r="D42" i="48"/>
  <c r="S48" i="48"/>
  <c r="AA51" i="48"/>
  <c r="AA44" i="48"/>
  <c r="AQ49" i="48"/>
  <c r="AQ54" i="48"/>
  <c r="AQ48" i="48"/>
  <c r="AQ46" i="48"/>
  <c r="AQ43" i="48"/>
  <c r="AQ45" i="48"/>
  <c r="AQ44" i="48"/>
  <c r="AY46" i="48"/>
  <c r="AY44" i="48"/>
  <c r="BG52" i="48"/>
  <c r="BG49" i="48"/>
  <c r="BG53" i="48"/>
  <c r="BG54" i="48"/>
  <c r="BG48" i="48"/>
  <c r="BG46" i="48"/>
  <c r="BG44" i="48"/>
  <c r="BG51" i="48"/>
  <c r="BG45" i="48"/>
  <c r="BG43" i="48"/>
  <c r="BG41" i="48"/>
  <c r="BG42" i="48"/>
  <c r="BO51" i="48"/>
  <c r="BO50" i="48"/>
  <c r="BO46" i="48"/>
  <c r="BO44" i="48"/>
  <c r="BO54" i="48"/>
  <c r="BO41" i="48"/>
  <c r="BO47" i="48"/>
  <c r="BO45" i="48"/>
  <c r="BO40" i="48"/>
  <c r="BW51" i="48"/>
  <c r="BW49" i="48"/>
  <c r="BW53" i="48"/>
  <c r="BW54" i="48"/>
  <c r="BW48" i="48"/>
  <c r="BW46" i="48"/>
  <c r="BW44" i="48"/>
  <c r="BW47" i="48"/>
  <c r="BW41" i="48"/>
  <c r="BW45" i="48"/>
  <c r="BW42" i="48"/>
  <c r="BW40" i="48"/>
  <c r="CE51" i="48"/>
  <c r="CE49" i="48"/>
  <c r="CE52" i="48"/>
  <c r="CE53" i="48"/>
  <c r="CE50" i="48"/>
  <c r="CE48" i="48"/>
  <c r="CE46" i="48"/>
  <c r="CE54" i="48"/>
  <c r="CE45" i="48"/>
  <c r="CE43" i="48"/>
  <c r="CE41" i="48"/>
  <c r="CE42" i="48"/>
  <c r="U54" i="48"/>
  <c r="U50" i="48"/>
  <c r="U47" i="48"/>
  <c r="U43" i="48"/>
  <c r="U41" i="48"/>
  <c r="U42" i="48"/>
  <c r="U40" i="48"/>
  <c r="AS54" i="48"/>
  <c r="AS51" i="48"/>
  <c r="AS46" i="48"/>
  <c r="AS41" i="48"/>
  <c r="AS42" i="48"/>
  <c r="BI54" i="48"/>
  <c r="BI51" i="48"/>
  <c r="BI49" i="48"/>
  <c r="BI46" i="48"/>
  <c r="BI44" i="48"/>
  <c r="BQ53" i="48"/>
  <c r="BQ50" i="48"/>
  <c r="BQ51" i="48"/>
  <c r="BQ48" i="48"/>
  <c r="BQ46" i="48"/>
  <c r="BQ47" i="48"/>
  <c r="BQ44" i="48"/>
  <c r="BQ41" i="48"/>
  <c r="BQ40" i="48"/>
  <c r="BY53" i="48"/>
  <c r="BY54" i="48"/>
  <c r="BY51" i="48"/>
  <c r="BY49" i="48"/>
  <c r="BY48" i="48"/>
  <c r="BY46" i="48"/>
  <c r="BY52" i="48"/>
  <c r="BY47" i="48"/>
  <c r="BY45" i="48"/>
  <c r="BY41" i="48"/>
  <c r="BY44" i="48"/>
  <c r="BY42" i="48"/>
  <c r="CG53" i="48"/>
  <c r="CG54" i="48"/>
  <c r="CG50" i="48"/>
  <c r="CG46" i="48"/>
  <c r="CG49" i="48"/>
  <c r="CG47" i="48"/>
  <c r="CG45" i="48"/>
  <c r="CG43" i="48"/>
  <c r="CG44" i="48"/>
  <c r="CG42" i="48"/>
  <c r="CG40" i="48"/>
  <c r="CG52" i="48"/>
  <c r="AQ36" i="48"/>
  <c r="AQ38" i="48"/>
  <c r="AQ35" i="48"/>
  <c r="AQ30" i="48"/>
  <c r="AQ28" i="48"/>
  <c r="AQ33" i="48"/>
  <c r="AY36" i="48"/>
  <c r="BG36" i="48"/>
  <c r="BG37" i="48"/>
  <c r="BG38" i="48"/>
  <c r="BG30" i="48"/>
  <c r="BG28" i="48"/>
  <c r="BG26" i="48"/>
  <c r="BG39" i="48"/>
  <c r="BG33" i="48"/>
  <c r="BW25" i="48"/>
  <c r="AQ27" i="48"/>
  <c r="BW27" i="48"/>
  <c r="BG29" i="48"/>
  <c r="AY31" i="48"/>
  <c r="BG32" i="48"/>
  <c r="AM54" i="48"/>
  <c r="AM50" i="48"/>
  <c r="AM51" i="48"/>
  <c r="AM53" i="48"/>
  <c r="AM49" i="48"/>
  <c r="AM46" i="48"/>
  <c r="AM42" i="48"/>
  <c r="AM43" i="48"/>
  <c r="AM40" i="48"/>
  <c r="AU50" i="48"/>
  <c r="AU51" i="48"/>
  <c r="AU45" i="48"/>
  <c r="AU48" i="48"/>
  <c r="AU43" i="48"/>
  <c r="AU46" i="48"/>
  <c r="AU41" i="48"/>
  <c r="BC44" i="48"/>
  <c r="BC40" i="48"/>
  <c r="BS51" i="48"/>
  <c r="BS52" i="48"/>
  <c r="BS53" i="48"/>
  <c r="BS50" i="48"/>
  <c r="BS47" i="48"/>
  <c r="BS45" i="48"/>
  <c r="BS54" i="48"/>
  <c r="BS44" i="48"/>
  <c r="BS48" i="48"/>
  <c r="BS43" i="48"/>
  <c r="BS41" i="48"/>
  <c r="CA52" i="48"/>
  <c r="CA53" i="48"/>
  <c r="CA54" i="48"/>
  <c r="CA47" i="48"/>
  <c r="CA45" i="48"/>
  <c r="CA50" i="48"/>
  <c r="CA44" i="48"/>
  <c r="CA49" i="48"/>
  <c r="CA48" i="48"/>
  <c r="CA46" i="48"/>
  <c r="CA43" i="48"/>
  <c r="CA41" i="48"/>
  <c r="CA40" i="48"/>
  <c r="CI51" i="48"/>
  <c r="CI53" i="48"/>
  <c r="CI49" i="48"/>
  <c r="CI47" i="48"/>
  <c r="CI45" i="48"/>
  <c r="CI54" i="48"/>
  <c r="CI48" i="48"/>
  <c r="CI44" i="48"/>
  <c r="CI42" i="48"/>
  <c r="CI46" i="48"/>
  <c r="CI43" i="48"/>
  <c r="CI41" i="48"/>
  <c r="BU37" i="48"/>
  <c r="BU33" i="48"/>
  <c r="BU38" i="48"/>
  <c r="BU39" i="48"/>
  <c r="BU35" i="48"/>
  <c r="BU34" i="48"/>
  <c r="BU31" i="48"/>
  <c r="BU29" i="48"/>
  <c r="BU27" i="48"/>
  <c r="BU25" i="48"/>
  <c r="BU36" i="48"/>
  <c r="BU30" i="48"/>
  <c r="BU28" i="48"/>
  <c r="BU26" i="48"/>
  <c r="CC39" i="48"/>
  <c r="CC35" i="48"/>
  <c r="CC34" i="48"/>
  <c r="CC36" i="48"/>
  <c r="CC29" i="48"/>
  <c r="CC27" i="48"/>
  <c r="CC28" i="48"/>
  <c r="CC26" i="48"/>
  <c r="BG25" i="48"/>
  <c r="Q51" i="48"/>
  <c r="Q53" i="48"/>
  <c r="Q54" i="48"/>
  <c r="Q41" i="48"/>
  <c r="Q40" i="48"/>
  <c r="AO52" i="48"/>
  <c r="AO47" i="48"/>
  <c r="AO45" i="48"/>
  <c r="AO54" i="48"/>
  <c r="AO49" i="48"/>
  <c r="AO46" i="48"/>
  <c r="AO44" i="48"/>
  <c r="AO43" i="48"/>
  <c r="AO40" i="48"/>
  <c r="AO50" i="48"/>
  <c r="AW51" i="48"/>
  <c r="AW49" i="48"/>
  <c r="AW53" i="48"/>
  <c r="AW54" i="48"/>
  <c r="AW47" i="48"/>
  <c r="AW45" i="48"/>
  <c r="AW48" i="48"/>
  <c r="AW44" i="48"/>
  <c r="AW42" i="48"/>
  <c r="AW41" i="48"/>
  <c r="AW40" i="48"/>
  <c r="BE51" i="48"/>
  <c r="BE52" i="48"/>
  <c r="BE53" i="48"/>
  <c r="BE47" i="48"/>
  <c r="BE45" i="48"/>
  <c r="BE50" i="48"/>
  <c r="BE48" i="48"/>
  <c r="BE46" i="48"/>
  <c r="BE44" i="48"/>
  <c r="BE43" i="48"/>
  <c r="BE54" i="48"/>
  <c r="BE40" i="48"/>
  <c r="BM50" i="48"/>
  <c r="BM52" i="48"/>
  <c r="BM46" i="48"/>
  <c r="BM42" i="48"/>
  <c r="BM41" i="48"/>
  <c r="BU54" i="48"/>
  <c r="BU50" i="48"/>
  <c r="BU49" i="48"/>
  <c r="BU52" i="48"/>
  <c r="BU47" i="48"/>
  <c r="BU48" i="48"/>
  <c r="BU46" i="48"/>
  <c r="BU42" i="48"/>
  <c r="BU44" i="48"/>
  <c r="BU43" i="48"/>
  <c r="BU41" i="48"/>
  <c r="BU40" i="48"/>
  <c r="CC50" i="48"/>
  <c r="CC49" i="48"/>
  <c r="CC51" i="48"/>
  <c r="CC45" i="48"/>
  <c r="CC42" i="48"/>
  <c r="CC41" i="48"/>
  <c r="CC44" i="48"/>
  <c r="BO35" i="48"/>
  <c r="BO36" i="48"/>
  <c r="BO38" i="48"/>
  <c r="BO30" i="48"/>
  <c r="BO28" i="48"/>
  <c r="BO26" i="48"/>
  <c r="BW39" i="48"/>
  <c r="BW35" i="48"/>
  <c r="BW36" i="48"/>
  <c r="BW37" i="48"/>
  <c r="BW34" i="48"/>
  <c r="BW31" i="48"/>
  <c r="BW30" i="48"/>
  <c r="BW28" i="48"/>
  <c r="BW26" i="48"/>
  <c r="BW38" i="48"/>
  <c r="BW33" i="48"/>
  <c r="CE39" i="48"/>
  <c r="CE35" i="48"/>
  <c r="CE36" i="48"/>
  <c r="CE37" i="48"/>
  <c r="CE38" i="48"/>
  <c r="CE33" i="48"/>
  <c r="CE32" i="48"/>
  <c r="CE28" i="48"/>
  <c r="CE26" i="48"/>
  <c r="BO25" i="48"/>
  <c r="CE25" i="48"/>
  <c r="BG27" i="48"/>
  <c r="BW29" i="48"/>
  <c r="CE31" i="48"/>
  <c r="BQ27" i="48"/>
  <c r="BY27" i="48"/>
  <c r="CG27" i="48"/>
  <c r="AM31" i="48"/>
  <c r="BC31" i="48"/>
  <c r="CA32" i="48"/>
  <c r="AM34" i="48"/>
  <c r="BS34" i="48"/>
  <c r="CI34" i="48"/>
  <c r="AU37" i="48"/>
  <c r="AS37" i="48"/>
  <c r="AS34" i="48"/>
  <c r="AS32" i="48"/>
  <c r="AS39" i="48"/>
  <c r="AS35" i="48"/>
  <c r="BA32" i="48"/>
  <c r="BQ37" i="48"/>
  <c r="BQ38" i="48"/>
  <c r="BQ39" i="48"/>
  <c r="BQ35" i="48"/>
  <c r="BY37" i="48"/>
  <c r="BY34" i="48"/>
  <c r="BY32" i="48"/>
  <c r="BY38" i="48"/>
  <c r="BY35" i="48"/>
  <c r="BY33" i="48"/>
  <c r="CG37" i="48"/>
  <c r="CG34" i="48"/>
  <c r="CG32" i="48"/>
  <c r="CG31" i="48"/>
  <c r="CG38" i="48"/>
  <c r="CG39" i="48"/>
  <c r="CG35" i="48"/>
  <c r="CG33" i="48"/>
  <c r="AM25" i="48"/>
  <c r="BS25" i="48"/>
  <c r="CA25" i="48"/>
  <c r="CI25" i="48"/>
  <c r="AM27" i="48"/>
  <c r="AU27" i="48"/>
  <c r="CA27" i="48"/>
  <c r="CI27" i="48"/>
  <c r="AM29" i="48"/>
  <c r="CA29" i="48"/>
  <c r="CI29" i="48"/>
  <c r="AS36" i="48"/>
  <c r="BQ36" i="48"/>
  <c r="AM38" i="48"/>
  <c r="AU38" i="48"/>
  <c r="BC39" i="48"/>
  <c r="BS39" i="48"/>
  <c r="BS37" i="48"/>
  <c r="CA39" i="48"/>
  <c r="CA35" i="48"/>
  <c r="CA37" i="48"/>
  <c r="CI39" i="48"/>
  <c r="CI36" i="48"/>
  <c r="CI37" i="48"/>
  <c r="BQ26" i="48"/>
  <c r="BY26" i="48"/>
  <c r="CG26" i="48"/>
  <c r="CG28" i="48"/>
  <c r="AS30" i="48"/>
  <c r="BQ30" i="48"/>
  <c r="BY30" i="48"/>
  <c r="CG30" i="48"/>
  <c r="AU31" i="48"/>
  <c r="CA31" i="48"/>
  <c r="AM32" i="48"/>
  <c r="CA34" i="48"/>
  <c r="I13" i="107"/>
  <c r="I16" i="107"/>
  <c r="BM22" i="107"/>
  <c r="AA22" i="107"/>
  <c r="I4" i="107"/>
  <c r="AK22" i="107"/>
  <c r="O22" i="107"/>
  <c r="I18" i="107"/>
  <c r="M22" i="107"/>
  <c r="S22" i="107"/>
  <c r="G10" i="107"/>
  <c r="FI10" i="107" s="1"/>
  <c r="G12" i="107"/>
  <c r="FI12" i="107" s="1"/>
  <c r="G14" i="107"/>
  <c r="FI14" i="107" s="1"/>
  <c r="G16" i="107"/>
  <c r="FI16" i="107" s="1"/>
  <c r="G9" i="107"/>
  <c r="G18" i="107"/>
  <c r="G5" i="107"/>
  <c r="FI5" i="107" s="1"/>
  <c r="G6" i="107"/>
  <c r="G7" i="107"/>
  <c r="DF4" i="107"/>
  <c r="BK22" i="107"/>
  <c r="DT9" i="107"/>
  <c r="FN11" i="107"/>
  <c r="E5" i="107"/>
  <c r="E6" i="107"/>
  <c r="E8" i="107"/>
  <c r="E12" i="107"/>
  <c r="K22" i="107"/>
  <c r="E11" i="107"/>
  <c r="FG11" i="107" s="1"/>
  <c r="E14" i="107"/>
  <c r="E17" i="107"/>
  <c r="BI22" i="107"/>
  <c r="BI41" i="107" s="1"/>
  <c r="E13" i="107"/>
  <c r="FG13" i="107" s="1"/>
  <c r="E16" i="107"/>
  <c r="W22" i="107"/>
  <c r="E18" i="107"/>
  <c r="AG22" i="107"/>
  <c r="CP30" i="107"/>
  <c r="I23" i="107"/>
  <c r="FI6" i="107"/>
  <c r="FG5" i="107"/>
  <c r="FN5" i="107"/>
  <c r="FN6" i="107"/>
  <c r="FG6" i="107"/>
  <c r="Q21" i="107"/>
  <c r="Q23" i="107"/>
  <c r="Y21" i="107"/>
  <c r="FM21" i="107" s="1"/>
  <c r="Y23" i="107"/>
  <c r="AG21" i="107"/>
  <c r="AG23" i="107"/>
  <c r="BK21" i="107"/>
  <c r="BK23" i="107"/>
  <c r="BK33" i="107" s="1"/>
  <c r="FM4" i="107"/>
  <c r="AC5" i="107"/>
  <c r="EX5" i="107" s="1"/>
  <c r="FG7" i="107"/>
  <c r="AC7" i="107"/>
  <c r="CN22" i="107"/>
  <c r="FU7" i="107"/>
  <c r="FO22" i="107"/>
  <c r="FR7" i="107"/>
  <c r="FN9" i="107"/>
  <c r="FI11" i="107"/>
  <c r="FG12" i="107"/>
  <c r="FJ12" i="107" s="1"/>
  <c r="FN15" i="107"/>
  <c r="K23" i="107"/>
  <c r="K21" i="107"/>
  <c r="S23" i="107"/>
  <c r="S21" i="107"/>
  <c r="AA23" i="107"/>
  <c r="AA21" i="107"/>
  <c r="AI23" i="107"/>
  <c r="AI21" i="107"/>
  <c r="BM21" i="107"/>
  <c r="BM23" i="107"/>
  <c r="BM34" i="107" s="1"/>
  <c r="CV5" i="107"/>
  <c r="GC5" i="107" s="1"/>
  <c r="FN8" i="107"/>
  <c r="FG9" i="107"/>
  <c r="FI13" i="107"/>
  <c r="FJ13" i="107" s="1"/>
  <c r="FG14" i="107"/>
  <c r="M21" i="107"/>
  <c r="M23" i="107"/>
  <c r="U21" i="107"/>
  <c r="U23" i="107"/>
  <c r="AC4" i="107"/>
  <c r="AK21" i="107"/>
  <c r="AK23" i="107"/>
  <c r="CN21" i="107"/>
  <c r="CN23" i="107"/>
  <c r="FO23" i="107"/>
  <c r="FO21" i="107"/>
  <c r="AC6" i="107"/>
  <c r="EX6" i="107" s="1"/>
  <c r="DT6" i="107" s="1"/>
  <c r="Y22" i="107"/>
  <c r="FM7" i="107"/>
  <c r="BK47" i="107"/>
  <c r="BK46" i="107"/>
  <c r="BK40" i="107"/>
  <c r="BK41" i="107"/>
  <c r="BK42" i="107"/>
  <c r="EY7" i="107"/>
  <c r="FK7" i="107"/>
  <c r="EY8" i="107"/>
  <c r="AC8" i="107"/>
  <c r="EX8" i="107" s="1"/>
  <c r="FI9" i="107"/>
  <c r="FI15" i="107"/>
  <c r="FJ15" i="107" s="1"/>
  <c r="FG16" i="107"/>
  <c r="FJ16" i="107" s="1"/>
  <c r="O21" i="107"/>
  <c r="O23" i="107"/>
  <c r="W21" i="107"/>
  <c r="FK21" i="107" s="1"/>
  <c r="W23" i="107"/>
  <c r="AE21" i="107"/>
  <c r="AE23" i="107"/>
  <c r="BI21" i="107"/>
  <c r="BI23" i="107"/>
  <c r="FK4" i="107"/>
  <c r="FN4" i="107" s="1"/>
  <c r="FQ23" i="107"/>
  <c r="FQ21" i="107"/>
  <c r="FU4" i="107"/>
  <c r="BM46" i="107"/>
  <c r="BM47" i="107"/>
  <c r="BM41" i="107"/>
  <c r="BM42" i="107"/>
  <c r="BM40" i="107"/>
  <c r="BM33" i="107"/>
  <c r="BM30" i="107"/>
  <c r="FI8" i="107"/>
  <c r="I9" i="107"/>
  <c r="I21" i="107" s="1"/>
  <c r="FG10" i="107"/>
  <c r="FJ10" i="107" s="1"/>
  <c r="FJ11" i="107"/>
  <c r="FN13" i="107"/>
  <c r="FK10" i="107"/>
  <c r="FN10" i="107" s="1"/>
  <c r="FK12" i="107"/>
  <c r="FN12" i="107" s="1"/>
  <c r="FK14" i="107"/>
  <c r="FN14" i="107" s="1"/>
  <c r="FK16" i="107"/>
  <c r="FN16" i="107" s="1"/>
  <c r="FK18" i="107"/>
  <c r="FN18" i="107" s="1"/>
  <c r="DT11" i="107"/>
  <c r="DT13" i="107"/>
  <c r="DT15" i="107"/>
  <c r="FG17" i="107"/>
  <c r="FJ17" i="107" s="1"/>
  <c r="EY17" i="107"/>
  <c r="AC17" i="107"/>
  <c r="EX17" i="107" s="1"/>
  <c r="FI18" i="107"/>
  <c r="FQ22" i="107"/>
  <c r="CV9" i="107"/>
  <c r="GC9" i="107" s="1"/>
  <c r="CV11" i="107"/>
  <c r="GC11" i="107" s="1"/>
  <c r="CV13" i="107"/>
  <c r="GC13" i="107" s="1"/>
  <c r="CV15" i="107"/>
  <c r="GC15" i="107" s="1"/>
  <c r="FK17" i="107"/>
  <c r="FN17" i="107" s="1"/>
  <c r="AC10" i="107"/>
  <c r="EX10" i="107" s="1"/>
  <c r="AC12" i="107"/>
  <c r="EX12" i="107" s="1"/>
  <c r="AC14" i="107"/>
  <c r="EX14" i="107" s="1"/>
  <c r="CV14" i="107" s="1"/>
  <c r="AC16" i="107"/>
  <c r="EX16" i="107" s="1"/>
  <c r="EY18" i="107"/>
  <c r="AC18" i="107"/>
  <c r="EX18" i="107" s="1"/>
  <c r="FG18" i="107"/>
  <c r="CV18" i="107"/>
  <c r="DH21" i="107"/>
  <c r="CZ21" i="107" s="1"/>
  <c r="GF21" i="107" s="1"/>
  <c r="GA21" i="107"/>
  <c r="BQ46" i="107"/>
  <c r="BQ47" i="107"/>
  <c r="BQ40" i="107"/>
  <c r="BQ41" i="107"/>
  <c r="BQ42" i="107"/>
  <c r="BQ34" i="107"/>
  <c r="BQ30" i="107"/>
  <c r="BQ33" i="107"/>
  <c r="BY46" i="107"/>
  <c r="BY47" i="107"/>
  <c r="BY40" i="107"/>
  <c r="BY41" i="107"/>
  <c r="BY42" i="107"/>
  <c r="BY34" i="107"/>
  <c r="BY30" i="107"/>
  <c r="BY33" i="107"/>
  <c r="CG46" i="107"/>
  <c r="CG47" i="107"/>
  <c r="CG40" i="107"/>
  <c r="CG41" i="107"/>
  <c r="CG42" i="107"/>
  <c r="CG34" i="107"/>
  <c r="CG30" i="107"/>
  <c r="CG33" i="107"/>
  <c r="CR46" i="107"/>
  <c r="CR47" i="107"/>
  <c r="CR40" i="107"/>
  <c r="CR41" i="107"/>
  <c r="CR42" i="107"/>
  <c r="CR34" i="107"/>
  <c r="CR30" i="107"/>
  <c r="CR33" i="107"/>
  <c r="FW22" i="107"/>
  <c r="BQ49" i="107"/>
  <c r="BQ43" i="107"/>
  <c r="BQ48" i="107"/>
  <c r="BQ45" i="107"/>
  <c r="BQ44" i="107"/>
  <c r="BQ32" i="107"/>
  <c r="BQ31" i="107"/>
  <c r="BY49" i="107"/>
  <c r="BY48" i="107"/>
  <c r="BY43" i="107"/>
  <c r="BY45" i="107"/>
  <c r="BY44" i="107"/>
  <c r="BY32" i="107"/>
  <c r="BY31" i="107"/>
  <c r="CG49" i="107"/>
  <c r="CG48" i="107"/>
  <c r="CG43" i="107"/>
  <c r="CG45" i="107"/>
  <c r="CG44" i="107"/>
  <c r="CG32" i="107"/>
  <c r="CG31" i="107"/>
  <c r="CR49" i="107"/>
  <c r="CR48" i="107"/>
  <c r="CR43" i="107"/>
  <c r="CR45" i="107"/>
  <c r="CR44" i="107"/>
  <c r="CR32" i="107"/>
  <c r="CR31" i="107"/>
  <c r="FS23" i="107"/>
  <c r="FW23" i="107"/>
  <c r="GA23" i="107"/>
  <c r="BQ25" i="107"/>
  <c r="BY25" i="107"/>
  <c r="CG25" i="107"/>
  <c r="CR25" i="107"/>
  <c r="BU27" i="107"/>
  <c r="CC27" i="107"/>
  <c r="CJ27" i="107"/>
  <c r="CP27" i="107"/>
  <c r="CT27" i="107"/>
  <c r="D28" i="107"/>
  <c r="BO28" i="107"/>
  <c r="BW28" i="107"/>
  <c r="CE28" i="107"/>
  <c r="CQ28" i="107"/>
  <c r="CU28" i="107"/>
  <c r="BQ29" i="107"/>
  <c r="BY29" i="107"/>
  <c r="CG29" i="107"/>
  <c r="CR29" i="107"/>
  <c r="CU30" i="107"/>
  <c r="BS47" i="107"/>
  <c r="BS46" i="107"/>
  <c r="BS40" i="107"/>
  <c r="BS41" i="107"/>
  <c r="BS42" i="107"/>
  <c r="BS30" i="107"/>
  <c r="BS33" i="107"/>
  <c r="BS34" i="107"/>
  <c r="CA47" i="107"/>
  <c r="CA46" i="107"/>
  <c r="CA40" i="107"/>
  <c r="CA41" i="107"/>
  <c r="CA42" i="107"/>
  <c r="CA30" i="107"/>
  <c r="CA33" i="107"/>
  <c r="CA34" i="107"/>
  <c r="CI47" i="107"/>
  <c r="CI46" i="107"/>
  <c r="CI40" i="107"/>
  <c r="CI41" i="107"/>
  <c r="CI42" i="107"/>
  <c r="CI30" i="107"/>
  <c r="CI33" i="107"/>
  <c r="CI34" i="107"/>
  <c r="CO47" i="107"/>
  <c r="CO46" i="107"/>
  <c r="CO40" i="107"/>
  <c r="CO41" i="107"/>
  <c r="CO42" i="107"/>
  <c r="CO30" i="107"/>
  <c r="CO33" i="107"/>
  <c r="CO34" i="107"/>
  <c r="CS47" i="107"/>
  <c r="CS46" i="107"/>
  <c r="CS40" i="107"/>
  <c r="CS41" i="107"/>
  <c r="CS42" i="107"/>
  <c r="CS30" i="107"/>
  <c r="CS33" i="107"/>
  <c r="CS34" i="107"/>
  <c r="FX22" i="107"/>
  <c r="BS43" i="107"/>
  <c r="BS44" i="107"/>
  <c r="BS48" i="107"/>
  <c r="BS45" i="107"/>
  <c r="BS49" i="107"/>
  <c r="BS32" i="107"/>
  <c r="BS31" i="107"/>
  <c r="CA43" i="107"/>
  <c r="CA49" i="107"/>
  <c r="CA44" i="107"/>
  <c r="CA45" i="107"/>
  <c r="CA48" i="107"/>
  <c r="CA32" i="107"/>
  <c r="CA31" i="107"/>
  <c r="CI48" i="107"/>
  <c r="CI43" i="107"/>
  <c r="CI44" i="107"/>
  <c r="CI45" i="107"/>
  <c r="CI49" i="107"/>
  <c r="CI32" i="107"/>
  <c r="CI31" i="107"/>
  <c r="CO43" i="107"/>
  <c r="CO49" i="107"/>
  <c r="CO44" i="107"/>
  <c r="CO48" i="107"/>
  <c r="CO45" i="107"/>
  <c r="CO32" i="107"/>
  <c r="CO31" i="107"/>
  <c r="CS48" i="107"/>
  <c r="CS43" i="107"/>
  <c r="CS44" i="107"/>
  <c r="CS45" i="107"/>
  <c r="CS49" i="107"/>
  <c r="CS32" i="107"/>
  <c r="CS31" i="107"/>
  <c r="FT23" i="107"/>
  <c r="FX23" i="107"/>
  <c r="GB23" i="107"/>
  <c r="BS25" i="107"/>
  <c r="CA25" i="107"/>
  <c r="CI25" i="107"/>
  <c r="CO25" i="107"/>
  <c r="CS25" i="107"/>
  <c r="D27" i="107"/>
  <c r="BO27" i="107"/>
  <c r="BW27" i="107"/>
  <c r="CE27" i="107"/>
  <c r="CQ27" i="107"/>
  <c r="CU27" i="107"/>
  <c r="BQ28" i="107"/>
  <c r="BY28" i="107"/>
  <c r="CG28" i="107"/>
  <c r="CR28" i="107"/>
  <c r="BS29" i="107"/>
  <c r="CA29" i="107"/>
  <c r="CI29" i="107"/>
  <c r="CO29" i="107"/>
  <c r="CS29" i="107"/>
  <c r="BU46" i="107"/>
  <c r="BU47" i="107"/>
  <c r="BU41" i="107"/>
  <c r="BU42" i="107"/>
  <c r="BU40" i="107"/>
  <c r="BU33" i="107"/>
  <c r="BU34" i="107"/>
  <c r="CC46" i="107"/>
  <c r="CC47" i="107"/>
  <c r="CC41" i="107"/>
  <c r="CC42" i="107"/>
  <c r="CC40" i="107"/>
  <c r="CC33" i="107"/>
  <c r="CC34" i="107"/>
  <c r="CJ54" i="107"/>
  <c r="CJ46" i="107"/>
  <c r="CJ47" i="107"/>
  <c r="CJ41" i="107"/>
  <c r="CJ42" i="107"/>
  <c r="CJ40" i="107"/>
  <c r="EB19" i="107" s="1"/>
  <c r="CJ33" i="107"/>
  <c r="CJ34" i="107"/>
  <c r="CP46" i="107"/>
  <c r="CP47" i="107"/>
  <c r="CP41" i="107"/>
  <c r="CP42" i="107"/>
  <c r="CP40" i="107"/>
  <c r="CP33" i="107"/>
  <c r="CP34" i="107"/>
  <c r="CT46" i="107"/>
  <c r="CT47" i="107"/>
  <c r="CT41" i="107"/>
  <c r="CT42" i="107"/>
  <c r="CT40" i="107"/>
  <c r="CT33" i="107"/>
  <c r="CT34" i="107"/>
  <c r="FF22" i="107"/>
  <c r="FY22" i="107"/>
  <c r="BU48" i="107"/>
  <c r="BU44" i="107"/>
  <c r="BU45" i="107"/>
  <c r="BU49" i="107"/>
  <c r="BU43" i="107"/>
  <c r="BU32" i="107"/>
  <c r="BU31" i="107"/>
  <c r="CC48" i="107"/>
  <c r="CC49" i="107"/>
  <c r="CC44" i="107"/>
  <c r="CC45" i="107"/>
  <c r="CC43" i="107"/>
  <c r="CC32" i="107"/>
  <c r="CC31" i="107"/>
  <c r="CJ48" i="107"/>
  <c r="CJ44" i="107"/>
  <c r="CJ45" i="107"/>
  <c r="EM9" i="107" s="1"/>
  <c r="CJ49" i="107"/>
  <c r="CJ43" i="107"/>
  <c r="CJ32" i="107"/>
  <c r="CJ31" i="107"/>
  <c r="CP48" i="107"/>
  <c r="CP49" i="107"/>
  <c r="CP44" i="107"/>
  <c r="CP45" i="107"/>
  <c r="CP43" i="107"/>
  <c r="CP32" i="107"/>
  <c r="CP31" i="107"/>
  <c r="CT48" i="107"/>
  <c r="CT44" i="107"/>
  <c r="CT45" i="107"/>
  <c r="CT49" i="107"/>
  <c r="CT43" i="107"/>
  <c r="CT32" i="107"/>
  <c r="CT31" i="107"/>
  <c r="FF23" i="107"/>
  <c r="FY23" i="107"/>
  <c r="BU25" i="107"/>
  <c r="CC25" i="107"/>
  <c r="CJ25" i="107"/>
  <c r="CP25" i="107"/>
  <c r="CT25" i="107"/>
  <c r="BQ27" i="107"/>
  <c r="BY27" i="107"/>
  <c r="CG27" i="107"/>
  <c r="CR27" i="107"/>
  <c r="BS28" i="107"/>
  <c r="CA28" i="107"/>
  <c r="CI28" i="107"/>
  <c r="CO28" i="107"/>
  <c r="CS28" i="107"/>
  <c r="BU29" i="107"/>
  <c r="CC29" i="107"/>
  <c r="CJ29" i="107"/>
  <c r="CP29" i="107"/>
  <c r="CT29" i="107"/>
  <c r="D54" i="107"/>
  <c r="D46" i="107"/>
  <c r="D50" i="107"/>
  <c r="D47" i="107"/>
  <c r="D42" i="107"/>
  <c r="D40" i="107"/>
  <c r="D41" i="107"/>
  <c r="D33" i="107"/>
  <c r="D34" i="107"/>
  <c r="BO46" i="107"/>
  <c r="BO47" i="107"/>
  <c r="BO42" i="107"/>
  <c r="BO40" i="107"/>
  <c r="BO41" i="107"/>
  <c r="BO33" i="107"/>
  <c r="BO34" i="107"/>
  <c r="BW46" i="107"/>
  <c r="BW47" i="107"/>
  <c r="BW42" i="107"/>
  <c r="BW40" i="107"/>
  <c r="BW41" i="107"/>
  <c r="BW33" i="107"/>
  <c r="BW34" i="107"/>
  <c r="CE46" i="107"/>
  <c r="CE47" i="107"/>
  <c r="CE42" i="107"/>
  <c r="CE40" i="107"/>
  <c r="CE41" i="107"/>
  <c r="CE33" i="107"/>
  <c r="CE34" i="107"/>
  <c r="EM19" i="107"/>
  <c r="EL19" i="107" s="1"/>
  <c r="EM20" i="107"/>
  <c r="EL20" i="107" s="1"/>
  <c r="EO20" i="107" s="1"/>
  <c r="CQ46" i="107"/>
  <c r="CQ47" i="107"/>
  <c r="CQ42" i="107"/>
  <c r="CQ40" i="107"/>
  <c r="CQ41" i="107"/>
  <c r="CQ33" i="107"/>
  <c r="CQ34" i="107"/>
  <c r="CU46" i="107"/>
  <c r="CU47" i="107"/>
  <c r="CU42" i="107"/>
  <c r="CU40" i="107"/>
  <c r="CU41" i="107"/>
  <c r="CU33" i="107"/>
  <c r="CU34" i="107"/>
  <c r="CU29" i="107"/>
  <c r="DH22" i="107"/>
  <c r="CZ22" i="107" s="1"/>
  <c r="GF22" i="107" s="1"/>
  <c r="FV22" i="107"/>
  <c r="FZ22" i="107"/>
  <c r="D49" i="107"/>
  <c r="D45" i="107"/>
  <c r="D48" i="107"/>
  <c r="D43" i="107"/>
  <c r="D44" i="107"/>
  <c r="D35" i="107"/>
  <c r="D32" i="107"/>
  <c r="BO49" i="107"/>
  <c r="BO48" i="107"/>
  <c r="BO45" i="107"/>
  <c r="BO44" i="107"/>
  <c r="BO43" i="107"/>
  <c r="BO31" i="107"/>
  <c r="BO32" i="107"/>
  <c r="BW49" i="107"/>
  <c r="BW45" i="107"/>
  <c r="BW48" i="107"/>
  <c r="BW44" i="107"/>
  <c r="BW43" i="107"/>
  <c r="BW31" i="107"/>
  <c r="BW32" i="107"/>
  <c r="CE49" i="107"/>
  <c r="CE45" i="107"/>
  <c r="CE48" i="107"/>
  <c r="CE44" i="107"/>
  <c r="CE43" i="107"/>
  <c r="CE31" i="107"/>
  <c r="CE32" i="107"/>
  <c r="CQ48" i="107"/>
  <c r="CQ49" i="107"/>
  <c r="CQ45" i="107"/>
  <c r="GL11" i="107"/>
  <c r="CQ44" i="107"/>
  <c r="CQ43" i="107"/>
  <c r="CQ31" i="107"/>
  <c r="CQ32" i="107"/>
  <c r="CU48" i="107"/>
  <c r="CU49" i="107"/>
  <c r="CU45" i="107"/>
  <c r="CU44" i="107"/>
  <c r="CU43" i="107"/>
  <c r="CU31" i="107"/>
  <c r="CU32" i="107"/>
  <c r="DH23" i="107"/>
  <c r="CZ23" i="107" s="1"/>
  <c r="GF23" i="107" s="1"/>
  <c r="FV23" i="107"/>
  <c r="FZ23" i="107"/>
  <c r="D25" i="107"/>
  <c r="BO25" i="107"/>
  <c r="BW25" i="107"/>
  <c r="CE25" i="107"/>
  <c r="CQ25" i="107"/>
  <c r="CU25" i="107"/>
  <c r="BQ26" i="107"/>
  <c r="BY26" i="107"/>
  <c r="CG26" i="107"/>
  <c r="CR26" i="107"/>
  <c r="BS27" i="107"/>
  <c r="CA27" i="107"/>
  <c r="CI27" i="107"/>
  <c r="CO27" i="107"/>
  <c r="CS27" i="107"/>
  <c r="BU28" i="107"/>
  <c r="CC28" i="107"/>
  <c r="CJ28" i="107"/>
  <c r="CP28" i="107"/>
  <c r="CT28" i="107"/>
  <c r="D29" i="107"/>
  <c r="BO29" i="107"/>
  <c r="BW29" i="107"/>
  <c r="CE29" i="107"/>
  <c r="CQ29" i="107"/>
  <c r="BU30" i="107"/>
  <c r="CJ30" i="107"/>
  <c r="CT30" i="107"/>
  <c r="D31" i="107"/>
  <c r="DM16" i="165" l="1"/>
  <c r="DK16" i="165"/>
  <c r="ES16" i="165"/>
  <c r="ER16" i="165"/>
  <c r="CZ16" i="165"/>
  <c r="GF16" i="165" s="1"/>
  <c r="DM6" i="165"/>
  <c r="DK6" i="165"/>
  <c r="ES6" i="165"/>
  <c r="ER6" i="165"/>
  <c r="CZ6" i="165"/>
  <c r="GF6" i="165" s="1"/>
  <c r="DK8" i="165"/>
  <c r="DM8" i="165"/>
  <c r="ES8" i="165"/>
  <c r="ER8" i="165"/>
  <c r="CZ8" i="165"/>
  <c r="GF8" i="165" s="1"/>
  <c r="DK10" i="165"/>
  <c r="DM10" i="165"/>
  <c r="ES10" i="165"/>
  <c r="ER10" i="165"/>
  <c r="CZ10" i="165"/>
  <c r="GF10" i="165" s="1"/>
  <c r="DM17" i="165"/>
  <c r="DK17" i="165"/>
  <c r="ES17" i="165"/>
  <c r="GO10" i="165"/>
  <c r="ER17" i="165"/>
  <c r="CZ17" i="165"/>
  <c r="GF17" i="165" s="1"/>
  <c r="DM13" i="165"/>
  <c r="DK13" i="165"/>
  <c r="ES13" i="165"/>
  <c r="GO8" i="165"/>
  <c r="ER13" i="165"/>
  <c r="CZ13" i="165"/>
  <c r="GF13" i="165" s="1"/>
  <c r="DM4" i="165"/>
  <c r="DK4" i="165"/>
  <c r="ES4" i="165"/>
  <c r="ER4" i="165"/>
  <c r="CZ4" i="165"/>
  <c r="GF4" i="165" s="1"/>
  <c r="DM9" i="165"/>
  <c r="DK9" i="165"/>
  <c r="ES9" i="165"/>
  <c r="GO6" i="165"/>
  <c r="ER9" i="165"/>
  <c r="CZ9" i="165"/>
  <c r="GF9" i="165" s="1"/>
  <c r="DM11" i="165"/>
  <c r="DK11" i="165"/>
  <c r="ES11" i="165"/>
  <c r="ER11" i="165"/>
  <c r="GO7" i="165"/>
  <c r="CZ11" i="165"/>
  <c r="GF11" i="165" s="1"/>
  <c r="DK14" i="165"/>
  <c r="DM14" i="165"/>
  <c r="ES14" i="165"/>
  <c r="ER14" i="165"/>
  <c r="CZ14" i="165"/>
  <c r="GF14" i="165" s="1"/>
  <c r="DK7" i="165"/>
  <c r="DM7" i="165"/>
  <c r="ES7" i="165"/>
  <c r="GO5" i="165"/>
  <c r="ER7" i="165"/>
  <c r="CZ7" i="165"/>
  <c r="GF7" i="165" s="1"/>
  <c r="DM5" i="165"/>
  <c r="DK5" i="165"/>
  <c r="ES5" i="165"/>
  <c r="GO4" i="165"/>
  <c r="ER5" i="165"/>
  <c r="CZ5" i="165"/>
  <c r="GF5" i="165" s="1"/>
  <c r="DM15" i="165"/>
  <c r="DK15" i="165"/>
  <c r="ES15" i="165"/>
  <c r="GO9" i="165"/>
  <c r="ER15" i="165"/>
  <c r="CZ15" i="165"/>
  <c r="GF15" i="165" s="1"/>
  <c r="DM12" i="165"/>
  <c r="DK12" i="165"/>
  <c r="ES12" i="165"/>
  <c r="ER12" i="165"/>
  <c r="CZ12" i="165"/>
  <c r="GF12" i="165" s="1"/>
  <c r="DK18" i="165"/>
  <c r="DM18" i="165"/>
  <c r="ES18" i="165"/>
  <c r="ER18" i="165"/>
  <c r="CZ18" i="165"/>
  <c r="GF18" i="165" s="1"/>
  <c r="DF36" i="48"/>
  <c r="CX15" i="164"/>
  <c r="GD15" i="164" s="1"/>
  <c r="CX4" i="164"/>
  <c r="GD4" i="164" s="1"/>
  <c r="CY14" i="164"/>
  <c r="GE14" i="164" s="1"/>
  <c r="CY6" i="164"/>
  <c r="GE6" i="164" s="1"/>
  <c r="CY9" i="164"/>
  <c r="GE9" i="164" s="1"/>
  <c r="CX10" i="164"/>
  <c r="GD10" i="164" s="1"/>
  <c r="EG53" i="163"/>
  <c r="GO18" i="163" s="1"/>
  <c r="EG48" i="163"/>
  <c r="EG40" i="163"/>
  <c r="DN22" i="163"/>
  <c r="CY22" i="163" s="1"/>
  <c r="GE22" i="163" s="1"/>
  <c r="EG49" i="163"/>
  <c r="GO15" i="163" s="1"/>
  <c r="EG41" i="163"/>
  <c r="EG52" i="163"/>
  <c r="EG51" i="163"/>
  <c r="GO16" i="163" s="1"/>
  <c r="EG47" i="163"/>
  <c r="GO14" i="163" s="1"/>
  <c r="EG43" i="163"/>
  <c r="GO13" i="163" s="1"/>
  <c r="EG54" i="163"/>
  <c r="EG46" i="163"/>
  <c r="EG42" i="163"/>
  <c r="EG50" i="163"/>
  <c r="EG45" i="163"/>
  <c r="EG44" i="163"/>
  <c r="DN12" i="164"/>
  <c r="DN17" i="164"/>
  <c r="DN13" i="164"/>
  <c r="CY12" i="164"/>
  <c r="GE12" i="164" s="1"/>
  <c r="CX13" i="164"/>
  <c r="GD13" i="164" s="1"/>
  <c r="DN16" i="164"/>
  <c r="DN7" i="164"/>
  <c r="CY17" i="164"/>
  <c r="GE17" i="164" s="1"/>
  <c r="DN18" i="164"/>
  <c r="CY13" i="164"/>
  <c r="GE13" i="164" s="1"/>
  <c r="DN15" i="164"/>
  <c r="DN6" i="164"/>
  <c r="DN5" i="164"/>
  <c r="DN11" i="164"/>
  <c r="CX11" i="164"/>
  <c r="GD11" i="164" s="1"/>
  <c r="DN8" i="164"/>
  <c r="CX5" i="164"/>
  <c r="GD5" i="164" s="1"/>
  <c r="EG23" i="164"/>
  <c r="EG21" i="164"/>
  <c r="DN21" i="164" s="1"/>
  <c r="CY21" i="164" s="1"/>
  <c r="GE21" i="164" s="1"/>
  <c r="DN4" i="164"/>
  <c r="CX7" i="164"/>
  <c r="GD7" i="164" s="1"/>
  <c r="DN14" i="164"/>
  <c r="CY5" i="164"/>
  <c r="GE5" i="164" s="1"/>
  <c r="DN9" i="164"/>
  <c r="CX6" i="164"/>
  <c r="GD6" i="164" s="1"/>
  <c r="DN10" i="164"/>
  <c r="CX16" i="164"/>
  <c r="GD16" i="164" s="1"/>
  <c r="CX17" i="164"/>
  <c r="GD17" i="164" s="1"/>
  <c r="CX12" i="164"/>
  <c r="GD12" i="164" s="1"/>
  <c r="CY8" i="164"/>
  <c r="GE8" i="164" s="1"/>
  <c r="CX18" i="164"/>
  <c r="GD18" i="164" s="1"/>
  <c r="EG39" i="163"/>
  <c r="EG34" i="163"/>
  <c r="EG33" i="163"/>
  <c r="EG32" i="163"/>
  <c r="EG37" i="163"/>
  <c r="EG36" i="163"/>
  <c r="EG38" i="163"/>
  <c r="EG35" i="163"/>
  <c r="EG30" i="163"/>
  <c r="EG29" i="163"/>
  <c r="EG28" i="163"/>
  <c r="EG27" i="163"/>
  <c r="EG26" i="163"/>
  <c r="EG25" i="163"/>
  <c r="EG31" i="163"/>
  <c r="DN23" i="163"/>
  <c r="CY23" i="163" s="1"/>
  <c r="GE23" i="163" s="1"/>
  <c r="EH19" i="162"/>
  <c r="EH5" i="162"/>
  <c r="EG17" i="162"/>
  <c r="CY17" i="162" s="1"/>
  <c r="GE17" i="162" s="1"/>
  <c r="EG8" i="162"/>
  <c r="CY8" i="162" s="1"/>
  <c r="GE8" i="162" s="1"/>
  <c r="EG15" i="162"/>
  <c r="CY15" i="162" s="1"/>
  <c r="GE15" i="162" s="1"/>
  <c r="EG11" i="162"/>
  <c r="CY11" i="162" s="1"/>
  <c r="GE11" i="162" s="1"/>
  <c r="EG10" i="162"/>
  <c r="CY10" i="162" s="1"/>
  <c r="GE10" i="162" s="1"/>
  <c r="EG18" i="162"/>
  <c r="CY18" i="162" s="1"/>
  <c r="GE18" i="162" s="1"/>
  <c r="EH9" i="162"/>
  <c r="EG16" i="162"/>
  <c r="CY16" i="162" s="1"/>
  <c r="GE16" i="162" s="1"/>
  <c r="EG4" i="162"/>
  <c r="EG13" i="162"/>
  <c r="CY13" i="162" s="1"/>
  <c r="GE13" i="162" s="1"/>
  <c r="EG7" i="162"/>
  <c r="CY7" i="162" s="1"/>
  <c r="GE7" i="162" s="1"/>
  <c r="EG5" i="162"/>
  <c r="CY5" i="162" s="1"/>
  <c r="GE5" i="162" s="1"/>
  <c r="EG12" i="162"/>
  <c r="CY12" i="162" s="1"/>
  <c r="GE12" i="162" s="1"/>
  <c r="EG6" i="162"/>
  <c r="CY6" i="162" s="1"/>
  <c r="GE6" i="162" s="1"/>
  <c r="EH14" i="162"/>
  <c r="EG9" i="162"/>
  <c r="CY9" i="162" s="1"/>
  <c r="GE9" i="162" s="1"/>
  <c r="EH8" i="162"/>
  <c r="EH18" i="162"/>
  <c r="EG14" i="162"/>
  <c r="CY14" i="162" s="1"/>
  <c r="GE14" i="162" s="1"/>
  <c r="DY18" i="107"/>
  <c r="EF18" i="107"/>
  <c r="CV17" i="107"/>
  <c r="GC17" i="107" s="1"/>
  <c r="EF17" i="107"/>
  <c r="DY17" i="107"/>
  <c r="DY12" i="107"/>
  <c r="EF12" i="107"/>
  <c r="DT10" i="107"/>
  <c r="DY10" i="107"/>
  <c r="EF10" i="107"/>
  <c r="EF8" i="107"/>
  <c r="DY8" i="107"/>
  <c r="DU14" i="161"/>
  <c r="EG14" i="161" s="1"/>
  <c r="DU19" i="161"/>
  <c r="EG19" i="161" s="1"/>
  <c r="EG21" i="161" s="1"/>
  <c r="EQ15" i="161"/>
  <c r="EQ7" i="161"/>
  <c r="EH16" i="161"/>
  <c r="EH19" i="161"/>
  <c r="EH14" i="161"/>
  <c r="EQ8" i="161"/>
  <c r="DU16" i="161"/>
  <c r="EG16" i="161" s="1"/>
  <c r="EH5" i="161"/>
  <c r="EH8" i="161"/>
  <c r="EH7" i="161"/>
  <c r="EH15" i="161"/>
  <c r="CX15" i="161" s="1"/>
  <c r="DU5" i="161"/>
  <c r="EG5" i="161" s="1"/>
  <c r="DU8" i="161"/>
  <c r="EG8" i="161" s="1"/>
  <c r="CY8" i="161" s="1"/>
  <c r="GE8" i="161" s="1"/>
  <c r="EH9" i="161"/>
  <c r="DU12" i="161"/>
  <c r="DU10" i="161"/>
  <c r="DU7" i="161"/>
  <c r="DU9" i="161"/>
  <c r="DU17" i="161"/>
  <c r="DU6" i="161"/>
  <c r="EH18" i="161"/>
  <c r="EH11" i="161"/>
  <c r="EH17" i="161"/>
  <c r="EH6" i="161"/>
  <c r="DU18" i="161"/>
  <c r="EH13" i="161"/>
  <c r="DU11" i="161"/>
  <c r="EH12" i="161"/>
  <c r="EH10" i="161"/>
  <c r="DU13" i="161"/>
  <c r="EP4" i="160"/>
  <c r="EQ4" i="160" s="1"/>
  <c r="EO18" i="160"/>
  <c r="EQ18" i="160" s="1"/>
  <c r="EO12" i="160"/>
  <c r="EP7" i="160"/>
  <c r="EQ7" i="160" s="1"/>
  <c r="GN5" i="160"/>
  <c r="EA18" i="160"/>
  <c r="EK18" i="160" s="1"/>
  <c r="EA13" i="160"/>
  <c r="EK13" i="160" s="1"/>
  <c r="EA7" i="160"/>
  <c r="EK7" i="160" s="1"/>
  <c r="EP6" i="160"/>
  <c r="EQ6" i="160" s="1"/>
  <c r="EA14" i="160"/>
  <c r="ED14" i="160" s="1"/>
  <c r="EO5" i="160"/>
  <c r="EQ5" i="160" s="1"/>
  <c r="EQ19" i="160"/>
  <c r="GN12" i="160"/>
  <c r="DU19" i="160"/>
  <c r="EG19" i="160" s="1"/>
  <c r="EH19" i="160"/>
  <c r="EO14" i="160"/>
  <c r="EQ14" i="160" s="1"/>
  <c r="EA9" i="160"/>
  <c r="ED9" i="160" s="1"/>
  <c r="EA5" i="160"/>
  <c r="ED5" i="160" s="1"/>
  <c r="EA10" i="160"/>
  <c r="ED10" i="160" s="1"/>
  <c r="EA8" i="160"/>
  <c r="EK8" i="160" s="1"/>
  <c r="EA17" i="160"/>
  <c r="EK17" i="160" s="1"/>
  <c r="EA11" i="160"/>
  <c r="ED11" i="160" s="1"/>
  <c r="EA12" i="160"/>
  <c r="EK12" i="160" s="1"/>
  <c r="EO17" i="160"/>
  <c r="EP17" i="160"/>
  <c r="EA15" i="160"/>
  <c r="EK15" i="160" s="1"/>
  <c r="EA16" i="160"/>
  <c r="EK16" i="160" s="1"/>
  <c r="EA4" i="160"/>
  <c r="EK4" i="160" s="1"/>
  <c r="EA6" i="160"/>
  <c r="EK6" i="160" s="1"/>
  <c r="EP13" i="160"/>
  <c r="EQ13" i="160" s="1"/>
  <c r="EP9" i="160"/>
  <c r="EO9" i="160"/>
  <c r="EQ20" i="160"/>
  <c r="EP11" i="160"/>
  <c r="EO11" i="160"/>
  <c r="GN14" i="160"/>
  <c r="GN10" i="160"/>
  <c r="EK20" i="160"/>
  <c r="DV20" i="160"/>
  <c r="EI20" i="160"/>
  <c r="ET5" i="160"/>
  <c r="DX20" i="160"/>
  <c r="GN4" i="160"/>
  <c r="GN8" i="160"/>
  <c r="GN7" i="160"/>
  <c r="EQ12" i="160"/>
  <c r="DV14" i="160"/>
  <c r="EI14" i="160"/>
  <c r="DV16" i="160"/>
  <c r="EI16" i="160"/>
  <c r="DV8" i="160"/>
  <c r="EI8" i="160"/>
  <c r="EI4" i="160"/>
  <c r="DV4" i="160"/>
  <c r="DV7" i="160"/>
  <c r="EI7" i="160"/>
  <c r="GN9" i="160"/>
  <c r="DV17" i="160"/>
  <c r="EI17" i="160"/>
  <c r="EI15" i="160"/>
  <c r="DV15" i="160"/>
  <c r="EQ8" i="160"/>
  <c r="GN6" i="160"/>
  <c r="EI12" i="160"/>
  <c r="DV12" i="160"/>
  <c r="DV6" i="160"/>
  <c r="EI6" i="160"/>
  <c r="EI11" i="160"/>
  <c r="DV11" i="160"/>
  <c r="EI18" i="160"/>
  <c r="DV18" i="160"/>
  <c r="DV13" i="160"/>
  <c r="EI13" i="160"/>
  <c r="EQ15" i="160"/>
  <c r="DV10" i="160"/>
  <c r="EI10" i="160"/>
  <c r="EI5" i="160"/>
  <c r="DV5" i="160"/>
  <c r="DV9" i="160"/>
  <c r="EI9" i="160"/>
  <c r="I54" i="159"/>
  <c r="I44" i="159"/>
  <c r="I48" i="159"/>
  <c r="I52" i="159"/>
  <c r="I46" i="159"/>
  <c r="I40" i="159"/>
  <c r="I50" i="159"/>
  <c r="I51" i="159"/>
  <c r="E51" i="159"/>
  <c r="EN15" i="159" s="1"/>
  <c r="E50" i="159"/>
  <c r="EN14" i="159" s="1"/>
  <c r="E48" i="159"/>
  <c r="EN12" i="159" s="1"/>
  <c r="E40" i="159"/>
  <c r="EN4" i="159" s="1"/>
  <c r="E46" i="159"/>
  <c r="EN10" i="159" s="1"/>
  <c r="E44" i="159"/>
  <c r="EN8" i="159" s="1"/>
  <c r="FG22" i="159"/>
  <c r="FJ22" i="159" s="1"/>
  <c r="E52" i="159"/>
  <c r="EN16" i="159" s="1"/>
  <c r="E54" i="159"/>
  <c r="EN18" i="159" s="1"/>
  <c r="EL18" i="159" s="1"/>
  <c r="EO18" i="159" s="1"/>
  <c r="EM9" i="159"/>
  <c r="EP19" i="159"/>
  <c r="EQ19" i="159" s="1"/>
  <c r="DH4" i="159"/>
  <c r="CN48" i="159"/>
  <c r="EB12" i="159" s="1"/>
  <c r="EE12" i="159" s="1"/>
  <c r="CN52" i="159"/>
  <c r="EB16" i="159" s="1"/>
  <c r="EE16" i="159" s="1"/>
  <c r="CN44" i="159"/>
  <c r="EB8" i="159" s="1"/>
  <c r="EE8" i="159" s="1"/>
  <c r="CN50" i="159"/>
  <c r="EB14" i="159" s="1"/>
  <c r="EE14" i="159" s="1"/>
  <c r="FU22" i="159"/>
  <c r="CN46" i="159"/>
  <c r="EB10" i="159" s="1"/>
  <c r="EE10" i="159" s="1"/>
  <c r="CN54" i="159"/>
  <c r="EB18" i="159" s="1"/>
  <c r="EE18" i="159" s="1"/>
  <c r="CN40" i="159"/>
  <c r="EB4" i="159" s="1"/>
  <c r="EE4" i="159" s="1"/>
  <c r="GM14" i="159"/>
  <c r="EN11" i="159"/>
  <c r="CN47" i="159"/>
  <c r="EB11" i="159" s="1"/>
  <c r="EE11" i="159" s="1"/>
  <c r="CY31" i="159"/>
  <c r="FA21" i="159"/>
  <c r="DA21" i="159" s="1"/>
  <c r="GG21" i="159" s="1"/>
  <c r="FI21" i="159"/>
  <c r="EM14" i="159"/>
  <c r="EM15" i="159"/>
  <c r="EM11" i="159"/>
  <c r="EM4" i="159"/>
  <c r="GC22" i="159"/>
  <c r="CV48" i="159"/>
  <c r="CV54" i="159"/>
  <c r="CV54" i="48" s="1"/>
  <c r="CV46" i="159"/>
  <c r="CV46" i="48" s="1"/>
  <c r="CV40" i="159"/>
  <c r="CV40" i="48" s="1"/>
  <c r="CV50" i="159"/>
  <c r="CV51" i="159"/>
  <c r="CV51" i="48" s="1"/>
  <c r="CV52" i="159"/>
  <c r="CV52" i="48" s="1"/>
  <c r="CV44" i="159"/>
  <c r="CV44" i="48" s="1"/>
  <c r="EM6" i="159"/>
  <c r="FN23" i="159"/>
  <c r="EM5" i="159"/>
  <c r="G49" i="159"/>
  <c r="G53" i="159"/>
  <c r="DH5" i="159"/>
  <c r="E49" i="159"/>
  <c r="E53" i="159"/>
  <c r="CN53" i="159"/>
  <c r="EP20" i="159"/>
  <c r="EQ20" i="159" s="1"/>
  <c r="AC49" i="159"/>
  <c r="AC53" i="159"/>
  <c r="CN49" i="159"/>
  <c r="AC43" i="159"/>
  <c r="AC45" i="159"/>
  <c r="G43" i="159"/>
  <c r="G45" i="159"/>
  <c r="E43" i="159"/>
  <c r="E45" i="159"/>
  <c r="CN45" i="159"/>
  <c r="EB9" i="159" s="1"/>
  <c r="EE9" i="159" s="1"/>
  <c r="CN43" i="159"/>
  <c r="EB7" i="159" s="1"/>
  <c r="EE7" i="159" s="1"/>
  <c r="CN42" i="159"/>
  <c r="E41" i="159"/>
  <c r="DW20" i="159" s="1"/>
  <c r="DV20" i="159" s="1"/>
  <c r="E42" i="159"/>
  <c r="AC41" i="159"/>
  <c r="AC42" i="159"/>
  <c r="G41" i="159"/>
  <c r="EN5" i="159" s="1"/>
  <c r="G42" i="159"/>
  <c r="EB5" i="159"/>
  <c r="EE5" i="159" s="1"/>
  <c r="FU21" i="159"/>
  <c r="CZ31" i="159"/>
  <c r="EM8" i="159"/>
  <c r="EL8" i="159" s="1"/>
  <c r="CN37" i="159"/>
  <c r="CN36" i="159"/>
  <c r="CN39" i="159"/>
  <c r="CN38" i="159"/>
  <c r="CN31" i="159"/>
  <c r="CN30" i="159"/>
  <c r="CN29" i="159"/>
  <c r="CN28" i="159"/>
  <c r="CN27" i="159"/>
  <c r="CN26" i="159"/>
  <c r="CN35" i="159"/>
  <c r="CN32" i="159"/>
  <c r="CN33" i="159"/>
  <c r="CN25" i="159"/>
  <c r="FU23" i="159"/>
  <c r="CN34" i="159"/>
  <c r="EX23" i="159"/>
  <c r="EX21" i="159"/>
  <c r="DY4" i="159"/>
  <c r="EF4" i="159"/>
  <c r="EM16" i="159"/>
  <c r="EE20" i="159"/>
  <c r="EM13" i="159"/>
  <c r="EM7" i="159"/>
  <c r="EE19" i="159"/>
  <c r="FG21" i="159"/>
  <c r="DG21" i="159"/>
  <c r="CX21" i="159" s="1"/>
  <c r="GD21" i="159" s="1"/>
  <c r="GM11" i="159"/>
  <c r="GN11" i="159" s="1"/>
  <c r="GO11" i="159" s="1"/>
  <c r="DI18" i="159"/>
  <c r="EM10" i="159"/>
  <c r="AC36" i="159"/>
  <c r="AC39" i="159"/>
  <c r="AC35" i="159"/>
  <c r="AC34" i="159"/>
  <c r="AC33" i="159"/>
  <c r="AC32" i="159"/>
  <c r="AC37" i="159"/>
  <c r="AC38" i="159"/>
  <c r="AC31" i="159"/>
  <c r="AC29" i="159"/>
  <c r="AC27" i="159"/>
  <c r="AC26" i="159"/>
  <c r="AC25" i="159"/>
  <c r="AC30" i="159"/>
  <c r="AC28" i="159"/>
  <c r="EM12" i="159"/>
  <c r="G39" i="159"/>
  <c r="G38" i="159"/>
  <c r="G35" i="159"/>
  <c r="G34" i="159"/>
  <c r="G33" i="159"/>
  <c r="G32" i="159"/>
  <c r="G31" i="159"/>
  <c r="G30" i="159"/>
  <c r="G29" i="159"/>
  <c r="G36" i="159"/>
  <c r="G27" i="159"/>
  <c r="FI23" i="159"/>
  <c r="G37" i="159"/>
  <c r="G28" i="159"/>
  <c r="G26" i="159"/>
  <c r="G25" i="159"/>
  <c r="EE15" i="159"/>
  <c r="GC10" i="159"/>
  <c r="E39" i="159"/>
  <c r="E37" i="159"/>
  <c r="E36" i="159"/>
  <c r="E38" i="159"/>
  <c r="E35" i="159"/>
  <c r="E34" i="159"/>
  <c r="E33" i="159"/>
  <c r="E32" i="159"/>
  <c r="E30" i="159"/>
  <c r="E28" i="159"/>
  <c r="E26" i="159"/>
  <c r="E25" i="159"/>
  <c r="E27" i="159"/>
  <c r="FG23" i="159"/>
  <c r="E31" i="159"/>
  <c r="E29" i="159"/>
  <c r="DG23" i="159"/>
  <c r="CX23" i="159" s="1"/>
  <c r="GD23" i="159" s="1"/>
  <c r="EM17" i="159"/>
  <c r="FA23" i="159"/>
  <c r="DA23" i="159" s="1"/>
  <c r="GG23" i="159" s="1"/>
  <c r="CV4" i="159"/>
  <c r="CV4" i="48" s="1"/>
  <c r="DD18" i="48"/>
  <c r="FF21" i="48"/>
  <c r="EM7" i="107"/>
  <c r="EP20" i="107"/>
  <c r="EQ20" i="107" s="1"/>
  <c r="EM6" i="107"/>
  <c r="EM18" i="107"/>
  <c r="EM15" i="107"/>
  <c r="EP19" i="107"/>
  <c r="EO19" i="107"/>
  <c r="BK28" i="107"/>
  <c r="BK36" i="107"/>
  <c r="BK38" i="107"/>
  <c r="BK37" i="107"/>
  <c r="BK35" i="107"/>
  <c r="BK39" i="107"/>
  <c r="K42" i="107"/>
  <c r="K46" i="107"/>
  <c r="K50" i="107"/>
  <c r="K54" i="107"/>
  <c r="K43" i="107"/>
  <c r="K47" i="107"/>
  <c r="K51" i="107"/>
  <c r="K44" i="107"/>
  <c r="K48" i="107"/>
  <c r="K52" i="107"/>
  <c r="K41" i="107"/>
  <c r="K49" i="107"/>
  <c r="K45" i="107"/>
  <c r="K53" i="107"/>
  <c r="DI13" i="107"/>
  <c r="DH13" i="107"/>
  <c r="EM12" i="107"/>
  <c r="EM11" i="107"/>
  <c r="K40" i="107"/>
  <c r="BK29" i="107"/>
  <c r="AK27" i="107"/>
  <c r="AK31" i="107"/>
  <c r="AK35" i="107"/>
  <c r="AK39" i="107"/>
  <c r="AK28" i="107"/>
  <c r="AK32" i="107"/>
  <c r="AK36" i="107"/>
  <c r="AK29" i="107"/>
  <c r="AK38" i="107"/>
  <c r="AK26" i="107"/>
  <c r="AK37" i="107"/>
  <c r="AK30" i="107"/>
  <c r="AK34" i="107"/>
  <c r="AK25" i="107"/>
  <c r="AK33" i="107"/>
  <c r="BM28" i="107"/>
  <c r="BM35" i="107"/>
  <c r="BM37" i="107"/>
  <c r="BM39" i="107"/>
  <c r="BM38" i="107"/>
  <c r="BM36" i="107"/>
  <c r="Q28" i="107"/>
  <c r="Q32" i="107"/>
  <c r="Q36" i="107"/>
  <c r="Q25" i="107"/>
  <c r="Q30" i="107"/>
  <c r="Q35" i="107"/>
  <c r="Q26" i="107"/>
  <c r="Q27" i="107"/>
  <c r="Q33" i="107"/>
  <c r="Q38" i="107"/>
  <c r="Q31" i="107"/>
  <c r="Q29" i="107"/>
  <c r="Q34" i="107"/>
  <c r="Q39" i="107"/>
  <c r="Q37" i="107"/>
  <c r="S42" i="107"/>
  <c r="S46" i="107"/>
  <c r="S50" i="107"/>
  <c r="S54" i="107"/>
  <c r="S43" i="107"/>
  <c r="S47" i="107"/>
  <c r="S51" i="107"/>
  <c r="S44" i="107"/>
  <c r="S48" i="107"/>
  <c r="S52" i="107"/>
  <c r="S40" i="107"/>
  <c r="S49" i="107"/>
  <c r="S41" i="107"/>
  <c r="S45" i="107"/>
  <c r="S53" i="107"/>
  <c r="AK44" i="107"/>
  <c r="AK48" i="107"/>
  <c r="AK52" i="107"/>
  <c r="AK42" i="107"/>
  <c r="AK49" i="107"/>
  <c r="AK51" i="107"/>
  <c r="AK40" i="107"/>
  <c r="AK45" i="107"/>
  <c r="AK47" i="107"/>
  <c r="AK54" i="107"/>
  <c r="AK41" i="107"/>
  <c r="AK43" i="107"/>
  <c r="AK50" i="107"/>
  <c r="AK46" i="107"/>
  <c r="AK53" i="107"/>
  <c r="EE19" i="107"/>
  <c r="EM16" i="107"/>
  <c r="DI9" i="107"/>
  <c r="DH9" i="107"/>
  <c r="DH14" i="107"/>
  <c r="DI14" i="107"/>
  <c r="DI17" i="107"/>
  <c r="DH17" i="107"/>
  <c r="Y44" i="107"/>
  <c r="Y48" i="107"/>
  <c r="Y52" i="107"/>
  <c r="Y41" i="107"/>
  <c r="Y45" i="107"/>
  <c r="Y49" i="107"/>
  <c r="Y53" i="107"/>
  <c r="Y42" i="107"/>
  <c r="Y46" i="107"/>
  <c r="Y50" i="107"/>
  <c r="Y54" i="107"/>
  <c r="Y43" i="107"/>
  <c r="Y51" i="107"/>
  <c r="Y47" i="107"/>
  <c r="Y40" i="107"/>
  <c r="Y28" i="107"/>
  <c r="Y32" i="107"/>
  <c r="Y36" i="107"/>
  <c r="Y25" i="107"/>
  <c r="Y29" i="107"/>
  <c r="Y33" i="107"/>
  <c r="Y37" i="107"/>
  <c r="Y30" i="107"/>
  <c r="Y38" i="107"/>
  <c r="Y39" i="107"/>
  <c r="Y26" i="107"/>
  <c r="Y34" i="107"/>
  <c r="Y27" i="107"/>
  <c r="Y35" i="107"/>
  <c r="Y31" i="107"/>
  <c r="AA42" i="107"/>
  <c r="AA41" i="107"/>
  <c r="AA46" i="107"/>
  <c r="AA50" i="107"/>
  <c r="AA54" i="107"/>
  <c r="AA43" i="107"/>
  <c r="AA47" i="107"/>
  <c r="AA51" i="107"/>
  <c r="AA44" i="107"/>
  <c r="AA48" i="107"/>
  <c r="AA52" i="107"/>
  <c r="AA40" i="107"/>
  <c r="AA49" i="107"/>
  <c r="AA53" i="107"/>
  <c r="AA45" i="107"/>
  <c r="DI15" i="107"/>
  <c r="DH15" i="107"/>
  <c r="DH7" i="107"/>
  <c r="DI7" i="107"/>
  <c r="EM13" i="107"/>
  <c r="EM10" i="107"/>
  <c r="W29" i="107"/>
  <c r="W33" i="107"/>
  <c r="W37" i="107"/>
  <c r="W26" i="107"/>
  <c r="W30" i="107"/>
  <c r="W34" i="107"/>
  <c r="W38" i="107"/>
  <c r="W31" i="107"/>
  <c r="W39" i="107"/>
  <c r="W27" i="107"/>
  <c r="W35" i="107"/>
  <c r="W32" i="107"/>
  <c r="W28" i="107"/>
  <c r="W36" i="107"/>
  <c r="W25" i="107"/>
  <c r="BK34" i="107"/>
  <c r="M26" i="107"/>
  <c r="M30" i="107"/>
  <c r="M34" i="107"/>
  <c r="M38" i="107"/>
  <c r="M27" i="107"/>
  <c r="M32" i="107"/>
  <c r="M37" i="107"/>
  <c r="M28" i="107"/>
  <c r="M29" i="107"/>
  <c r="M35" i="107"/>
  <c r="M33" i="107"/>
  <c r="M31" i="107"/>
  <c r="M36" i="107"/>
  <c r="M39" i="107"/>
  <c r="AA26" i="107"/>
  <c r="AA30" i="107"/>
  <c r="AA27" i="107"/>
  <c r="AA31" i="107"/>
  <c r="AA35" i="107"/>
  <c r="AA39" i="107"/>
  <c r="AA28" i="107"/>
  <c r="AA32" i="107"/>
  <c r="AA36" i="107"/>
  <c r="AA25" i="107"/>
  <c r="AA37" i="107"/>
  <c r="AA33" i="107"/>
  <c r="AA38" i="107"/>
  <c r="AA34" i="107"/>
  <c r="AA29" i="107"/>
  <c r="K28" i="107"/>
  <c r="K32" i="107"/>
  <c r="K29" i="107"/>
  <c r="K34" i="107"/>
  <c r="K38" i="107"/>
  <c r="K30" i="107"/>
  <c r="K26" i="107"/>
  <c r="K31" i="107"/>
  <c r="K36" i="107"/>
  <c r="K35" i="107"/>
  <c r="K27" i="107"/>
  <c r="K33" i="107"/>
  <c r="K37" i="107"/>
  <c r="K39" i="107"/>
  <c r="CN53" i="107"/>
  <c r="EB17" i="107" s="1"/>
  <c r="CN50" i="107"/>
  <c r="EB14" i="107" s="1"/>
  <c r="EE14" i="107" s="1"/>
  <c r="CN54" i="107"/>
  <c r="EB18" i="107" s="1"/>
  <c r="EE18" i="107" s="1"/>
  <c r="CN52" i="107"/>
  <c r="EB16" i="107" s="1"/>
  <c r="EE16" i="107" s="1"/>
  <c r="CN51" i="107"/>
  <c r="EB15" i="107" s="1"/>
  <c r="BK50" i="107"/>
  <c r="BK52" i="107"/>
  <c r="BK54" i="107"/>
  <c r="BK53" i="107"/>
  <c r="BK51" i="107"/>
  <c r="M44" i="107"/>
  <c r="M48" i="107"/>
  <c r="M52" i="107"/>
  <c r="M41" i="107"/>
  <c r="DJ5" i="107" s="1"/>
  <c r="M45" i="107"/>
  <c r="DJ9" i="107" s="1"/>
  <c r="M49" i="107"/>
  <c r="M53" i="107"/>
  <c r="DJ17" i="107" s="1"/>
  <c r="M42" i="107"/>
  <c r="DJ6" i="107" s="1"/>
  <c r="M46" i="107"/>
  <c r="M50" i="107"/>
  <c r="DJ14" i="107" s="1"/>
  <c r="M54" i="107"/>
  <c r="M47" i="107"/>
  <c r="DJ11" i="107" s="1"/>
  <c r="M43" i="107"/>
  <c r="DJ7" i="107" s="1"/>
  <c r="M51" i="107"/>
  <c r="DJ15" i="107" s="1"/>
  <c r="DJ13" i="107"/>
  <c r="EM17" i="107"/>
  <c r="DI18" i="107"/>
  <c r="DJ18" i="107"/>
  <c r="DH18" i="107"/>
  <c r="DJ16" i="107"/>
  <c r="DH16" i="107"/>
  <c r="DI16" i="107"/>
  <c r="DI11" i="107"/>
  <c r="DH11" i="107"/>
  <c r="DH12" i="107"/>
  <c r="DI12" i="107"/>
  <c r="DJ12" i="107"/>
  <c r="CN36" i="107"/>
  <c r="CN37" i="107"/>
  <c r="CN39" i="107"/>
  <c r="CN35" i="107"/>
  <c r="CN38" i="107"/>
  <c r="DH8" i="107"/>
  <c r="DI8" i="107"/>
  <c r="DJ8" i="107"/>
  <c r="EM8" i="107"/>
  <c r="EM5" i="107"/>
  <c r="EB20" i="107"/>
  <c r="AE29" i="107"/>
  <c r="AE33" i="107"/>
  <c r="AE37" i="107"/>
  <c r="AE26" i="107"/>
  <c r="AE30" i="107"/>
  <c r="AE34" i="107"/>
  <c r="AE38" i="107"/>
  <c r="AE27" i="107"/>
  <c r="AE31" i="107"/>
  <c r="AE35" i="107"/>
  <c r="AE39" i="107"/>
  <c r="AE25" i="107"/>
  <c r="AE32" i="107"/>
  <c r="AE28" i="107"/>
  <c r="AE36" i="107"/>
  <c r="O29" i="107"/>
  <c r="O33" i="107"/>
  <c r="O37" i="107"/>
  <c r="O26" i="107"/>
  <c r="O31" i="107"/>
  <c r="O36" i="107"/>
  <c r="O27" i="107"/>
  <c r="O28" i="107"/>
  <c r="O34" i="107"/>
  <c r="O39" i="107"/>
  <c r="O32" i="107"/>
  <c r="O30" i="107"/>
  <c r="O35" i="107"/>
  <c r="O25" i="107"/>
  <c r="O38" i="107"/>
  <c r="BK30" i="107"/>
  <c r="U26" i="107"/>
  <c r="U30" i="107"/>
  <c r="U34" i="107"/>
  <c r="U38" i="107"/>
  <c r="U27" i="107"/>
  <c r="U31" i="107"/>
  <c r="U35" i="107"/>
  <c r="U39" i="107"/>
  <c r="U32" i="107"/>
  <c r="U25" i="107"/>
  <c r="U33" i="107"/>
  <c r="U28" i="107"/>
  <c r="U36" i="107"/>
  <c r="U29" i="107"/>
  <c r="U37" i="107"/>
  <c r="AI28" i="107"/>
  <c r="AI32" i="107"/>
  <c r="AI36" i="107"/>
  <c r="AI25" i="107"/>
  <c r="AI29" i="107"/>
  <c r="AI33" i="107"/>
  <c r="AI37" i="107"/>
  <c r="AI26" i="107"/>
  <c r="AI30" i="107"/>
  <c r="AI27" i="107"/>
  <c r="AI35" i="107"/>
  <c r="AI31" i="107"/>
  <c r="AI34" i="107"/>
  <c r="AI39" i="107"/>
  <c r="AI38" i="107"/>
  <c r="S27" i="107"/>
  <c r="S31" i="107"/>
  <c r="S35" i="107"/>
  <c r="S39" i="107"/>
  <c r="S28" i="107"/>
  <c r="S32" i="107"/>
  <c r="S36" i="107"/>
  <c r="S33" i="107"/>
  <c r="S25" i="107"/>
  <c r="S29" i="107"/>
  <c r="S37" i="107"/>
  <c r="S26" i="107"/>
  <c r="S30" i="107"/>
  <c r="S38" i="107"/>
  <c r="S34" i="107"/>
  <c r="I28" i="107"/>
  <c r="I32" i="107"/>
  <c r="I36" i="107"/>
  <c r="I29" i="107"/>
  <c r="I26" i="107"/>
  <c r="I30" i="107"/>
  <c r="I34" i="107"/>
  <c r="I38" i="107"/>
  <c r="I37" i="107"/>
  <c r="I27" i="107"/>
  <c r="I31" i="107"/>
  <c r="I35" i="107"/>
  <c r="I39" i="107"/>
  <c r="I33" i="107"/>
  <c r="W42" i="107"/>
  <c r="W46" i="107"/>
  <c r="W50" i="107"/>
  <c r="W54" i="107"/>
  <c r="W40" i="107"/>
  <c r="W43" i="107"/>
  <c r="W47" i="107"/>
  <c r="W51" i="107"/>
  <c r="W44" i="107"/>
  <c r="W48" i="107"/>
  <c r="W52" i="107"/>
  <c r="W45" i="107"/>
  <c r="W49" i="107"/>
  <c r="W53" i="107"/>
  <c r="W41" i="107"/>
  <c r="O42" i="107"/>
  <c r="O46" i="107"/>
  <c r="O50" i="107"/>
  <c r="O54" i="107"/>
  <c r="O40" i="107"/>
  <c r="O43" i="107"/>
  <c r="O47" i="107"/>
  <c r="O51" i="107"/>
  <c r="O44" i="107"/>
  <c r="O48" i="107"/>
  <c r="O52" i="107"/>
  <c r="O53" i="107"/>
  <c r="O45" i="107"/>
  <c r="O49" i="107"/>
  <c r="O41" i="107"/>
  <c r="BM51" i="107"/>
  <c r="BM53" i="107"/>
  <c r="BM52" i="107"/>
  <c r="BM50" i="107"/>
  <c r="BM54" i="107"/>
  <c r="EM14" i="107"/>
  <c r="DI10" i="107"/>
  <c r="DJ10" i="107"/>
  <c r="DH10" i="107"/>
  <c r="DH6" i="107"/>
  <c r="DI6" i="107"/>
  <c r="DH5" i="107"/>
  <c r="DI5" i="107"/>
  <c r="DF9" i="48"/>
  <c r="DF11" i="48"/>
  <c r="DF15" i="48"/>
  <c r="HJ15" i="48"/>
  <c r="U24" i="48"/>
  <c r="DF41" i="48" s="1"/>
  <c r="DE9" i="48"/>
  <c r="DG11" i="48"/>
  <c r="DG17" i="48"/>
  <c r="DE12" i="48"/>
  <c r="DE10" i="48"/>
  <c r="DG14" i="48"/>
  <c r="DE13" i="48"/>
  <c r="D50" i="48"/>
  <c r="D25" i="48"/>
  <c r="Q45" i="48"/>
  <c r="AS45" i="48"/>
  <c r="AS31" i="48"/>
  <c r="AS27" i="48"/>
  <c r="AS52" i="48"/>
  <c r="DG9" i="48"/>
  <c r="K43" i="48"/>
  <c r="BY28" i="48"/>
  <c r="BQ33" i="48"/>
  <c r="CI32" i="48"/>
  <c r="AS26" i="48"/>
  <c r="CI35" i="48"/>
  <c r="BS35" i="48"/>
  <c r="BQ32" i="48"/>
  <c r="BU45" i="48"/>
  <c r="BM40" i="48"/>
  <c r="AW43" i="48"/>
  <c r="AO48" i="48"/>
  <c r="Q48" i="48"/>
  <c r="CC30" i="48"/>
  <c r="BS49" i="48"/>
  <c r="AU53" i="48"/>
  <c r="CE34" i="48"/>
  <c r="BG34" i="48"/>
  <c r="AY30" i="48"/>
  <c r="CG51" i="48"/>
  <c r="BY40" i="48"/>
  <c r="BY43" i="48"/>
  <c r="BY50" i="48"/>
  <c r="BQ42" i="48"/>
  <c r="BQ54" i="48"/>
  <c r="AS40" i="48"/>
  <c r="AS50" i="48"/>
  <c r="AW32" i="48"/>
  <c r="BQ29" i="48"/>
  <c r="DG13" i="48"/>
  <c r="CA36" i="48"/>
  <c r="CG36" i="48"/>
  <c r="BY31" i="48"/>
  <c r="AM39" i="48"/>
  <c r="BY39" i="48"/>
  <c r="CI31" i="48"/>
  <c r="CE30" i="48"/>
  <c r="BO39" i="48"/>
  <c r="CC43" i="48"/>
  <c r="CC52" i="48"/>
  <c r="BM47" i="48"/>
  <c r="BE41" i="48"/>
  <c r="AW50" i="48"/>
  <c r="AO42" i="48"/>
  <c r="BU32" i="48"/>
  <c r="CI40" i="48"/>
  <c r="CI52" i="48"/>
  <c r="CA42" i="48"/>
  <c r="CA51" i="48"/>
  <c r="BG35" i="48"/>
  <c r="CG41" i="48"/>
  <c r="AS43" i="48"/>
  <c r="U51" i="48"/>
  <c r="CE44" i="48"/>
  <c r="BW43" i="48"/>
  <c r="BW52" i="48"/>
  <c r="BO43" i="48"/>
  <c r="BO49" i="48"/>
  <c r="BG47" i="48"/>
  <c r="BG50" i="48"/>
  <c r="AQ41" i="48"/>
  <c r="AQ53" i="48"/>
  <c r="BE32" i="48"/>
  <c r="BE33" i="48"/>
  <c r="AW35" i="48"/>
  <c r="AO39" i="48"/>
  <c r="BS29" i="48"/>
  <c r="BO32" i="48"/>
  <c r="CC46" i="48"/>
  <c r="CC54" i="48"/>
  <c r="BU51" i="48"/>
  <c r="BU53" i="48"/>
  <c r="BE42" i="48"/>
  <c r="BE49" i="48"/>
  <c r="AW46" i="48"/>
  <c r="AW52" i="48"/>
  <c r="CI50" i="48"/>
  <c r="AU42" i="48"/>
  <c r="AM52" i="48"/>
  <c r="BG31" i="48"/>
  <c r="AQ26" i="48"/>
  <c r="CG48" i="48"/>
  <c r="U45" i="48"/>
  <c r="U46" i="48"/>
  <c r="CE40" i="48"/>
  <c r="CE47" i="48"/>
  <c r="BW50" i="48"/>
  <c r="BG40" i="48"/>
  <c r="AQ42" i="48"/>
  <c r="BE39" i="48"/>
  <c r="AW31" i="48"/>
  <c r="AO38" i="48"/>
  <c r="BY29" i="48"/>
  <c r="AC15" i="48"/>
  <c r="BW32" i="48"/>
  <c r="DE11" i="48"/>
  <c r="DE18" i="48"/>
  <c r="DG8" i="48"/>
  <c r="BS36" i="48"/>
  <c r="BM44" i="48"/>
  <c r="BS42" i="48"/>
  <c r="BI40" i="48"/>
  <c r="BI48" i="48"/>
  <c r="BI52" i="48"/>
  <c r="BI42" i="48"/>
  <c r="BI47" i="48"/>
  <c r="BI53" i="48"/>
  <c r="BO52" i="48"/>
  <c r="BO37" i="48"/>
  <c r="BI43" i="48"/>
  <c r="BI50" i="48"/>
  <c r="BA51" i="48"/>
  <c r="DG15" i="48"/>
  <c r="DG5" i="48"/>
  <c r="BC51" i="48"/>
  <c r="BC41" i="48"/>
  <c r="AU52" i="48"/>
  <c r="S49" i="48"/>
  <c r="AU39" i="48"/>
  <c r="S52" i="48"/>
  <c r="Q46" i="48"/>
  <c r="Q52" i="48"/>
  <c r="AS47" i="48"/>
  <c r="DE16" i="48"/>
  <c r="BC47" i="48"/>
  <c r="AA48" i="48"/>
  <c r="AA52" i="48"/>
  <c r="BC26" i="48"/>
  <c r="AA53" i="48"/>
  <c r="BC54" i="48"/>
  <c r="AA50" i="48"/>
  <c r="AA23" i="48"/>
  <c r="BC30" i="48"/>
  <c r="AY50" i="48"/>
  <c r="AY25" i="48"/>
  <c r="AG48" i="48"/>
  <c r="AY34" i="48"/>
  <c r="AY43" i="48"/>
  <c r="AY49" i="48"/>
  <c r="BA42" i="48"/>
  <c r="DG16" i="48"/>
  <c r="DG18" i="48"/>
  <c r="CA28" i="48"/>
  <c r="DF8" i="48"/>
  <c r="AY29" i="48"/>
  <c r="AY26" i="48"/>
  <c r="AY27" i="48"/>
  <c r="AY28" i="48"/>
  <c r="AY45" i="48"/>
  <c r="AY35" i="48"/>
  <c r="AY47" i="48"/>
  <c r="BM51" i="48"/>
  <c r="BM53" i="48"/>
  <c r="BM49" i="48"/>
  <c r="BM45" i="48"/>
  <c r="AQ39" i="48"/>
  <c r="O42" i="48"/>
  <c r="O40" i="48"/>
  <c r="AQ31" i="48"/>
  <c r="AK51" i="48"/>
  <c r="AQ51" i="48"/>
  <c r="AQ37" i="48"/>
  <c r="AQ50" i="48"/>
  <c r="AQ52" i="48"/>
  <c r="O23" i="48"/>
  <c r="BA34" i="48"/>
  <c r="BC37" i="48"/>
  <c r="BK50" i="48"/>
  <c r="BQ31" i="48"/>
  <c r="BQ49" i="48"/>
  <c r="BQ28" i="48"/>
  <c r="BQ52" i="48"/>
  <c r="M23" i="48"/>
  <c r="BQ34" i="48"/>
  <c r="BQ45" i="48"/>
  <c r="BK41" i="48"/>
  <c r="BI45" i="48"/>
  <c r="BO53" i="48"/>
  <c r="BO34" i="48"/>
  <c r="BO33" i="48"/>
  <c r="BO29" i="48"/>
  <c r="K45" i="48"/>
  <c r="BI41" i="48"/>
  <c r="BO42" i="48"/>
  <c r="BO48" i="48"/>
  <c r="AE49" i="48"/>
  <c r="BA33" i="48"/>
  <c r="AA42" i="48"/>
  <c r="AA46" i="48"/>
  <c r="AA21" i="48"/>
  <c r="AK40" i="48"/>
  <c r="BA37" i="48"/>
  <c r="D47" i="48"/>
  <c r="D46" i="48"/>
  <c r="D44" i="48"/>
  <c r="D52" i="48"/>
  <c r="D43" i="48"/>
  <c r="D53" i="48"/>
  <c r="BK40" i="48"/>
  <c r="AE44" i="48"/>
  <c r="BA36" i="48"/>
  <c r="BA47" i="48"/>
  <c r="BC27" i="48"/>
  <c r="BC45" i="48"/>
  <c r="W42" i="48"/>
  <c r="W54" i="48"/>
  <c r="AE41" i="48"/>
  <c r="DE8" i="48"/>
  <c r="AE50" i="48"/>
  <c r="AE42" i="48"/>
  <c r="AE53" i="48"/>
  <c r="AE40" i="48"/>
  <c r="AE46" i="48"/>
  <c r="AG54" i="48"/>
  <c r="Q47" i="48"/>
  <c r="AG42" i="48"/>
  <c r="Q43" i="48"/>
  <c r="AG40" i="48"/>
  <c r="AG46" i="48"/>
  <c r="AS28" i="48"/>
  <c r="AS38" i="48"/>
  <c r="Q44" i="48"/>
  <c r="AS44" i="48"/>
  <c r="AS49" i="48"/>
  <c r="AS53" i="48"/>
  <c r="AS29" i="48"/>
  <c r="AG44" i="48"/>
  <c r="AG49" i="48"/>
  <c r="K47" i="48"/>
  <c r="K42" i="48"/>
  <c r="K53" i="48"/>
  <c r="AM41" i="48"/>
  <c r="AM45" i="48"/>
  <c r="K41" i="48"/>
  <c r="K50" i="48"/>
  <c r="K51" i="48"/>
  <c r="K52" i="48"/>
  <c r="AG41" i="48"/>
  <c r="K44" i="48"/>
  <c r="AM35" i="48"/>
  <c r="K22" i="48"/>
  <c r="K40" i="48"/>
  <c r="AQ25" i="48"/>
  <c r="O50" i="48"/>
  <c r="AQ40" i="48"/>
  <c r="AQ29" i="48"/>
  <c r="O41" i="48"/>
  <c r="AQ34" i="48"/>
  <c r="AQ47" i="48"/>
  <c r="O46" i="48"/>
  <c r="AG52" i="48"/>
  <c r="BQ43" i="48"/>
  <c r="E7" i="48"/>
  <c r="AO30" i="48"/>
  <c r="AO41" i="48"/>
  <c r="AO51" i="48"/>
  <c r="AO53" i="48"/>
  <c r="AO37" i="48"/>
  <c r="CC48" i="48"/>
  <c r="BK54" i="48"/>
  <c r="CC25" i="48"/>
  <c r="CC32" i="48"/>
  <c r="CC38" i="48"/>
  <c r="BK42" i="48"/>
  <c r="Y22" i="48"/>
  <c r="W45" i="48"/>
  <c r="W49" i="48"/>
  <c r="BA52" i="48"/>
  <c r="BA27" i="48"/>
  <c r="BK51" i="48"/>
  <c r="AI52" i="48"/>
  <c r="O51" i="48"/>
  <c r="BK47" i="48"/>
  <c r="AY32" i="48"/>
  <c r="AY41" i="48"/>
  <c r="AG43" i="48"/>
  <c r="AG51" i="48"/>
  <c r="W46" i="48"/>
  <c r="W53" i="48"/>
  <c r="AY33" i="48"/>
  <c r="AY42" i="48"/>
  <c r="AY53" i="48"/>
  <c r="AG45" i="48"/>
  <c r="W40" i="48"/>
  <c r="W41" i="48"/>
  <c r="W48" i="48"/>
  <c r="W44" i="48"/>
  <c r="AY38" i="48"/>
  <c r="AY48" i="48"/>
  <c r="W50" i="48"/>
  <c r="AY39" i="48"/>
  <c r="AY37" i="48"/>
  <c r="AY40" i="48"/>
  <c r="AY51" i="48"/>
  <c r="AY52" i="48"/>
  <c r="AG47" i="48"/>
  <c r="AY54" i="48"/>
  <c r="BA46" i="48"/>
  <c r="BA54" i="48"/>
  <c r="BA40" i="48"/>
  <c r="BA43" i="48"/>
  <c r="AU32" i="48"/>
  <c r="S40" i="48"/>
  <c r="BC32" i="48"/>
  <c r="AA45" i="48"/>
  <c r="I21" i="48"/>
  <c r="BC34" i="48"/>
  <c r="BC43" i="48"/>
  <c r="BC48" i="48"/>
  <c r="BC52" i="48"/>
  <c r="I23" i="48"/>
  <c r="I11" i="48"/>
  <c r="AA41" i="48"/>
  <c r="W52" i="48"/>
  <c r="W47" i="48"/>
  <c r="W51" i="48"/>
  <c r="W43" i="48"/>
  <c r="AE51" i="48"/>
  <c r="O52" i="48"/>
  <c r="AO25" i="48"/>
  <c r="CA30" i="48"/>
  <c r="AM30" i="48"/>
  <c r="O43" i="48"/>
  <c r="O45" i="48"/>
  <c r="AM33" i="48"/>
  <c r="AU33" i="48"/>
  <c r="BC33" i="48"/>
  <c r="CA33" i="48"/>
  <c r="CI28" i="48"/>
  <c r="CI33" i="48"/>
  <c r="E21" i="48"/>
  <c r="DB27" i="48" s="1"/>
  <c r="DF38" i="48" s="1"/>
  <c r="U53" i="48"/>
  <c r="U44" i="48"/>
  <c r="U48" i="48"/>
  <c r="U52" i="48"/>
  <c r="S42" i="48"/>
  <c r="S51" i="48"/>
  <c r="S53" i="48"/>
  <c r="AI40" i="48"/>
  <c r="AU36" i="48"/>
  <c r="AU29" i="48"/>
  <c r="AU25" i="48"/>
  <c r="O53" i="48"/>
  <c r="AK42" i="48"/>
  <c r="O49" i="48"/>
  <c r="AK41" i="48"/>
  <c r="BA28" i="48"/>
  <c r="BA39" i="48"/>
  <c r="BA50" i="48"/>
  <c r="BA25" i="48"/>
  <c r="BA29" i="48"/>
  <c r="BA31" i="48"/>
  <c r="U49" i="48"/>
  <c r="AS33" i="48"/>
  <c r="AG50" i="48"/>
  <c r="Q49" i="48"/>
  <c r="Q42" i="48"/>
  <c r="Q50" i="48"/>
  <c r="AS48" i="48"/>
  <c r="BS32" i="48"/>
  <c r="BM54" i="48"/>
  <c r="BS46" i="48"/>
  <c r="O48" i="48"/>
  <c r="O47" i="48"/>
  <c r="BS31" i="48"/>
  <c r="BM43" i="48"/>
  <c r="BM48" i="48"/>
  <c r="BS27" i="48"/>
  <c r="BS40" i="48"/>
  <c r="O44" i="48"/>
  <c r="O54" i="48"/>
  <c r="BS33" i="48"/>
  <c r="M49" i="48"/>
  <c r="DG10" i="48"/>
  <c r="BA30" i="48"/>
  <c r="BA26" i="48"/>
  <c r="BA41" i="48"/>
  <c r="BA38" i="48"/>
  <c r="BA45" i="48"/>
  <c r="AE48" i="48"/>
  <c r="AE43" i="48"/>
  <c r="AE52" i="48"/>
  <c r="AE45" i="48"/>
  <c r="AU47" i="48"/>
  <c r="S44" i="48"/>
  <c r="S41" i="48"/>
  <c r="S45" i="48"/>
  <c r="S50" i="48"/>
  <c r="AE47" i="48"/>
  <c r="AE54" i="48"/>
  <c r="M46" i="48"/>
  <c r="DE15" i="48"/>
  <c r="G6" i="48"/>
  <c r="CC40" i="48"/>
  <c r="CC47" i="48"/>
  <c r="CC33" i="48"/>
  <c r="BK46" i="48"/>
  <c r="Y45" i="48"/>
  <c r="CC53" i="48"/>
  <c r="CC37" i="48"/>
  <c r="Y23" i="48"/>
  <c r="CC31" i="48"/>
  <c r="BK52" i="48"/>
  <c r="BK44" i="48"/>
  <c r="BK48" i="48"/>
  <c r="Y52" i="48"/>
  <c r="Y49" i="48"/>
  <c r="BK43" i="48"/>
  <c r="BK49" i="48"/>
  <c r="BK53" i="48"/>
  <c r="Y41" i="48"/>
  <c r="BK45" i="48"/>
  <c r="Y40" i="48"/>
  <c r="BA44" i="48"/>
  <c r="BA48" i="48"/>
  <c r="BA53" i="48"/>
  <c r="AI54" i="48"/>
  <c r="AI51" i="48"/>
  <c r="BA35" i="48"/>
  <c r="BA49" i="48"/>
  <c r="AI48" i="48"/>
  <c r="AI41" i="48"/>
  <c r="AI44" i="48"/>
  <c r="AI50" i="48"/>
  <c r="Y47" i="48"/>
  <c r="Y51" i="48"/>
  <c r="AI49" i="48"/>
  <c r="AI43" i="48"/>
  <c r="AI46" i="48"/>
  <c r="AU44" i="48"/>
  <c r="AU54" i="48"/>
  <c r="AU30" i="48"/>
  <c r="AU49" i="48"/>
  <c r="S47" i="48"/>
  <c r="S54" i="48"/>
  <c r="AU35" i="48"/>
  <c r="AU34" i="48"/>
  <c r="S46" i="48"/>
  <c r="BC35" i="48"/>
  <c r="AA40" i="48"/>
  <c r="AA49" i="48"/>
  <c r="BC38" i="48"/>
  <c r="BC29" i="48"/>
  <c r="BC25" i="48"/>
  <c r="BC53" i="48"/>
  <c r="BC46" i="48"/>
  <c r="AK54" i="48"/>
  <c r="AM36" i="48"/>
  <c r="AG53" i="48"/>
  <c r="K46" i="48"/>
  <c r="K54" i="48"/>
  <c r="AM28" i="48"/>
  <c r="AM48" i="48"/>
  <c r="AM44" i="48"/>
  <c r="AM47" i="48"/>
  <c r="K49" i="48"/>
  <c r="I8" i="48"/>
  <c r="BC42" i="48"/>
  <c r="BC50" i="48"/>
  <c r="AK45" i="48"/>
  <c r="AA43" i="48"/>
  <c r="AK44" i="48"/>
  <c r="AK48" i="48"/>
  <c r="AK49" i="48"/>
  <c r="AK53" i="48"/>
  <c r="I43" i="48"/>
  <c r="I52" i="48"/>
  <c r="BC36" i="48"/>
  <c r="BC49" i="48"/>
  <c r="AK47" i="48"/>
  <c r="I45" i="48"/>
  <c r="AK46" i="48"/>
  <c r="AA47" i="48"/>
  <c r="AA54" i="48"/>
  <c r="BC28" i="48"/>
  <c r="D48" i="48"/>
  <c r="D45" i="48"/>
  <c r="D51" i="48"/>
  <c r="Y21" i="48"/>
  <c r="W21" i="48"/>
  <c r="AC11" i="48"/>
  <c r="AC9" i="48"/>
  <c r="AC17" i="48"/>
  <c r="AC13" i="48"/>
  <c r="EB19" i="48"/>
  <c r="EE19" i="48" s="1"/>
  <c r="D31" i="48"/>
  <c r="D28" i="48"/>
  <c r="CK25" i="48"/>
  <c r="M45" i="48"/>
  <c r="M47" i="48"/>
  <c r="M51" i="48"/>
  <c r="D34" i="48"/>
  <c r="D30" i="48"/>
  <c r="D33" i="48"/>
  <c r="M52" i="48"/>
  <c r="M50" i="48"/>
  <c r="D40" i="48"/>
  <c r="D27" i="48"/>
  <c r="D35" i="48"/>
  <c r="D32" i="48"/>
  <c r="D38" i="48"/>
  <c r="M42" i="48"/>
  <c r="M41" i="48"/>
  <c r="M54" i="48"/>
  <c r="EM20" i="48"/>
  <c r="EL20" i="48" s="1"/>
  <c r="D41" i="48"/>
  <c r="S43" i="48"/>
  <c r="S23" i="48"/>
  <c r="D29" i="48"/>
  <c r="D26" i="48"/>
  <c r="D39" i="48"/>
  <c r="D37" i="48"/>
  <c r="M43" i="48"/>
  <c r="M48" i="48"/>
  <c r="M53" i="48"/>
  <c r="EM19" i="48"/>
  <c r="EL19" i="48" s="1"/>
  <c r="EO19" i="48" s="1"/>
  <c r="DC18" i="48"/>
  <c r="AC8" i="48"/>
  <c r="AC5" i="48"/>
  <c r="CV6" i="107"/>
  <c r="GC6" i="107" s="1"/>
  <c r="AG40" i="107"/>
  <c r="AG42" i="107"/>
  <c r="AG44" i="107"/>
  <c r="AG46" i="107"/>
  <c r="AG48" i="107"/>
  <c r="AG50" i="107"/>
  <c r="AG52" i="107"/>
  <c r="AG54" i="107"/>
  <c r="AG43" i="107"/>
  <c r="AG45" i="107"/>
  <c r="AG47" i="107"/>
  <c r="AG51" i="107"/>
  <c r="AG53" i="107"/>
  <c r="AG41" i="107"/>
  <c r="AG49" i="107"/>
  <c r="AG26" i="107"/>
  <c r="AG28" i="107"/>
  <c r="AG30" i="107"/>
  <c r="AG32" i="107"/>
  <c r="AG34" i="107"/>
  <c r="AG36" i="107"/>
  <c r="AG38" i="107"/>
  <c r="AG29" i="107"/>
  <c r="AG33" i="107"/>
  <c r="AG37" i="107"/>
  <c r="AG39" i="107"/>
  <c r="AG25" i="107"/>
  <c r="AG27" i="107"/>
  <c r="AG31" i="107"/>
  <c r="AG35" i="107"/>
  <c r="BI47" i="107"/>
  <c r="BI28" i="107"/>
  <c r="BI38" i="107"/>
  <c r="BI35" i="107"/>
  <c r="BI39" i="107"/>
  <c r="BI36" i="107"/>
  <c r="BI37" i="107"/>
  <c r="BI46" i="107"/>
  <c r="BI52" i="107"/>
  <c r="BI51" i="107"/>
  <c r="BI54" i="107"/>
  <c r="BI50" i="107"/>
  <c r="BI53" i="107"/>
  <c r="AE33" i="48"/>
  <c r="AE29" i="48"/>
  <c r="M28" i="48"/>
  <c r="S39" i="48"/>
  <c r="Q25" i="48"/>
  <c r="BI28" i="48"/>
  <c r="BI36" i="48"/>
  <c r="AA39" i="48"/>
  <c r="K39" i="48"/>
  <c r="BK34" i="48"/>
  <c r="BK33" i="48"/>
  <c r="BK29" i="48"/>
  <c r="BK25" i="48"/>
  <c r="BK32" i="48"/>
  <c r="BK28" i="48"/>
  <c r="O38" i="48"/>
  <c r="O30" i="48"/>
  <c r="U32" i="48"/>
  <c r="U36" i="48"/>
  <c r="U26" i="48"/>
  <c r="U25" i="48"/>
  <c r="BM35" i="48"/>
  <c r="BM32" i="48"/>
  <c r="BM25" i="48"/>
  <c r="BM30" i="48"/>
  <c r="BM26" i="48"/>
  <c r="DI4" i="107"/>
  <c r="BM29" i="107"/>
  <c r="EY23" i="107"/>
  <c r="EY26" i="107" s="1"/>
  <c r="FJ5" i="107"/>
  <c r="FJ14" i="107"/>
  <c r="M40" i="107"/>
  <c r="DJ4" i="107" s="1"/>
  <c r="DT5" i="107"/>
  <c r="G22" i="107"/>
  <c r="FI7" i="107"/>
  <c r="FN21" i="107"/>
  <c r="FJ18" i="107"/>
  <c r="FN7" i="107"/>
  <c r="FJ6" i="107"/>
  <c r="FK22" i="107"/>
  <c r="BI40" i="107"/>
  <c r="BI42" i="107"/>
  <c r="BI34" i="107"/>
  <c r="BI33" i="107"/>
  <c r="BI30" i="107"/>
  <c r="BI29" i="107"/>
  <c r="GC14" i="107"/>
  <c r="EY27" i="107"/>
  <c r="EY25" i="107"/>
  <c r="CV10" i="107"/>
  <c r="DT8" i="107"/>
  <c r="FG8" i="107"/>
  <c r="FJ8" i="107" s="1"/>
  <c r="I22" i="107"/>
  <c r="CN49" i="107"/>
  <c r="EB13" i="107" s="1"/>
  <c r="CN43" i="107"/>
  <c r="EB7" i="107" s="1"/>
  <c r="CN48" i="107"/>
  <c r="EB12" i="107" s="1"/>
  <c r="EE12" i="107" s="1"/>
  <c r="CN45" i="107"/>
  <c r="EB9" i="107" s="1"/>
  <c r="CN44" i="107"/>
  <c r="EB8" i="107" s="1"/>
  <c r="EE8" i="107" s="1"/>
  <c r="CN32" i="107"/>
  <c r="CN31" i="107"/>
  <c r="CN26" i="107"/>
  <c r="CN27" i="107"/>
  <c r="FU23" i="107"/>
  <c r="CN25" i="107"/>
  <c r="AC21" i="107"/>
  <c r="AC23" i="107"/>
  <c r="EX4" i="107"/>
  <c r="BM48" i="107"/>
  <c r="BM49" i="107"/>
  <c r="BM44" i="107"/>
  <c r="BM45" i="107"/>
  <c r="BM43" i="107"/>
  <c r="BM32" i="107"/>
  <c r="BM31" i="107"/>
  <c r="BM25" i="107"/>
  <c r="BM26" i="107"/>
  <c r="BM27" i="107"/>
  <c r="FR22" i="107"/>
  <c r="AC22" i="107"/>
  <c r="EX7" i="107"/>
  <c r="GM11" i="107"/>
  <c r="GN11" i="107" s="1"/>
  <c r="GO11" i="107" s="1"/>
  <c r="GC18" i="107"/>
  <c r="DT16" i="107"/>
  <c r="FM22" i="107"/>
  <c r="FN22" i="107" s="1"/>
  <c r="FR21" i="107"/>
  <c r="CZ31" i="107"/>
  <c r="FU21" i="107"/>
  <c r="E21" i="107"/>
  <c r="E23" i="107"/>
  <c r="DG4" i="107"/>
  <c r="DT4" i="107"/>
  <c r="DE4" i="107"/>
  <c r="FG4" i="107"/>
  <c r="DT14" i="107"/>
  <c r="FJ9" i="107"/>
  <c r="K25" i="107"/>
  <c r="CN46" i="107"/>
  <c r="EB10" i="107" s="1"/>
  <c r="EE10" i="107" s="1"/>
  <c r="CN47" i="107"/>
  <c r="EB11" i="107" s="1"/>
  <c r="CN40" i="107"/>
  <c r="EB4" i="107" s="1"/>
  <c r="CN41" i="107"/>
  <c r="EB5" i="107" s="1"/>
  <c r="CN42" i="107"/>
  <c r="EB6" i="107" s="1"/>
  <c r="EE6" i="107" s="1"/>
  <c r="CN34" i="107"/>
  <c r="CN30" i="107"/>
  <c r="CN33" i="107"/>
  <c r="FU22" i="107"/>
  <c r="CN28" i="107"/>
  <c r="CN29" i="107"/>
  <c r="CV16" i="107"/>
  <c r="BI49" i="107"/>
  <c r="BI43" i="107"/>
  <c r="BI48" i="107"/>
  <c r="BI45" i="107"/>
  <c r="BI44" i="107"/>
  <c r="BI32" i="107"/>
  <c r="BI31" i="107"/>
  <c r="BI26" i="107"/>
  <c r="BI27" i="107"/>
  <c r="BI25" i="107"/>
  <c r="FK23" i="107"/>
  <c r="G21" i="107"/>
  <c r="G23" i="107"/>
  <c r="FI4" i="107"/>
  <c r="EY22" i="107"/>
  <c r="FR23" i="107"/>
  <c r="FJ7" i="107"/>
  <c r="DH4" i="107"/>
  <c r="I25" i="107"/>
  <c r="EM4" i="107"/>
  <c r="DT18" i="107"/>
  <c r="DT17" i="107"/>
  <c r="CV12" i="107"/>
  <c r="M25" i="107"/>
  <c r="DT12" i="107"/>
  <c r="E22" i="107"/>
  <c r="BK43" i="107"/>
  <c r="BK49" i="107"/>
  <c r="BK48" i="107"/>
  <c r="BK44" i="107"/>
  <c r="BK45" i="107"/>
  <c r="BK32" i="107"/>
  <c r="BK31" i="107"/>
  <c r="BK27" i="107"/>
  <c r="BK25" i="107"/>
  <c r="BK26" i="107"/>
  <c r="FM23" i="107"/>
  <c r="CV8" i="107"/>
  <c r="GC8" i="107" s="1"/>
  <c r="EY21" i="107"/>
  <c r="DF35" i="48" l="1"/>
  <c r="DA18" i="165"/>
  <c r="GG18" i="165" s="1"/>
  <c r="DA8" i="165"/>
  <c r="GG8" i="165" s="1"/>
  <c r="DA14" i="165"/>
  <c r="GG14" i="165" s="1"/>
  <c r="DA9" i="165"/>
  <c r="GG9" i="165" s="1"/>
  <c r="DA6" i="165"/>
  <c r="GG6" i="165" s="1"/>
  <c r="DA5" i="165"/>
  <c r="GG5" i="165" s="1"/>
  <c r="DA17" i="165"/>
  <c r="GG17" i="165" s="1"/>
  <c r="DA12" i="165"/>
  <c r="GG12" i="165" s="1"/>
  <c r="DA4" i="165"/>
  <c r="GG4" i="165" s="1"/>
  <c r="DA16" i="165"/>
  <c r="GG16" i="165" s="1"/>
  <c r="DA11" i="165"/>
  <c r="GG11" i="165" s="1"/>
  <c r="DA10" i="165"/>
  <c r="GG10" i="165" s="1"/>
  <c r="DA15" i="165"/>
  <c r="GG15" i="165" s="1"/>
  <c r="DA7" i="165"/>
  <c r="GG7" i="165" s="1"/>
  <c r="DA13" i="165"/>
  <c r="GG13" i="165" s="1"/>
  <c r="EG54" i="164"/>
  <c r="EG46" i="164"/>
  <c r="EG42" i="164"/>
  <c r="EG45" i="164"/>
  <c r="EG52" i="164"/>
  <c r="EG44" i="164"/>
  <c r="EG51" i="164"/>
  <c r="GO16" i="164" s="1"/>
  <c r="EG47" i="164"/>
  <c r="GO14" i="164" s="1"/>
  <c r="EG43" i="164"/>
  <c r="GO13" i="164" s="1"/>
  <c r="DN22" i="164"/>
  <c r="CY22" i="164" s="1"/>
  <c r="GE22" i="164" s="1"/>
  <c r="EG53" i="164"/>
  <c r="GO18" i="164" s="1"/>
  <c r="EG49" i="164"/>
  <c r="GO15" i="164" s="1"/>
  <c r="EG50" i="164"/>
  <c r="EG41" i="164"/>
  <c r="EG48" i="164"/>
  <c r="EG40" i="164"/>
  <c r="ES19" i="163"/>
  <c r="ER19" i="163"/>
  <c r="GO12" i="163"/>
  <c r="ES20" i="163"/>
  <c r="ER20" i="163"/>
  <c r="EG39" i="164"/>
  <c r="EG37" i="164"/>
  <c r="EG36" i="164"/>
  <c r="EG35" i="164"/>
  <c r="EG38" i="164"/>
  <c r="EG34" i="164"/>
  <c r="EG32" i="164"/>
  <c r="EG33" i="164"/>
  <c r="EG31" i="164"/>
  <c r="EG30" i="164"/>
  <c r="EG29" i="164"/>
  <c r="EG28" i="164"/>
  <c r="EG27" i="164"/>
  <c r="EG26" i="164"/>
  <c r="EG25" i="164"/>
  <c r="DN23" i="164"/>
  <c r="CY23" i="164" s="1"/>
  <c r="GE23" i="164" s="1"/>
  <c r="DK6" i="163"/>
  <c r="DM6" i="163"/>
  <c r="ES6" i="163"/>
  <c r="ER6" i="163"/>
  <c r="CZ6" i="163"/>
  <c r="GF6" i="163" s="1"/>
  <c r="DK14" i="163"/>
  <c r="DM14" i="163"/>
  <c r="ES14" i="163"/>
  <c r="ER14" i="163"/>
  <c r="CZ14" i="163"/>
  <c r="GF14" i="163" s="1"/>
  <c r="DM11" i="163"/>
  <c r="DK11" i="163"/>
  <c r="ES11" i="163"/>
  <c r="GO7" i="163"/>
  <c r="ER11" i="163"/>
  <c r="CZ11" i="163"/>
  <c r="GF11" i="163" s="1"/>
  <c r="DM10" i="163"/>
  <c r="DK10" i="163"/>
  <c r="ES10" i="163"/>
  <c r="ER10" i="163"/>
  <c r="CZ10" i="163"/>
  <c r="GF10" i="163" s="1"/>
  <c r="DK7" i="163"/>
  <c r="DM7" i="163"/>
  <c r="ES7" i="163"/>
  <c r="GO5" i="163"/>
  <c r="ER7" i="163"/>
  <c r="CZ7" i="163"/>
  <c r="GF7" i="163" s="1"/>
  <c r="DK17" i="163"/>
  <c r="DM17" i="163"/>
  <c r="ES17" i="163"/>
  <c r="GO10" i="163"/>
  <c r="ER17" i="163"/>
  <c r="CZ17" i="163"/>
  <c r="GF17" i="163" s="1"/>
  <c r="DM12" i="163"/>
  <c r="DK12" i="163"/>
  <c r="ES12" i="163"/>
  <c r="ER12" i="163"/>
  <c r="CZ12" i="163"/>
  <c r="GF12" i="163" s="1"/>
  <c r="DM4" i="163"/>
  <c r="DK4" i="163"/>
  <c r="ES4" i="163"/>
  <c r="ER4" i="163"/>
  <c r="CZ4" i="163"/>
  <c r="GF4" i="163" s="1"/>
  <c r="DM8" i="163"/>
  <c r="DK8" i="163"/>
  <c r="ES8" i="163"/>
  <c r="CZ8" i="163"/>
  <c r="GF8" i="163" s="1"/>
  <c r="ER8" i="163"/>
  <c r="DK15" i="163"/>
  <c r="DM15" i="163"/>
  <c r="ES15" i="163"/>
  <c r="GO9" i="163"/>
  <c r="CZ15" i="163"/>
  <c r="GF15" i="163" s="1"/>
  <c r="ER15" i="163"/>
  <c r="DK13" i="163"/>
  <c r="DM13" i="163"/>
  <c r="ES13" i="163"/>
  <c r="GO8" i="163"/>
  <c r="ER13" i="163"/>
  <c r="CZ13" i="163"/>
  <c r="GF13" i="163" s="1"/>
  <c r="DK5" i="163"/>
  <c r="DM5" i="163"/>
  <c r="ES5" i="163"/>
  <c r="GO4" i="163"/>
  <c r="ER5" i="163"/>
  <c r="CZ5" i="163"/>
  <c r="GF5" i="163" s="1"/>
  <c r="DK9" i="163"/>
  <c r="DM9" i="163"/>
  <c r="ES9" i="163"/>
  <c r="GO6" i="163"/>
  <c r="ER9" i="163"/>
  <c r="CZ9" i="163"/>
  <c r="GF9" i="163" s="1"/>
  <c r="DM16" i="163"/>
  <c r="DK16" i="163"/>
  <c r="ES16" i="163"/>
  <c r="ER16" i="163"/>
  <c r="CZ16" i="163"/>
  <c r="GF16" i="163" s="1"/>
  <c r="DK18" i="163"/>
  <c r="DM18" i="163"/>
  <c r="ES18" i="163"/>
  <c r="ER18" i="163"/>
  <c r="CZ18" i="163"/>
  <c r="GF18" i="163" s="1"/>
  <c r="CX17" i="162"/>
  <c r="GD17" i="162" s="1"/>
  <c r="CX10" i="162"/>
  <c r="GD10" i="162" s="1"/>
  <c r="CX11" i="162"/>
  <c r="GD11" i="162" s="1"/>
  <c r="CX18" i="162"/>
  <c r="GD18" i="162" s="1"/>
  <c r="CX12" i="162"/>
  <c r="GD12" i="162" s="1"/>
  <c r="CX8" i="162"/>
  <c r="GD8" i="162" s="1"/>
  <c r="CX13" i="162"/>
  <c r="GD13" i="162" s="1"/>
  <c r="CY4" i="162"/>
  <c r="GE4" i="162" s="1"/>
  <c r="EG22" i="162"/>
  <c r="CX14" i="162"/>
  <c r="GD14" i="162" s="1"/>
  <c r="CX9" i="162"/>
  <c r="GD9" i="162" s="1"/>
  <c r="DN14" i="162"/>
  <c r="CX15" i="162"/>
  <c r="GD15" i="162" s="1"/>
  <c r="DN9" i="162"/>
  <c r="DN6" i="162"/>
  <c r="DN13" i="162"/>
  <c r="DN16" i="162"/>
  <c r="CX4" i="162"/>
  <c r="GD4" i="162" s="1"/>
  <c r="DN10" i="162"/>
  <c r="DN17" i="162"/>
  <c r="DN5" i="162"/>
  <c r="DN12" i="162"/>
  <c r="DN7" i="162"/>
  <c r="CX6" i="162"/>
  <c r="GD6" i="162" s="1"/>
  <c r="CX7" i="162"/>
  <c r="GD7" i="162" s="1"/>
  <c r="DN15" i="162"/>
  <c r="EG23" i="162"/>
  <c r="EG40" i="162" s="1"/>
  <c r="EG21" i="162"/>
  <c r="DN21" i="162" s="1"/>
  <c r="CY21" i="162" s="1"/>
  <c r="GE21" i="162" s="1"/>
  <c r="DN4" i="162"/>
  <c r="CX5" i="162"/>
  <c r="GD5" i="162" s="1"/>
  <c r="DN18" i="162"/>
  <c r="DN11" i="162"/>
  <c r="DN8" i="162"/>
  <c r="CX16" i="162"/>
  <c r="GD16" i="162" s="1"/>
  <c r="DJ18" i="48"/>
  <c r="EX47" i="159"/>
  <c r="EZ23" i="159"/>
  <c r="EX25" i="159"/>
  <c r="EX25" i="48" s="1"/>
  <c r="EX23" i="48"/>
  <c r="EZ21" i="159"/>
  <c r="EZ21" i="48" s="1"/>
  <c r="EX21" i="48"/>
  <c r="EF7" i="107"/>
  <c r="DY7" i="107"/>
  <c r="DN15" i="161"/>
  <c r="CX5" i="161"/>
  <c r="GD5" i="161" s="1"/>
  <c r="CX16" i="161"/>
  <c r="GD16" i="161" s="1"/>
  <c r="AA24" i="48"/>
  <c r="CX14" i="161"/>
  <c r="GD14" i="161" s="1"/>
  <c r="CY14" i="161"/>
  <c r="GE14" i="161" s="1"/>
  <c r="CX4" i="161"/>
  <c r="GD4" i="161" s="1"/>
  <c r="CY5" i="161"/>
  <c r="GE5" i="161" s="1"/>
  <c r="CY16" i="161"/>
  <c r="GE16" i="161" s="1"/>
  <c r="EG9" i="161"/>
  <c r="EG11" i="161"/>
  <c r="CX11" i="161" s="1"/>
  <c r="GD11" i="161" s="1"/>
  <c r="EG6" i="161"/>
  <c r="CX6" i="161" s="1"/>
  <c r="GD6" i="161" s="1"/>
  <c r="EG7" i="161"/>
  <c r="CY7" i="161" s="1"/>
  <c r="GE7" i="161" s="1"/>
  <c r="EG13" i="161"/>
  <c r="CX13" i="161" s="1"/>
  <c r="GD13" i="161" s="1"/>
  <c r="DN5" i="161"/>
  <c r="EG18" i="161"/>
  <c r="CX18" i="161" s="1"/>
  <c r="GD18" i="161" s="1"/>
  <c r="DN4" i="161"/>
  <c r="EG17" i="161"/>
  <c r="DN8" i="161"/>
  <c r="EG10" i="161"/>
  <c r="CX8" i="161"/>
  <c r="GD8" i="161" s="1"/>
  <c r="DN14" i="161"/>
  <c r="DN16" i="161"/>
  <c r="CY4" i="161"/>
  <c r="GE4" i="161" s="1"/>
  <c r="EG12" i="161"/>
  <c r="CY12" i="161" s="1"/>
  <c r="GE12" i="161" s="1"/>
  <c r="GD15" i="161"/>
  <c r="EK14" i="160"/>
  <c r="ED18" i="160"/>
  <c r="DU18" i="160" s="1"/>
  <c r="EG18" i="160" s="1"/>
  <c r="CY18" i="160" s="1"/>
  <c r="GE18" i="160" s="1"/>
  <c r="ED13" i="160"/>
  <c r="DU13" i="160" s="1"/>
  <c r="ED7" i="160"/>
  <c r="DU7" i="160" s="1"/>
  <c r="ED8" i="160"/>
  <c r="DU8" i="160" s="1"/>
  <c r="ED15" i="160"/>
  <c r="EK9" i="160"/>
  <c r="EH9" i="160" s="1"/>
  <c r="EK5" i="160"/>
  <c r="EH5" i="160" s="1"/>
  <c r="ED17" i="160"/>
  <c r="DU17" i="160" s="1"/>
  <c r="EG17" i="160" s="1"/>
  <c r="CY17" i="160" s="1"/>
  <c r="GE17" i="160" s="1"/>
  <c r="ED12" i="160"/>
  <c r="DU12" i="160" s="1"/>
  <c r="EK10" i="160"/>
  <c r="EH10" i="160" s="1"/>
  <c r="EK11" i="160"/>
  <c r="EH11" i="160" s="1"/>
  <c r="EQ17" i="160"/>
  <c r="EQ9" i="160"/>
  <c r="EQ11" i="160"/>
  <c r="ED16" i="160"/>
  <c r="DU16" i="160" s="1"/>
  <c r="ED4" i="160"/>
  <c r="DU4" i="160" s="1"/>
  <c r="ED6" i="160"/>
  <c r="DU6" i="160" s="1"/>
  <c r="EG6" i="160" s="1"/>
  <c r="EH20" i="160"/>
  <c r="EH18" i="160"/>
  <c r="DU20" i="160"/>
  <c r="EG20" i="160" s="1"/>
  <c r="DU15" i="160"/>
  <c r="EG15" i="160" s="1"/>
  <c r="DU10" i="160"/>
  <c r="EG10" i="160" s="1"/>
  <c r="DU5" i="160"/>
  <c r="EG5" i="160" s="1"/>
  <c r="DU11" i="160"/>
  <c r="EG11" i="160" s="1"/>
  <c r="CY11" i="160" s="1"/>
  <c r="GE11" i="160" s="1"/>
  <c r="DU9" i="160"/>
  <c r="EG9" i="160" s="1"/>
  <c r="CY9" i="160" s="1"/>
  <c r="GE9" i="160" s="1"/>
  <c r="EH13" i="160"/>
  <c r="EH7" i="160"/>
  <c r="DU14" i="160"/>
  <c r="EH12" i="160"/>
  <c r="EH16" i="160"/>
  <c r="EH6" i="160"/>
  <c r="EH15" i="160"/>
  <c r="EH4" i="160"/>
  <c r="EH17" i="160"/>
  <c r="EH8" i="160"/>
  <c r="EH14" i="160"/>
  <c r="ET14" i="159"/>
  <c r="CV50" i="48"/>
  <c r="ET12" i="159"/>
  <c r="CV48" i="48"/>
  <c r="ET10" i="159"/>
  <c r="ET18" i="159"/>
  <c r="EL16" i="159"/>
  <c r="EO16" i="159" s="1"/>
  <c r="ET16" i="159"/>
  <c r="EL4" i="159"/>
  <c r="EO4" i="159" s="1"/>
  <c r="GM16" i="159"/>
  <c r="GN16" i="159" s="1"/>
  <c r="EL10" i="159"/>
  <c r="EP10" i="159" s="1"/>
  <c r="EL14" i="159"/>
  <c r="EP14" i="159" s="1"/>
  <c r="EL15" i="159"/>
  <c r="EO15" i="159" s="1"/>
  <c r="EZ51" i="159"/>
  <c r="EZ51" i="48" s="1"/>
  <c r="EZ46" i="159"/>
  <c r="EZ46" i="48" s="1"/>
  <c r="EZ54" i="159"/>
  <c r="EZ54" i="48" s="1"/>
  <c r="EZ44" i="159"/>
  <c r="EZ44" i="48" s="1"/>
  <c r="EZ50" i="159"/>
  <c r="EZ50" i="48" s="1"/>
  <c r="EZ48" i="159"/>
  <c r="EZ48" i="48" s="1"/>
  <c r="EZ52" i="159"/>
  <c r="EZ52" i="48" s="1"/>
  <c r="EZ40" i="159"/>
  <c r="EZ40" i="48" s="1"/>
  <c r="ET8" i="159"/>
  <c r="DW19" i="159"/>
  <c r="DZ19" i="159"/>
  <c r="EC19" i="159" s="1"/>
  <c r="EA19" i="159" s="1"/>
  <c r="EK19" i="159" s="1"/>
  <c r="EL12" i="159"/>
  <c r="EO12" i="159" s="1"/>
  <c r="ET15" i="159"/>
  <c r="EL11" i="159"/>
  <c r="EO11" i="159" s="1"/>
  <c r="EP18" i="159"/>
  <c r="EQ18" i="159" s="1"/>
  <c r="EI20" i="159"/>
  <c r="FJ21" i="159"/>
  <c r="DX19" i="159"/>
  <c r="ET4" i="159"/>
  <c r="EL5" i="159"/>
  <c r="EO5" i="159" s="1"/>
  <c r="EN13" i="159"/>
  <c r="EL13" i="159" s="1"/>
  <c r="EO13" i="159" s="1"/>
  <c r="EN7" i="159"/>
  <c r="EL7" i="159" s="1"/>
  <c r="EX49" i="159"/>
  <c r="EX53" i="159"/>
  <c r="EX53" i="48" s="1"/>
  <c r="GM15" i="159"/>
  <c r="EB17" i="159"/>
  <c r="EE17" i="159" s="1"/>
  <c r="GM18" i="159"/>
  <c r="GN18" i="159" s="1"/>
  <c r="EN17" i="159"/>
  <c r="EL17" i="159" s="1"/>
  <c r="EO17" i="159" s="1"/>
  <c r="GM12" i="159"/>
  <c r="EB13" i="159"/>
  <c r="EE13" i="159" s="1"/>
  <c r="EN9" i="159"/>
  <c r="EL9" i="159" s="1"/>
  <c r="EO9" i="159" s="1"/>
  <c r="GM13" i="159"/>
  <c r="EX43" i="159"/>
  <c r="EX45" i="159"/>
  <c r="EX45" i="48" s="1"/>
  <c r="EB6" i="159"/>
  <c r="EE6" i="159" s="1"/>
  <c r="EX41" i="159"/>
  <c r="EX42" i="159"/>
  <c r="EX42" i="48" s="1"/>
  <c r="EN6" i="159"/>
  <c r="EL6" i="159" s="1"/>
  <c r="FJ23" i="159"/>
  <c r="EZ31" i="159"/>
  <c r="EZ31" i="48" s="1"/>
  <c r="GM4" i="159"/>
  <c r="DL5" i="159"/>
  <c r="DW5" i="159"/>
  <c r="DL12" i="159"/>
  <c r="DW12" i="159"/>
  <c r="GM9" i="159"/>
  <c r="DL15" i="159"/>
  <c r="DW15" i="159"/>
  <c r="EO8" i="159"/>
  <c r="EP8" i="159"/>
  <c r="CV21" i="159"/>
  <c r="CV23" i="159"/>
  <c r="GC4" i="159"/>
  <c r="DL6" i="159"/>
  <c r="DW6" i="159"/>
  <c r="GM5" i="159"/>
  <c r="DL7" i="159"/>
  <c r="DW7" i="159"/>
  <c r="GM8" i="159"/>
  <c r="DL13" i="159"/>
  <c r="DW13" i="159"/>
  <c r="DL16" i="159"/>
  <c r="DW16" i="159"/>
  <c r="DL8" i="159"/>
  <c r="DW8" i="159"/>
  <c r="EZ30" i="159"/>
  <c r="EZ30" i="48" s="1"/>
  <c r="EZ28" i="159"/>
  <c r="EZ28" i="48" s="1"/>
  <c r="EZ27" i="159"/>
  <c r="EZ27" i="48" s="1"/>
  <c r="EZ26" i="159"/>
  <c r="EZ26" i="48" s="1"/>
  <c r="EZ32" i="159"/>
  <c r="EZ32" i="48" s="1"/>
  <c r="GM6" i="159"/>
  <c r="DL9" i="159"/>
  <c r="DW9" i="159"/>
  <c r="DL14" i="159"/>
  <c r="DW14" i="159"/>
  <c r="DL18" i="159"/>
  <c r="DW18" i="159"/>
  <c r="DL10" i="159"/>
  <c r="DW10" i="159"/>
  <c r="DL4" i="159"/>
  <c r="DW4" i="159"/>
  <c r="DV4" i="159" s="1"/>
  <c r="GM7" i="159"/>
  <c r="DL11" i="159"/>
  <c r="DW11" i="159"/>
  <c r="GM10" i="159"/>
  <c r="DL17" i="159"/>
  <c r="DW17" i="159"/>
  <c r="EO10" i="159"/>
  <c r="EX39" i="159"/>
  <c r="EX38" i="159"/>
  <c r="EX35" i="159"/>
  <c r="EX34" i="159"/>
  <c r="EX33" i="159"/>
  <c r="EX32" i="159"/>
  <c r="EX31" i="159"/>
  <c r="EX36" i="159"/>
  <c r="EX30" i="159"/>
  <c r="EX28" i="159"/>
  <c r="EX26" i="159"/>
  <c r="DZ4" i="159"/>
  <c r="EC4" i="159" s="1"/>
  <c r="EA4" i="159" s="1"/>
  <c r="EX37" i="159"/>
  <c r="EX29" i="159"/>
  <c r="EX27" i="159"/>
  <c r="EE13" i="107"/>
  <c r="EE9" i="107"/>
  <c r="EE11" i="107"/>
  <c r="EE15" i="107"/>
  <c r="FI22" i="107"/>
  <c r="G42" i="107"/>
  <c r="G46" i="107"/>
  <c r="G50" i="107"/>
  <c r="G54" i="107"/>
  <c r="G43" i="107"/>
  <c r="G47" i="107"/>
  <c r="G51" i="107"/>
  <c r="G44" i="107"/>
  <c r="G48" i="107"/>
  <c r="G52" i="107"/>
  <c r="G45" i="107"/>
  <c r="G49" i="107"/>
  <c r="G53" i="107"/>
  <c r="G41" i="107"/>
  <c r="EE17" i="107"/>
  <c r="G26" i="107"/>
  <c r="G30" i="107"/>
  <c r="G34" i="107"/>
  <c r="G38" i="107"/>
  <c r="G27" i="107"/>
  <c r="G39" i="107"/>
  <c r="G28" i="107"/>
  <c r="G32" i="107"/>
  <c r="G36" i="107"/>
  <c r="G31" i="107"/>
  <c r="G29" i="107"/>
  <c r="G33" i="107"/>
  <c r="G37" i="107"/>
  <c r="G35" i="107"/>
  <c r="I44" i="107"/>
  <c r="I48" i="107"/>
  <c r="I52" i="107"/>
  <c r="I41" i="107"/>
  <c r="I45" i="107"/>
  <c r="I49" i="107"/>
  <c r="I53" i="107"/>
  <c r="I42" i="107"/>
  <c r="I46" i="107"/>
  <c r="I50" i="107"/>
  <c r="I54" i="107"/>
  <c r="I43" i="107"/>
  <c r="I51" i="107"/>
  <c r="I47" i="107"/>
  <c r="EY44" i="107"/>
  <c r="EY48" i="107"/>
  <c r="EY52" i="107"/>
  <c r="EY41" i="107"/>
  <c r="EY45" i="107"/>
  <c r="EY49" i="107"/>
  <c r="EY53" i="107"/>
  <c r="EY43" i="107"/>
  <c r="EY47" i="107"/>
  <c r="EY51" i="107"/>
  <c r="EY42" i="107"/>
  <c r="EY46" i="107"/>
  <c r="EY54" i="107"/>
  <c r="EY50" i="107"/>
  <c r="EY38" i="107"/>
  <c r="EY37" i="107"/>
  <c r="EY39" i="107"/>
  <c r="EY35" i="107"/>
  <c r="EY36" i="107"/>
  <c r="EQ19" i="107"/>
  <c r="EE20" i="107"/>
  <c r="EE7" i="107"/>
  <c r="EE5" i="107"/>
  <c r="EY31" i="107"/>
  <c r="K48" i="48"/>
  <c r="K35" i="48"/>
  <c r="Q30" i="48"/>
  <c r="AE34" i="48"/>
  <c r="AI53" i="48"/>
  <c r="AI47" i="48"/>
  <c r="EB16" i="48"/>
  <c r="EM11" i="48"/>
  <c r="AC50" i="48"/>
  <c r="AI45" i="48"/>
  <c r="AK50" i="48"/>
  <c r="AK52" i="48"/>
  <c r="U31" i="48"/>
  <c r="BK38" i="48"/>
  <c r="AA35" i="48"/>
  <c r="BI32" i="48"/>
  <c r="BI25" i="48"/>
  <c r="BI34" i="48"/>
  <c r="M27" i="48"/>
  <c r="BI38" i="48"/>
  <c r="W39" i="48"/>
  <c r="I27" i="48"/>
  <c r="AK43" i="48"/>
  <c r="AK26" i="48"/>
  <c r="AK35" i="48"/>
  <c r="O35" i="48"/>
  <c r="O37" i="48"/>
  <c r="AK30" i="48"/>
  <c r="AK37" i="48"/>
  <c r="AK32" i="48"/>
  <c r="Y53" i="48"/>
  <c r="W26" i="48"/>
  <c r="Y42" i="48"/>
  <c r="Y44" i="48"/>
  <c r="Y46" i="48"/>
  <c r="Y30" i="48"/>
  <c r="Y39" i="48"/>
  <c r="AI42" i="48"/>
  <c r="EB12" i="48"/>
  <c r="EB5" i="48"/>
  <c r="EE5" i="48" s="1"/>
  <c r="Y54" i="48"/>
  <c r="Y50" i="48"/>
  <c r="Y48" i="48"/>
  <c r="DE7" i="48"/>
  <c r="DG7" i="48"/>
  <c r="G54" i="48"/>
  <c r="G42" i="48"/>
  <c r="G41" i="48"/>
  <c r="G50" i="48"/>
  <c r="M32" i="48"/>
  <c r="G46" i="48"/>
  <c r="G22" i="48"/>
  <c r="EM8" i="48"/>
  <c r="EB10" i="48"/>
  <c r="EB18" i="48"/>
  <c r="I32" i="48"/>
  <c r="I28" i="48"/>
  <c r="I36" i="48"/>
  <c r="Y43" i="48"/>
  <c r="E46" i="48"/>
  <c r="E22" i="48"/>
  <c r="BK30" i="48"/>
  <c r="W38" i="48"/>
  <c r="I38" i="48"/>
  <c r="AG25" i="48"/>
  <c r="W31" i="48"/>
  <c r="W32" i="48"/>
  <c r="W36" i="48"/>
  <c r="EM15" i="48"/>
  <c r="Y25" i="48"/>
  <c r="Y32" i="48"/>
  <c r="EB15" i="48"/>
  <c r="EE15" i="48" s="1"/>
  <c r="EM13" i="48"/>
  <c r="Y38" i="48"/>
  <c r="Y36" i="48"/>
  <c r="AI32" i="48"/>
  <c r="AA31" i="48"/>
  <c r="I26" i="48"/>
  <c r="AK39" i="48"/>
  <c r="AA28" i="48"/>
  <c r="I48" i="48"/>
  <c r="I53" i="48"/>
  <c r="I49" i="48"/>
  <c r="I44" i="48"/>
  <c r="AI26" i="48"/>
  <c r="AI36" i="48"/>
  <c r="E47" i="48"/>
  <c r="G51" i="48"/>
  <c r="Q34" i="48"/>
  <c r="U35" i="48"/>
  <c r="BK39" i="48"/>
  <c r="K28" i="48"/>
  <c r="K36" i="48"/>
  <c r="M25" i="48"/>
  <c r="AE36" i="48"/>
  <c r="U33" i="48"/>
  <c r="BK31" i="48"/>
  <c r="AK29" i="48"/>
  <c r="O29" i="48"/>
  <c r="AA33" i="48"/>
  <c r="AA30" i="48"/>
  <c r="W28" i="48"/>
  <c r="W35" i="48"/>
  <c r="AE26" i="48"/>
  <c r="AE31" i="48"/>
  <c r="EB9" i="48"/>
  <c r="EE9" i="48" s="1"/>
  <c r="O32" i="48"/>
  <c r="K30" i="48"/>
  <c r="AA38" i="48"/>
  <c r="Y31" i="48"/>
  <c r="M39" i="48"/>
  <c r="O33" i="48"/>
  <c r="K33" i="48"/>
  <c r="K38" i="48"/>
  <c r="W33" i="48"/>
  <c r="Q32" i="48"/>
  <c r="Q33" i="48"/>
  <c r="AE35" i="48"/>
  <c r="U30" i="48"/>
  <c r="BK37" i="48"/>
  <c r="W34" i="48"/>
  <c r="BI39" i="48"/>
  <c r="AK25" i="48"/>
  <c r="W27" i="48"/>
  <c r="BI29" i="48"/>
  <c r="Y28" i="48"/>
  <c r="I39" i="48"/>
  <c r="AE37" i="48"/>
  <c r="S25" i="48"/>
  <c r="S32" i="48"/>
  <c r="S33" i="48"/>
  <c r="AI27" i="48"/>
  <c r="AI34" i="48"/>
  <c r="S28" i="48"/>
  <c r="S38" i="48"/>
  <c r="I31" i="48"/>
  <c r="O27" i="48"/>
  <c r="O39" i="48"/>
  <c r="I35" i="48"/>
  <c r="M44" i="48"/>
  <c r="AE39" i="48"/>
  <c r="AC23" i="48"/>
  <c r="AC22" i="48"/>
  <c r="S29" i="48"/>
  <c r="S37" i="48"/>
  <c r="S35" i="48"/>
  <c r="DG6" i="48"/>
  <c r="DE6" i="48"/>
  <c r="EM12" i="48"/>
  <c r="AC54" i="48"/>
  <c r="AC46" i="48"/>
  <c r="AC41" i="48"/>
  <c r="AC51" i="48"/>
  <c r="AC42" i="48"/>
  <c r="S31" i="48"/>
  <c r="S30" i="48"/>
  <c r="AI25" i="48"/>
  <c r="AI33" i="48"/>
  <c r="AI38" i="48"/>
  <c r="AC21" i="48"/>
  <c r="Y35" i="48"/>
  <c r="AI39" i="48"/>
  <c r="Y29" i="48"/>
  <c r="Y37" i="48"/>
  <c r="Y26" i="48"/>
  <c r="M30" i="48"/>
  <c r="M38" i="48"/>
  <c r="M37" i="48"/>
  <c r="EB11" i="48"/>
  <c r="EE11" i="48" s="1"/>
  <c r="I30" i="48"/>
  <c r="AG26" i="48"/>
  <c r="AG27" i="48"/>
  <c r="K29" i="48"/>
  <c r="AG35" i="48"/>
  <c r="AG37" i="48"/>
  <c r="K37" i="48"/>
  <c r="I51" i="48"/>
  <c r="I54" i="48"/>
  <c r="I47" i="48"/>
  <c r="I22" i="48"/>
  <c r="I34" i="48"/>
  <c r="AK36" i="48"/>
  <c r="AK33" i="48"/>
  <c r="AK31" i="48"/>
  <c r="I29" i="48"/>
  <c r="AI30" i="48"/>
  <c r="AI31" i="48"/>
  <c r="AG29" i="48"/>
  <c r="AA25" i="48"/>
  <c r="W37" i="48"/>
  <c r="Y33" i="48"/>
  <c r="S27" i="48"/>
  <c r="AI35" i="48"/>
  <c r="AI37" i="48"/>
  <c r="AE27" i="48"/>
  <c r="AE38" i="48"/>
  <c r="AG28" i="48"/>
  <c r="U37" i="48"/>
  <c r="BK36" i="48"/>
  <c r="K31" i="48"/>
  <c r="BI27" i="48"/>
  <c r="BM33" i="48"/>
  <c r="AG39" i="48"/>
  <c r="O25" i="48"/>
  <c r="Q27" i="48"/>
  <c r="Q35" i="48"/>
  <c r="BM27" i="48"/>
  <c r="BM38" i="48"/>
  <c r="U29" i="48"/>
  <c r="U38" i="48"/>
  <c r="O28" i="48"/>
  <c r="Q26" i="48"/>
  <c r="BM37" i="48"/>
  <c r="AG36" i="48"/>
  <c r="AA32" i="48"/>
  <c r="Q37" i="48"/>
  <c r="AE30" i="48"/>
  <c r="BM29" i="48"/>
  <c r="AG38" i="48"/>
  <c r="BK26" i="48"/>
  <c r="AA27" i="48"/>
  <c r="AA36" i="48"/>
  <c r="BM39" i="48"/>
  <c r="U27" i="48"/>
  <c r="U39" i="48"/>
  <c r="U34" i="48"/>
  <c r="AK38" i="48"/>
  <c r="O36" i="48"/>
  <c r="Q36" i="48"/>
  <c r="S34" i="48"/>
  <c r="S26" i="48"/>
  <c r="I25" i="48"/>
  <c r="I33" i="48"/>
  <c r="M34" i="48"/>
  <c r="AE25" i="48"/>
  <c r="AG30" i="48"/>
  <c r="BK35" i="48"/>
  <c r="AA26" i="48"/>
  <c r="W30" i="48"/>
  <c r="BI33" i="48"/>
  <c r="Q28" i="48"/>
  <c r="Y27" i="48"/>
  <c r="Y34" i="48"/>
  <c r="M31" i="48"/>
  <c r="AE28" i="48"/>
  <c r="O31" i="48"/>
  <c r="K32" i="48"/>
  <c r="AA34" i="48"/>
  <c r="BM36" i="48"/>
  <c r="AG31" i="48"/>
  <c r="U28" i="48"/>
  <c r="AK27" i="48"/>
  <c r="AK28" i="48"/>
  <c r="AK34" i="48"/>
  <c r="O26" i="48"/>
  <c r="O34" i="48"/>
  <c r="BK27" i="48"/>
  <c r="K25" i="48"/>
  <c r="W29" i="48"/>
  <c r="BI26" i="48"/>
  <c r="BI35" i="48"/>
  <c r="Q29" i="48"/>
  <c r="Q39" i="48"/>
  <c r="S36" i="48"/>
  <c r="AI29" i="48"/>
  <c r="AI28" i="48"/>
  <c r="M26" i="48"/>
  <c r="M35" i="48"/>
  <c r="AE32" i="48"/>
  <c r="EB6" i="48"/>
  <c r="EE6" i="48" s="1"/>
  <c r="EB17" i="48"/>
  <c r="EE17" i="48" s="1"/>
  <c r="EM14" i="48"/>
  <c r="BM31" i="48"/>
  <c r="AG32" i="48"/>
  <c r="AG34" i="48"/>
  <c r="K27" i="48"/>
  <c r="AA37" i="48"/>
  <c r="W25" i="48"/>
  <c r="BI30" i="48"/>
  <c r="BI37" i="48"/>
  <c r="M29" i="48"/>
  <c r="EM16" i="48"/>
  <c r="BM28" i="48"/>
  <c r="BM34" i="48"/>
  <c r="K26" i="48"/>
  <c r="K34" i="48"/>
  <c r="BI31" i="48"/>
  <c r="M36" i="48"/>
  <c r="M33" i="48"/>
  <c r="G21" i="48"/>
  <c r="CX27" i="48" s="1"/>
  <c r="AG33" i="48"/>
  <c r="AA29" i="48"/>
  <c r="Q38" i="48"/>
  <c r="Q31" i="48"/>
  <c r="EB8" i="48"/>
  <c r="EE8" i="48" s="1"/>
  <c r="AC53" i="48"/>
  <c r="EB13" i="48"/>
  <c r="EE13" i="48" s="1"/>
  <c r="EM7" i="48"/>
  <c r="AC47" i="48"/>
  <c r="EP19" i="48"/>
  <c r="EQ19" i="48" s="1"/>
  <c r="EP20" i="48"/>
  <c r="EO20" i="48"/>
  <c r="EM5" i="48"/>
  <c r="EB20" i="48"/>
  <c r="EM18" i="48"/>
  <c r="EM6" i="48"/>
  <c r="EB14" i="48"/>
  <c r="EB7" i="48"/>
  <c r="EE7" i="48" s="1"/>
  <c r="DH18" i="48"/>
  <c r="EM17" i="48"/>
  <c r="EM10" i="48"/>
  <c r="EM9" i="48"/>
  <c r="GM11" i="48"/>
  <c r="DI18" i="48"/>
  <c r="E23" i="48"/>
  <c r="G23" i="48"/>
  <c r="M40" i="48"/>
  <c r="AC44" i="107"/>
  <c r="AC48" i="107"/>
  <c r="AC52" i="107"/>
  <c r="AC41" i="107"/>
  <c r="AC45" i="107"/>
  <c r="AC49" i="107"/>
  <c r="AC53" i="107"/>
  <c r="AC42" i="107"/>
  <c r="AC46" i="107"/>
  <c r="AC50" i="107"/>
  <c r="AC54" i="107"/>
  <c r="AC40" i="107"/>
  <c r="AC43" i="107"/>
  <c r="AC47" i="107"/>
  <c r="AC51" i="107"/>
  <c r="AC29" i="107"/>
  <c r="AC33" i="107"/>
  <c r="AC37" i="107"/>
  <c r="AC26" i="107"/>
  <c r="AC30" i="107"/>
  <c r="AC34" i="107"/>
  <c r="AC38" i="107"/>
  <c r="AC27" i="107"/>
  <c r="AC31" i="107"/>
  <c r="AC35" i="107"/>
  <c r="AC39" i="107"/>
  <c r="AC28" i="107"/>
  <c r="AC32" i="107"/>
  <c r="AC36" i="107"/>
  <c r="AC25" i="107"/>
  <c r="E28" i="107"/>
  <c r="E32" i="107"/>
  <c r="E36" i="107"/>
  <c r="E29" i="107"/>
  <c r="E33" i="107"/>
  <c r="E37" i="107"/>
  <c r="E26" i="107"/>
  <c r="E30" i="107"/>
  <c r="E34" i="107"/>
  <c r="E38" i="107"/>
  <c r="E27" i="107"/>
  <c r="E31" i="107"/>
  <c r="E35" i="107"/>
  <c r="E39" i="107"/>
  <c r="E41" i="107"/>
  <c r="E45" i="107"/>
  <c r="EN9" i="107" s="1"/>
  <c r="EL9" i="107" s="1"/>
  <c r="EO9" i="107" s="1"/>
  <c r="E49" i="107"/>
  <c r="EN13" i="107" s="1"/>
  <c r="EL13" i="107" s="1"/>
  <c r="EO13" i="107" s="1"/>
  <c r="E53" i="107"/>
  <c r="EN17" i="107" s="1"/>
  <c r="EL17" i="107" s="1"/>
  <c r="EO17" i="107" s="1"/>
  <c r="E42" i="107"/>
  <c r="EN6" i="107" s="1"/>
  <c r="EL6" i="107" s="1"/>
  <c r="EO6" i="107" s="1"/>
  <c r="E46" i="107"/>
  <c r="EN10" i="107" s="1"/>
  <c r="EL10" i="107" s="1"/>
  <c r="EO10" i="107" s="1"/>
  <c r="E50" i="107"/>
  <c r="EN14" i="107" s="1"/>
  <c r="EL14" i="107" s="1"/>
  <c r="EO14" i="107" s="1"/>
  <c r="E54" i="107"/>
  <c r="E43" i="107"/>
  <c r="EN7" i="107" s="1"/>
  <c r="EL7" i="107" s="1"/>
  <c r="EO7" i="107" s="1"/>
  <c r="E47" i="107"/>
  <c r="EN11" i="107" s="1"/>
  <c r="EL11" i="107" s="1"/>
  <c r="EO11" i="107" s="1"/>
  <c r="E51" i="107"/>
  <c r="EN15" i="107" s="1"/>
  <c r="EL15" i="107" s="1"/>
  <c r="EO15" i="107" s="1"/>
  <c r="E44" i="107"/>
  <c r="E48" i="107"/>
  <c r="EN12" i="107" s="1"/>
  <c r="EL12" i="107" s="1"/>
  <c r="EO12" i="107" s="1"/>
  <c r="E52" i="107"/>
  <c r="EN16" i="107" s="1"/>
  <c r="EL16" i="107" s="1"/>
  <c r="EO16" i="107" s="1"/>
  <c r="AC49" i="48"/>
  <c r="AC52" i="48"/>
  <c r="AC48" i="48"/>
  <c r="G48" i="48"/>
  <c r="AC43" i="48"/>
  <c r="AC34" i="48"/>
  <c r="AC35" i="48"/>
  <c r="AC26" i="48"/>
  <c r="EY32" i="107"/>
  <c r="G40" i="107"/>
  <c r="FA21" i="107"/>
  <c r="DA21" i="107" s="1"/>
  <c r="GG21" i="107" s="1"/>
  <c r="FJ4" i="107"/>
  <c r="FA23" i="107"/>
  <c r="DA23" i="107" s="1"/>
  <c r="GG23" i="107" s="1"/>
  <c r="EE4" i="107"/>
  <c r="EY40" i="107"/>
  <c r="EY34" i="107"/>
  <c r="EY29" i="107"/>
  <c r="EY30" i="107"/>
  <c r="EY33" i="107"/>
  <c r="EY28" i="107"/>
  <c r="FA22" i="107"/>
  <c r="DA22" i="107" s="1"/>
  <c r="GG22" i="107" s="1"/>
  <c r="CY31" i="107"/>
  <c r="FI21" i="107"/>
  <c r="EX21" i="107"/>
  <c r="EZ21" i="107" s="1"/>
  <c r="EX23" i="107"/>
  <c r="EZ23" i="107" s="1"/>
  <c r="DY4" i="107"/>
  <c r="EF4" i="107"/>
  <c r="CV4" i="107"/>
  <c r="FG23" i="107"/>
  <c r="DG23" i="107"/>
  <c r="CX23" i="107" s="1"/>
  <c r="GD23" i="107" s="1"/>
  <c r="E25" i="107"/>
  <c r="E40" i="107"/>
  <c r="FG22" i="107"/>
  <c r="FJ22" i="107" s="1"/>
  <c r="DG22" i="107"/>
  <c r="CX22" i="107" s="1"/>
  <c r="GD22" i="107" s="1"/>
  <c r="GC12" i="107"/>
  <c r="FG21" i="107"/>
  <c r="DG21" i="107"/>
  <c r="CX21" i="107" s="1"/>
  <c r="GD21" i="107" s="1"/>
  <c r="GC10" i="107"/>
  <c r="G25" i="107"/>
  <c r="FI23" i="107"/>
  <c r="FN23" i="107"/>
  <c r="GC16" i="107"/>
  <c r="EX22" i="107"/>
  <c r="EZ22" i="107" s="1"/>
  <c r="CV7" i="107"/>
  <c r="DT7" i="107"/>
  <c r="I40" i="107"/>
  <c r="DF37" i="48" l="1"/>
  <c r="ES19" i="164"/>
  <c r="ER19" i="164"/>
  <c r="GO12" i="164"/>
  <c r="ER20" i="164"/>
  <c r="ES20" i="164"/>
  <c r="DA4" i="163"/>
  <c r="GG4" i="163" s="1"/>
  <c r="DA15" i="163"/>
  <c r="GG15" i="163" s="1"/>
  <c r="DA18" i="163"/>
  <c r="GG18" i="163" s="1"/>
  <c r="DA12" i="163"/>
  <c r="GG12" i="163" s="1"/>
  <c r="DA7" i="163"/>
  <c r="GG7" i="163" s="1"/>
  <c r="DA14" i="163"/>
  <c r="GG14" i="163" s="1"/>
  <c r="DK7" i="164"/>
  <c r="DM7" i="164"/>
  <c r="ES7" i="164"/>
  <c r="GO5" i="164"/>
  <c r="ER7" i="164"/>
  <c r="CZ7" i="164"/>
  <c r="GF7" i="164" s="1"/>
  <c r="DK12" i="164"/>
  <c r="DM12" i="164"/>
  <c r="ES12" i="164"/>
  <c r="ER12" i="164"/>
  <c r="CZ12" i="164"/>
  <c r="GF12" i="164" s="1"/>
  <c r="DM14" i="164"/>
  <c r="DK14" i="164"/>
  <c r="ES14" i="164"/>
  <c r="ER14" i="164"/>
  <c r="CZ14" i="164"/>
  <c r="GF14" i="164" s="1"/>
  <c r="DK4" i="164"/>
  <c r="DM4" i="164"/>
  <c r="ES4" i="164"/>
  <c r="ER4" i="164"/>
  <c r="CZ4" i="164"/>
  <c r="GF4" i="164" s="1"/>
  <c r="DK8" i="164"/>
  <c r="DM8" i="164"/>
  <c r="ES8" i="164"/>
  <c r="ER8" i="164"/>
  <c r="CZ8" i="164"/>
  <c r="GF8" i="164" s="1"/>
  <c r="DM11" i="164"/>
  <c r="DK11" i="164"/>
  <c r="ES11" i="164"/>
  <c r="GO7" i="164"/>
  <c r="ER11" i="164"/>
  <c r="CZ11" i="164"/>
  <c r="GF11" i="164" s="1"/>
  <c r="DM15" i="164"/>
  <c r="DK15" i="164"/>
  <c r="ES15" i="164"/>
  <c r="ER15" i="164"/>
  <c r="GO9" i="164"/>
  <c r="CZ15" i="164"/>
  <c r="GF15" i="164" s="1"/>
  <c r="DK5" i="164"/>
  <c r="DM5" i="164"/>
  <c r="ES5" i="164"/>
  <c r="DA5" i="164" s="1"/>
  <c r="GG5" i="164" s="1"/>
  <c r="ER5" i="164"/>
  <c r="GO4" i="164"/>
  <c r="CZ5" i="164"/>
  <c r="GF5" i="164" s="1"/>
  <c r="DK9" i="164"/>
  <c r="DM9" i="164"/>
  <c r="ES9" i="164"/>
  <c r="GO6" i="164"/>
  <c r="ER9" i="164"/>
  <c r="CZ9" i="164"/>
  <c r="GF9" i="164" s="1"/>
  <c r="DK13" i="164"/>
  <c r="DM13" i="164"/>
  <c r="ES13" i="164"/>
  <c r="DA13" i="164" s="1"/>
  <c r="GG13" i="164" s="1"/>
  <c r="GO8" i="164"/>
  <c r="ER13" i="164"/>
  <c r="CZ13" i="164"/>
  <c r="GF13" i="164" s="1"/>
  <c r="DK16" i="164"/>
  <c r="DM16" i="164"/>
  <c r="ES16" i="164"/>
  <c r="ER16" i="164"/>
  <c r="CZ16" i="164"/>
  <c r="GF16" i="164" s="1"/>
  <c r="DM6" i="164"/>
  <c r="DK6" i="164"/>
  <c r="ES6" i="164"/>
  <c r="ER6" i="164"/>
  <c r="CZ6" i="164"/>
  <c r="GF6" i="164" s="1"/>
  <c r="DM10" i="164"/>
  <c r="DK10" i="164"/>
  <c r="ES10" i="164"/>
  <c r="DA10" i="164" s="1"/>
  <c r="GG10" i="164" s="1"/>
  <c r="ER10" i="164"/>
  <c r="CZ10" i="164"/>
  <c r="GF10" i="164" s="1"/>
  <c r="DK17" i="164"/>
  <c r="DM17" i="164"/>
  <c r="ES17" i="164"/>
  <c r="GO10" i="164"/>
  <c r="ER17" i="164"/>
  <c r="CZ17" i="164"/>
  <c r="GF17" i="164" s="1"/>
  <c r="DK18" i="164"/>
  <c r="DM18" i="164"/>
  <c r="ES18" i="164"/>
  <c r="ER18" i="164"/>
  <c r="CZ18" i="164"/>
  <c r="GF18" i="164" s="1"/>
  <c r="DA16" i="163"/>
  <c r="GG16" i="163" s="1"/>
  <c r="DA5" i="163"/>
  <c r="GG5" i="163" s="1"/>
  <c r="DA10" i="163"/>
  <c r="GG10" i="163" s="1"/>
  <c r="DA6" i="163"/>
  <c r="GG6" i="163" s="1"/>
  <c r="DA8" i="163"/>
  <c r="GG8" i="163" s="1"/>
  <c r="DA17" i="163"/>
  <c r="GG17" i="163" s="1"/>
  <c r="DA9" i="163"/>
  <c r="GG9" i="163" s="1"/>
  <c r="DA13" i="163"/>
  <c r="GG13" i="163" s="1"/>
  <c r="DA11" i="163"/>
  <c r="GG11" i="163" s="1"/>
  <c r="ES19" i="162"/>
  <c r="ER19" i="162"/>
  <c r="EG51" i="162"/>
  <c r="GO16" i="162" s="1"/>
  <c r="EG48" i="162"/>
  <c r="EG41" i="162"/>
  <c r="EG45" i="162"/>
  <c r="EG54" i="162"/>
  <c r="EG47" i="162"/>
  <c r="GO14" i="162" s="1"/>
  <c r="EG43" i="162"/>
  <c r="GO13" i="162" s="1"/>
  <c r="DN22" i="162"/>
  <c r="CY22" i="162" s="1"/>
  <c r="GE22" i="162" s="1"/>
  <c r="EG53" i="162"/>
  <c r="GO18" i="162" s="1"/>
  <c r="EG49" i="162"/>
  <c r="GO15" i="162" s="1"/>
  <c r="EG46" i="162"/>
  <c r="EG44" i="162"/>
  <c r="EG52" i="162"/>
  <c r="EG50" i="162"/>
  <c r="EG42" i="162"/>
  <c r="EG37" i="162"/>
  <c r="EG36" i="162"/>
  <c r="EG39" i="162"/>
  <c r="EG35" i="162"/>
  <c r="EG32" i="162"/>
  <c r="EG31" i="162"/>
  <c r="EG33" i="162"/>
  <c r="EG30" i="162"/>
  <c r="EG26" i="162"/>
  <c r="EG34" i="162"/>
  <c r="EG27" i="162"/>
  <c r="EG38" i="162"/>
  <c r="EG28" i="162"/>
  <c r="EG25" i="162"/>
  <c r="EG29" i="162"/>
  <c r="DN23" i="162"/>
  <c r="CY23" i="162" s="1"/>
  <c r="GE23" i="162" s="1"/>
  <c r="GL9" i="159"/>
  <c r="EX36" i="48"/>
  <c r="GL8" i="159"/>
  <c r="EX34" i="48"/>
  <c r="CV47" i="159"/>
  <c r="CV23" i="48"/>
  <c r="GL12" i="159"/>
  <c r="EX41" i="48"/>
  <c r="DZ6" i="159"/>
  <c r="EC6" i="159" s="1"/>
  <c r="EX27" i="48"/>
  <c r="GL4" i="159"/>
  <c r="EX26" i="48"/>
  <c r="DZ10" i="159"/>
  <c r="EC10" i="159" s="1"/>
  <c r="EA10" i="159" s="1"/>
  <c r="EX31" i="48"/>
  <c r="DZ14" i="159"/>
  <c r="EC14" i="159" s="1"/>
  <c r="EA14" i="159" s="1"/>
  <c r="EX35" i="48"/>
  <c r="GC21" i="159"/>
  <c r="CV21" i="48"/>
  <c r="GL15" i="159"/>
  <c r="EX49" i="48"/>
  <c r="DZ8" i="159"/>
  <c r="EC8" i="159" s="1"/>
  <c r="EA8" i="159" s="1"/>
  <c r="EX29" i="48"/>
  <c r="GL5" i="159"/>
  <c r="EX28" i="48"/>
  <c r="GL7" i="159"/>
  <c r="EX32" i="48"/>
  <c r="GL10" i="159"/>
  <c r="EX38" i="48"/>
  <c r="EZ25" i="159"/>
  <c r="EZ25" i="48" s="1"/>
  <c r="EZ23" i="48"/>
  <c r="DZ16" i="159"/>
  <c r="EC16" i="159" s="1"/>
  <c r="EA16" i="159" s="1"/>
  <c r="EX37" i="48"/>
  <c r="GL6" i="159"/>
  <c r="EX30" i="48"/>
  <c r="DZ12" i="159"/>
  <c r="EC12" i="159" s="1"/>
  <c r="EA12" i="159" s="1"/>
  <c r="EX33" i="48"/>
  <c r="DZ18" i="159"/>
  <c r="EC18" i="159" s="1"/>
  <c r="EA18" i="159" s="1"/>
  <c r="EX39" i="48"/>
  <c r="GL13" i="159"/>
  <c r="EX43" i="48"/>
  <c r="GL14" i="159"/>
  <c r="GN14" i="159" s="1"/>
  <c r="EX47" i="48"/>
  <c r="CY15" i="161"/>
  <c r="GE15" i="161" s="1"/>
  <c r="CY11" i="161"/>
  <c r="GE11" i="161" s="1"/>
  <c r="EG22" i="161"/>
  <c r="CY18" i="161"/>
  <c r="GE18" i="161" s="1"/>
  <c r="CY13" i="161"/>
  <c r="GE13" i="161" s="1"/>
  <c r="DN10" i="161"/>
  <c r="DN17" i="161"/>
  <c r="DN21" i="161"/>
  <c r="CY21" i="161" s="1"/>
  <c r="GE21" i="161" s="1"/>
  <c r="DN6" i="161"/>
  <c r="CY10" i="161"/>
  <c r="GE10" i="161" s="1"/>
  <c r="CY17" i="161"/>
  <c r="GE17" i="161" s="1"/>
  <c r="EG23" i="161"/>
  <c r="EG40" i="161" s="1"/>
  <c r="CX17" i="161"/>
  <c r="GD17" i="161" s="1"/>
  <c r="CX10" i="161"/>
  <c r="GD10" i="161" s="1"/>
  <c r="DN7" i="161"/>
  <c r="CX7" i="161"/>
  <c r="GD7" i="161" s="1"/>
  <c r="DN9" i="161"/>
  <c r="CX9" i="161"/>
  <c r="GD9" i="161" s="1"/>
  <c r="DN12" i="161"/>
  <c r="DN18" i="161"/>
  <c r="DN13" i="161"/>
  <c r="CY6" i="161"/>
  <c r="GE6" i="161" s="1"/>
  <c r="DN11" i="161"/>
  <c r="CY9" i="161"/>
  <c r="GE9" i="161" s="1"/>
  <c r="CX12" i="161"/>
  <c r="GD12" i="161" s="1"/>
  <c r="CX15" i="160"/>
  <c r="GD15" i="160" s="1"/>
  <c r="CX5" i="160"/>
  <c r="GD5" i="160" s="1"/>
  <c r="CX11" i="160"/>
  <c r="GD11" i="160" s="1"/>
  <c r="CX17" i="160"/>
  <c r="GD17" i="160" s="1"/>
  <c r="CX18" i="160"/>
  <c r="GD18" i="160" s="1"/>
  <c r="DN6" i="160"/>
  <c r="DN5" i="160"/>
  <c r="EG4" i="160"/>
  <c r="CY4" i="160" s="1"/>
  <c r="GE4" i="160" s="1"/>
  <c r="DN15" i="160"/>
  <c r="DN18" i="160"/>
  <c r="EG7" i="160"/>
  <c r="CY7" i="160" s="1"/>
  <c r="GE7" i="160" s="1"/>
  <c r="CY15" i="160"/>
  <c r="GE15" i="160" s="1"/>
  <c r="EG13" i="160"/>
  <c r="DN9" i="160"/>
  <c r="DN10" i="160"/>
  <c r="EG14" i="160"/>
  <c r="CX14" i="160" s="1"/>
  <c r="GD14" i="160" s="1"/>
  <c r="EG12" i="160"/>
  <c r="CY12" i="160" s="1"/>
  <c r="GE12" i="160" s="1"/>
  <c r="CX10" i="160"/>
  <c r="GD10" i="160" s="1"/>
  <c r="CY6" i="160"/>
  <c r="GE6" i="160" s="1"/>
  <c r="EG16" i="160"/>
  <c r="CY16" i="160" s="1"/>
  <c r="GE16" i="160" s="1"/>
  <c r="CX6" i="160"/>
  <c r="GD6" i="160" s="1"/>
  <c r="CY5" i="160"/>
  <c r="GE5" i="160" s="1"/>
  <c r="CY10" i="160"/>
  <c r="GE10" i="160" s="1"/>
  <c r="EG8" i="160"/>
  <c r="DN17" i="160"/>
  <c r="DN11" i="160"/>
  <c r="CX9" i="160"/>
  <c r="GD9" i="160" s="1"/>
  <c r="ET11" i="159"/>
  <c r="CV47" i="48"/>
  <c r="EP16" i="159"/>
  <c r="EP11" i="159"/>
  <c r="EQ11" i="159" s="1"/>
  <c r="EP12" i="159"/>
  <c r="EQ12" i="159" s="1"/>
  <c r="EP4" i="159"/>
  <c r="EQ4" i="159" s="1"/>
  <c r="EP15" i="159"/>
  <c r="EQ15" i="159" s="1"/>
  <c r="EO14" i="159"/>
  <c r="EQ14" i="159" s="1"/>
  <c r="ED19" i="159"/>
  <c r="DV19" i="159"/>
  <c r="EI19" i="159"/>
  <c r="EH19" i="159" s="1"/>
  <c r="EA6" i="159"/>
  <c r="ED6" i="159" s="1"/>
  <c r="EZ29" i="159"/>
  <c r="EZ29" i="48" s="1"/>
  <c r="EZ47" i="159"/>
  <c r="EZ47" i="48" s="1"/>
  <c r="EZ37" i="159"/>
  <c r="EZ37" i="48" s="1"/>
  <c r="GN10" i="159"/>
  <c r="EP13" i="159"/>
  <c r="EQ13" i="159" s="1"/>
  <c r="GN12" i="159"/>
  <c r="EP7" i="159"/>
  <c r="EO7" i="159"/>
  <c r="GN6" i="159"/>
  <c r="GN9" i="159"/>
  <c r="EP17" i="159"/>
  <c r="EQ17" i="159" s="1"/>
  <c r="EZ35" i="159"/>
  <c r="EZ35" i="48" s="1"/>
  <c r="EZ49" i="159"/>
  <c r="EZ49" i="48" s="1"/>
  <c r="EZ53" i="159"/>
  <c r="EZ53" i="48" s="1"/>
  <c r="CV49" i="159"/>
  <c r="CV53" i="159"/>
  <c r="GN15" i="159"/>
  <c r="EP9" i="159"/>
  <c r="EQ9" i="159" s="1"/>
  <c r="GN13" i="159"/>
  <c r="EZ43" i="159"/>
  <c r="EZ43" i="48" s="1"/>
  <c r="EZ45" i="159"/>
  <c r="EZ45" i="48" s="1"/>
  <c r="CV43" i="159"/>
  <c r="CV45" i="159"/>
  <c r="EP5" i="159"/>
  <c r="EQ5" i="159" s="1"/>
  <c r="EZ33" i="159"/>
  <c r="EZ33" i="48" s="1"/>
  <c r="EZ38" i="159"/>
  <c r="EZ38" i="48" s="1"/>
  <c r="EZ39" i="159"/>
  <c r="EZ39" i="48" s="1"/>
  <c r="GN5" i="159"/>
  <c r="EZ34" i="159"/>
  <c r="EZ34" i="48" s="1"/>
  <c r="EZ36" i="159"/>
  <c r="EZ36" i="48" s="1"/>
  <c r="DZ20" i="159"/>
  <c r="EC20" i="159" s="1"/>
  <c r="EA20" i="159" s="1"/>
  <c r="ED20" i="159" s="1"/>
  <c r="CV41" i="159"/>
  <c r="CV42" i="159"/>
  <c r="EO6" i="159"/>
  <c r="EP6" i="159"/>
  <c r="EZ41" i="159"/>
  <c r="EZ41" i="48" s="1"/>
  <c r="EZ42" i="159"/>
  <c r="EZ42" i="48" s="1"/>
  <c r="DZ17" i="159"/>
  <c r="EC17" i="159" s="1"/>
  <c r="EA17" i="159" s="1"/>
  <c r="ED17" i="159" s="1"/>
  <c r="GN8" i="159"/>
  <c r="EQ8" i="159"/>
  <c r="GN4" i="159"/>
  <c r="ED10" i="159"/>
  <c r="ED14" i="159"/>
  <c r="ED8" i="159"/>
  <c r="ED12" i="159"/>
  <c r="ED18" i="159"/>
  <c r="ED16" i="159"/>
  <c r="ED4" i="159"/>
  <c r="EQ10" i="159"/>
  <c r="EI11" i="159"/>
  <c r="DV11" i="159"/>
  <c r="DZ11" i="159"/>
  <c r="EC11" i="159" s="1"/>
  <c r="EA11" i="159" s="1"/>
  <c r="DZ9" i="159"/>
  <c r="EC9" i="159" s="1"/>
  <c r="EA9" i="159" s="1"/>
  <c r="DZ13" i="159"/>
  <c r="EC13" i="159" s="1"/>
  <c r="EA13" i="159" s="1"/>
  <c r="EI6" i="159"/>
  <c r="DV6" i="159"/>
  <c r="EI4" i="159"/>
  <c r="EI12" i="159"/>
  <c r="DV12" i="159"/>
  <c r="DV5" i="159"/>
  <c r="EI5" i="159"/>
  <c r="GN7" i="159"/>
  <c r="DV10" i="159"/>
  <c r="EI10" i="159"/>
  <c r="DV18" i="159"/>
  <c r="EI18" i="159"/>
  <c r="DV14" i="159"/>
  <c r="EI14" i="159"/>
  <c r="DV9" i="159"/>
  <c r="EI9" i="159"/>
  <c r="DV8" i="159"/>
  <c r="EI8" i="159"/>
  <c r="EI16" i="159"/>
  <c r="DV16" i="159"/>
  <c r="DV13" i="159"/>
  <c r="EI13" i="159"/>
  <c r="DZ5" i="159"/>
  <c r="EC5" i="159" s="1"/>
  <c r="EA5" i="159" s="1"/>
  <c r="EI17" i="159"/>
  <c r="DV17" i="159"/>
  <c r="EQ16" i="159"/>
  <c r="DV7" i="159"/>
  <c r="EI7" i="159"/>
  <c r="DZ7" i="159"/>
  <c r="EC7" i="159" s="1"/>
  <c r="EA7" i="159" s="1"/>
  <c r="CV37" i="159"/>
  <c r="CV36" i="159"/>
  <c r="CV36" i="48" s="1"/>
  <c r="CV39" i="159"/>
  <c r="CV38" i="159"/>
  <c r="CV38" i="48" s="1"/>
  <c r="CV31" i="159"/>
  <c r="CV31" i="48" s="1"/>
  <c r="CV30" i="159"/>
  <c r="CV30" i="48" s="1"/>
  <c r="CV29" i="159"/>
  <c r="CV29" i="48" s="1"/>
  <c r="CV28" i="159"/>
  <c r="CV28" i="48" s="1"/>
  <c r="CV27" i="159"/>
  <c r="CV27" i="48" s="1"/>
  <c r="CV26" i="159"/>
  <c r="CV26" i="48" s="1"/>
  <c r="CV35" i="159"/>
  <c r="CV33" i="159"/>
  <c r="CV34" i="159"/>
  <c r="CV34" i="48" s="1"/>
  <c r="CV25" i="159"/>
  <c r="GC23" i="159"/>
  <c r="CV32" i="159"/>
  <c r="CV32" i="48" s="1"/>
  <c r="DV15" i="159"/>
  <c r="EI15" i="159"/>
  <c r="DZ15" i="159"/>
  <c r="EC15" i="159" s="1"/>
  <c r="EA15" i="159" s="1"/>
  <c r="DW13" i="107"/>
  <c r="DL13" i="107"/>
  <c r="DL7" i="107"/>
  <c r="DW7" i="107"/>
  <c r="DL9" i="107"/>
  <c r="DW9" i="107"/>
  <c r="EN5" i="107"/>
  <c r="EL5" i="107" s="1"/>
  <c r="EO5" i="107" s="1"/>
  <c r="DW20" i="107"/>
  <c r="DW6" i="107"/>
  <c r="DL6" i="107"/>
  <c r="DW5" i="107"/>
  <c r="DL5" i="107"/>
  <c r="DW15" i="107"/>
  <c r="DL15" i="107"/>
  <c r="DW14" i="107"/>
  <c r="DL14" i="107"/>
  <c r="DL12" i="107"/>
  <c r="DW12" i="107"/>
  <c r="DW19" i="107"/>
  <c r="DL10" i="107"/>
  <c r="DW10" i="107"/>
  <c r="DW8" i="107"/>
  <c r="DL8" i="107"/>
  <c r="EN8" i="107"/>
  <c r="EL8" i="107" s="1"/>
  <c r="EO8" i="107" s="1"/>
  <c r="EN18" i="107"/>
  <c r="EL18" i="107" s="1"/>
  <c r="EO18" i="107" s="1"/>
  <c r="DW18" i="107"/>
  <c r="DL18" i="107"/>
  <c r="DL17" i="107"/>
  <c r="DW17" i="107"/>
  <c r="DL16" i="107"/>
  <c r="DW16" i="107"/>
  <c r="DW11" i="107"/>
  <c r="DL11" i="107"/>
  <c r="AC27" i="48"/>
  <c r="AC38" i="48"/>
  <c r="AC45" i="48"/>
  <c r="E42" i="48"/>
  <c r="EN6" i="48" s="1"/>
  <c r="EL6" i="48" s="1"/>
  <c r="EO6" i="48" s="1"/>
  <c r="AC30" i="48"/>
  <c r="AC37" i="48"/>
  <c r="AC31" i="48"/>
  <c r="I37" i="48"/>
  <c r="I42" i="48"/>
  <c r="I46" i="48"/>
  <c r="G49" i="48"/>
  <c r="G40" i="48"/>
  <c r="EN10" i="48"/>
  <c r="EL10" i="48" s="1"/>
  <c r="EO10" i="48" s="1"/>
  <c r="I40" i="48"/>
  <c r="E41" i="48"/>
  <c r="DW20" i="48" s="1"/>
  <c r="E54" i="48"/>
  <c r="EN18" i="48" s="1"/>
  <c r="EL18" i="48" s="1"/>
  <c r="EO18" i="48" s="1"/>
  <c r="E50" i="48"/>
  <c r="E25" i="48"/>
  <c r="G47" i="48"/>
  <c r="GM15" i="48" s="1"/>
  <c r="I50" i="48"/>
  <c r="I41" i="48"/>
  <c r="E51" i="48"/>
  <c r="EN15" i="48" s="1"/>
  <c r="EL15" i="48" s="1"/>
  <c r="EO15" i="48" s="1"/>
  <c r="AC28" i="48"/>
  <c r="AC39" i="48"/>
  <c r="AC40" i="48"/>
  <c r="G29" i="48"/>
  <c r="G33" i="48"/>
  <c r="G43" i="48"/>
  <c r="G53" i="48"/>
  <c r="G34" i="48"/>
  <c r="G37" i="48"/>
  <c r="G52" i="48"/>
  <c r="G35" i="48"/>
  <c r="G28" i="48"/>
  <c r="G32" i="48"/>
  <c r="G25" i="48"/>
  <c r="G30" i="48"/>
  <c r="G27" i="48"/>
  <c r="AC29" i="48"/>
  <c r="AC33" i="48"/>
  <c r="G39" i="48"/>
  <c r="G38" i="48"/>
  <c r="AC36" i="48"/>
  <c r="G26" i="48"/>
  <c r="G36" i="48"/>
  <c r="G31" i="48"/>
  <c r="AC25" i="48"/>
  <c r="AC32" i="48"/>
  <c r="G44" i="48"/>
  <c r="AC44" i="48"/>
  <c r="CZ27" i="48"/>
  <c r="DF44" i="48" s="1"/>
  <c r="CY27" i="48"/>
  <c r="DF39" i="48" s="1"/>
  <c r="E53" i="48"/>
  <c r="EE16" i="48"/>
  <c r="EE10" i="48"/>
  <c r="EE18" i="48"/>
  <c r="EE14" i="48"/>
  <c r="EE12" i="48"/>
  <c r="EE20" i="48"/>
  <c r="EQ20" i="48"/>
  <c r="E33" i="48"/>
  <c r="E31" i="48"/>
  <c r="G45" i="48"/>
  <c r="E49" i="48"/>
  <c r="E40" i="48"/>
  <c r="E27" i="48"/>
  <c r="E26" i="48"/>
  <c r="E35" i="48"/>
  <c r="E32" i="48"/>
  <c r="E44" i="48"/>
  <c r="E48" i="48"/>
  <c r="EN12" i="48" s="1"/>
  <c r="EL12" i="48" s="1"/>
  <c r="EO12" i="48" s="1"/>
  <c r="E29" i="48"/>
  <c r="E28" i="48"/>
  <c r="E39" i="48"/>
  <c r="E34" i="48"/>
  <c r="E43" i="48"/>
  <c r="E45" i="48"/>
  <c r="E36" i="48"/>
  <c r="E30" i="48"/>
  <c r="E38" i="48"/>
  <c r="E37" i="48"/>
  <c r="E52" i="48"/>
  <c r="EX36" i="107"/>
  <c r="DZ15" i="107" s="1"/>
  <c r="EC15" i="107" s="1"/>
  <c r="EA15" i="107" s="1"/>
  <c r="EX39" i="107"/>
  <c r="DZ18" i="107" s="1"/>
  <c r="EC18" i="107" s="1"/>
  <c r="EA18" i="107" s="1"/>
  <c r="EX35" i="107"/>
  <c r="DZ14" i="107" s="1"/>
  <c r="EC14" i="107" s="1"/>
  <c r="EA14" i="107" s="1"/>
  <c r="EX38" i="107"/>
  <c r="DZ17" i="107" s="1"/>
  <c r="EC17" i="107" s="1"/>
  <c r="EA17" i="107" s="1"/>
  <c r="EX37" i="107"/>
  <c r="DZ16" i="107" s="1"/>
  <c r="EC16" i="107" s="1"/>
  <c r="EA16" i="107" s="1"/>
  <c r="EZ36" i="107"/>
  <c r="EX50" i="107"/>
  <c r="EP14" i="107" s="1"/>
  <c r="EQ14" i="107" s="1"/>
  <c r="EX53" i="107"/>
  <c r="EP17" i="107" s="1"/>
  <c r="EQ17" i="107" s="1"/>
  <c r="EX52" i="107"/>
  <c r="EP16" i="107" s="1"/>
  <c r="EQ16" i="107" s="1"/>
  <c r="EX51" i="107"/>
  <c r="GL16" i="107" s="1"/>
  <c r="FJ21" i="107"/>
  <c r="EX54" i="107"/>
  <c r="EX46" i="107"/>
  <c r="EP10" i="107" s="1"/>
  <c r="EQ10" i="107" s="1"/>
  <c r="EX47" i="107"/>
  <c r="EP11" i="107" s="1"/>
  <c r="EQ11" i="107" s="1"/>
  <c r="EX42" i="107"/>
  <c r="EP6" i="107" s="1"/>
  <c r="EQ6" i="107" s="1"/>
  <c r="EX40" i="107"/>
  <c r="DZ19" i="107" s="1"/>
  <c r="EC19" i="107" s="1"/>
  <c r="EA19" i="107" s="1"/>
  <c r="EX41" i="107"/>
  <c r="DZ20" i="107" s="1"/>
  <c r="EC20" i="107" s="1"/>
  <c r="EA20" i="107" s="1"/>
  <c r="EX33" i="107"/>
  <c r="DZ12" i="107" s="1"/>
  <c r="EC12" i="107" s="1"/>
  <c r="EA12" i="107" s="1"/>
  <c r="EX34" i="107"/>
  <c r="DZ13" i="107" s="1"/>
  <c r="EC13" i="107" s="1"/>
  <c r="EA13" i="107" s="1"/>
  <c r="EX29" i="107"/>
  <c r="DZ8" i="107" s="1"/>
  <c r="EC8" i="107" s="1"/>
  <c r="EA8" i="107" s="1"/>
  <c r="EX30" i="107"/>
  <c r="DZ9" i="107" s="1"/>
  <c r="EC9" i="107" s="1"/>
  <c r="EA9" i="107" s="1"/>
  <c r="EX28" i="107"/>
  <c r="DZ7" i="107" s="1"/>
  <c r="EC7" i="107" s="1"/>
  <c r="EA7" i="107" s="1"/>
  <c r="GM7" i="107"/>
  <c r="GM13" i="107"/>
  <c r="GM18" i="107"/>
  <c r="GL5" i="107"/>
  <c r="CV22" i="107"/>
  <c r="GC7" i="107"/>
  <c r="GM5" i="107"/>
  <c r="GM6" i="107"/>
  <c r="GM12" i="107"/>
  <c r="DL4" i="107"/>
  <c r="DW4" i="107"/>
  <c r="EI4" i="107" s="1"/>
  <c r="FJ23" i="107"/>
  <c r="GM9" i="107"/>
  <c r="GM10" i="107"/>
  <c r="EN4" i="107"/>
  <c r="EL4" i="107" s="1"/>
  <c r="EO4" i="107" s="1"/>
  <c r="GM16" i="107"/>
  <c r="GM4" i="107"/>
  <c r="EX48" i="107"/>
  <c r="EP12" i="107" s="1"/>
  <c r="EQ12" i="107" s="1"/>
  <c r="EX49" i="107"/>
  <c r="GL15" i="107" s="1"/>
  <c r="EX45" i="107"/>
  <c r="EP9" i="107" s="1"/>
  <c r="EQ9" i="107" s="1"/>
  <c r="EX44" i="107"/>
  <c r="EX43" i="107"/>
  <c r="GL13" i="107" s="1"/>
  <c r="EX31" i="107"/>
  <c r="DZ10" i="107" s="1"/>
  <c r="EC10" i="107" s="1"/>
  <c r="EA10" i="107" s="1"/>
  <c r="GL9" i="107"/>
  <c r="EX32" i="107"/>
  <c r="GL7" i="107" s="1"/>
  <c r="EX25" i="107"/>
  <c r="DZ4" i="107" s="1"/>
  <c r="EC4" i="107" s="1"/>
  <c r="EA4" i="107" s="1"/>
  <c r="EX26" i="107"/>
  <c r="GL4" i="107" s="1"/>
  <c r="EX27" i="107"/>
  <c r="DZ6" i="107" s="1"/>
  <c r="EC6" i="107" s="1"/>
  <c r="EA6" i="107" s="1"/>
  <c r="GL6" i="107"/>
  <c r="GM8" i="107"/>
  <c r="GM14" i="107"/>
  <c r="GM15" i="107"/>
  <c r="CV21" i="107"/>
  <c r="GC21" i="107" s="1"/>
  <c r="CV23" i="107"/>
  <c r="GC4" i="107"/>
  <c r="GL12" i="107"/>
  <c r="GL18" i="107"/>
  <c r="DN22" i="161" l="1"/>
  <c r="CY22" i="161" s="1"/>
  <c r="GE22" i="161" s="1"/>
  <c r="DA11" i="164"/>
  <c r="GG11" i="164" s="1"/>
  <c r="DA12" i="164"/>
  <c r="GG12" i="164" s="1"/>
  <c r="DA14" i="164"/>
  <c r="GG14" i="164" s="1"/>
  <c r="DA18" i="164"/>
  <c r="GG18" i="164" s="1"/>
  <c r="DA6" i="164"/>
  <c r="GG6" i="164" s="1"/>
  <c r="DA8" i="164"/>
  <c r="GG8" i="164" s="1"/>
  <c r="DA16" i="164"/>
  <c r="GG16" i="164" s="1"/>
  <c r="DA9" i="164"/>
  <c r="GG9" i="164" s="1"/>
  <c r="DA15" i="164"/>
  <c r="GG15" i="164" s="1"/>
  <c r="DA4" i="164"/>
  <c r="GG4" i="164" s="1"/>
  <c r="DA7" i="164"/>
  <c r="GG7" i="164" s="1"/>
  <c r="DA17" i="164"/>
  <c r="GG17" i="164" s="1"/>
  <c r="EJ19" i="48"/>
  <c r="ES20" i="162"/>
  <c r="GO12" i="162"/>
  <c r="ER20" i="162"/>
  <c r="DK17" i="162"/>
  <c r="DM17" i="162"/>
  <c r="ES17" i="162"/>
  <c r="ER17" i="162"/>
  <c r="GO10" i="162"/>
  <c r="CZ17" i="162"/>
  <c r="GF17" i="162" s="1"/>
  <c r="DM9" i="162"/>
  <c r="DK9" i="162"/>
  <c r="ES9" i="162"/>
  <c r="ER9" i="162"/>
  <c r="GO6" i="162"/>
  <c r="CZ9" i="162"/>
  <c r="GF9" i="162" s="1"/>
  <c r="DK8" i="162"/>
  <c r="DM8" i="162"/>
  <c r="ES8" i="162"/>
  <c r="ER8" i="162"/>
  <c r="CZ8" i="162"/>
  <c r="GF8" i="162" s="1"/>
  <c r="DK18" i="162"/>
  <c r="DM18" i="162"/>
  <c r="ES18" i="162"/>
  <c r="ER18" i="162"/>
  <c r="CZ18" i="162"/>
  <c r="GF18" i="162" s="1"/>
  <c r="ES4" i="162"/>
  <c r="DK4" i="162"/>
  <c r="DM4" i="162"/>
  <c r="ER4" i="162"/>
  <c r="CZ4" i="162"/>
  <c r="GF4" i="162" s="1"/>
  <c r="DK13" i="162"/>
  <c r="DM13" i="162"/>
  <c r="ES13" i="162"/>
  <c r="GO8" i="162"/>
  <c r="ER13" i="162"/>
  <c r="CZ13" i="162"/>
  <c r="GF13" i="162" s="1"/>
  <c r="DK10" i="162"/>
  <c r="DM10" i="162"/>
  <c r="ES10" i="162"/>
  <c r="ER10" i="162"/>
  <c r="CZ10" i="162"/>
  <c r="GF10" i="162" s="1"/>
  <c r="DM15" i="162"/>
  <c r="DK15" i="162"/>
  <c r="ES15" i="162"/>
  <c r="GO9" i="162"/>
  <c r="ER15" i="162"/>
  <c r="CZ15" i="162"/>
  <c r="GF15" i="162" s="1"/>
  <c r="DK14" i="162"/>
  <c r="DM14" i="162"/>
  <c r="ES14" i="162"/>
  <c r="ER14" i="162"/>
  <c r="CZ14" i="162"/>
  <c r="GF14" i="162" s="1"/>
  <c r="DM6" i="162"/>
  <c r="DK6" i="162"/>
  <c r="ES6" i="162"/>
  <c r="ER6" i="162"/>
  <c r="CZ6" i="162"/>
  <c r="GF6" i="162" s="1"/>
  <c r="DM12" i="162"/>
  <c r="DK12" i="162"/>
  <c r="ES12" i="162"/>
  <c r="ER12" i="162"/>
  <c r="CZ12" i="162"/>
  <c r="GF12" i="162" s="1"/>
  <c r="DM7" i="162"/>
  <c r="DK7" i="162"/>
  <c r="ES7" i="162"/>
  <c r="GO5" i="162"/>
  <c r="ER7" i="162"/>
  <c r="CZ7" i="162"/>
  <c r="GF7" i="162" s="1"/>
  <c r="DM5" i="162"/>
  <c r="DK5" i="162"/>
  <c r="ES5" i="162"/>
  <c r="ER5" i="162"/>
  <c r="GO4" i="162"/>
  <c r="CZ5" i="162"/>
  <c r="GF5" i="162" s="1"/>
  <c r="DM11" i="162"/>
  <c r="DK11" i="162"/>
  <c r="ES11" i="162"/>
  <c r="GO7" i="162"/>
  <c r="ER11" i="162"/>
  <c r="CZ11" i="162"/>
  <c r="GF11" i="162" s="1"/>
  <c r="DM16" i="162"/>
  <c r="DK16" i="162"/>
  <c r="ES16" i="162"/>
  <c r="ER16" i="162"/>
  <c r="CZ16" i="162"/>
  <c r="GF16" i="162" s="1"/>
  <c r="DZ4" i="48"/>
  <c r="EG46" i="161"/>
  <c r="EG44" i="161"/>
  <c r="EG42" i="161"/>
  <c r="EG48" i="161"/>
  <c r="EG47" i="161"/>
  <c r="GO14" i="161" s="1"/>
  <c r="EG50" i="161"/>
  <c r="EG51" i="161"/>
  <c r="GO16" i="161" s="1"/>
  <c r="EG45" i="161"/>
  <c r="EG52" i="161"/>
  <c r="EG49" i="161"/>
  <c r="GO15" i="161" s="1"/>
  <c r="EG53" i="161"/>
  <c r="GO18" i="161" s="1"/>
  <c r="EG54" i="161"/>
  <c r="EG41" i="161"/>
  <c r="ES20" i="161" s="1"/>
  <c r="EG43" i="161"/>
  <c r="GO13" i="161" s="1"/>
  <c r="ER19" i="161"/>
  <c r="ES19" i="161"/>
  <c r="GO12" i="161"/>
  <c r="EG36" i="161"/>
  <c r="EG39" i="161"/>
  <c r="EG35" i="161"/>
  <c r="EG38" i="161"/>
  <c r="EG37" i="161"/>
  <c r="EG34" i="161"/>
  <c r="EG30" i="161"/>
  <c r="EG29" i="161"/>
  <c r="EG28" i="161"/>
  <c r="EG27" i="161"/>
  <c r="EG26" i="161"/>
  <c r="EG25" i="161"/>
  <c r="EG33" i="161"/>
  <c r="EG32" i="161"/>
  <c r="EG31" i="161"/>
  <c r="DN23" i="161"/>
  <c r="CY23" i="161" s="1"/>
  <c r="GE23" i="161" s="1"/>
  <c r="EG22" i="160"/>
  <c r="EG40" i="160" s="1"/>
  <c r="ER19" i="160" s="1"/>
  <c r="CX7" i="160"/>
  <c r="GD7" i="160" s="1"/>
  <c r="CX16" i="160"/>
  <c r="GD16" i="160" s="1"/>
  <c r="CX12" i="160"/>
  <c r="GD12" i="160" s="1"/>
  <c r="CY14" i="160"/>
  <c r="GE14" i="160" s="1"/>
  <c r="CX4" i="160"/>
  <c r="GD4" i="160" s="1"/>
  <c r="DN13" i="160"/>
  <c r="DN8" i="160"/>
  <c r="DN16" i="160"/>
  <c r="EG23" i="160"/>
  <c r="EG47" i="160" s="1"/>
  <c r="GO14" i="160" s="1"/>
  <c r="DN21" i="160"/>
  <c r="CY21" i="160" s="1"/>
  <c r="GE21" i="160" s="1"/>
  <c r="DN4" i="160"/>
  <c r="CY8" i="160"/>
  <c r="GE8" i="160" s="1"/>
  <c r="DN12" i="160"/>
  <c r="DN7" i="160"/>
  <c r="DN14" i="160"/>
  <c r="CX13" i="160"/>
  <c r="GD13" i="160" s="1"/>
  <c r="CY13" i="160"/>
  <c r="GE13" i="160" s="1"/>
  <c r="CX8" i="160"/>
  <c r="GD8" i="160" s="1"/>
  <c r="ET5" i="159"/>
  <c r="CV41" i="48"/>
  <c r="EJ20" i="48" s="1"/>
  <c r="EK14" i="159"/>
  <c r="CV35" i="48"/>
  <c r="EK18" i="159"/>
  <c r="CV39" i="48"/>
  <c r="ET7" i="159"/>
  <c r="CV43" i="48"/>
  <c r="EK16" i="159"/>
  <c r="CV37" i="48"/>
  <c r="ET17" i="159"/>
  <c r="CV53" i="48"/>
  <c r="EK12" i="159"/>
  <c r="CV33" i="48"/>
  <c r="ET9" i="159"/>
  <c r="CV45" i="48"/>
  <c r="ET13" i="159"/>
  <c r="CV49" i="48"/>
  <c r="EK4" i="159"/>
  <c r="CV25" i="48"/>
  <c r="ET6" i="159"/>
  <c r="CV42" i="48"/>
  <c r="DU19" i="159"/>
  <c r="EG19" i="159" s="1"/>
  <c r="DX20" i="159"/>
  <c r="DU20" i="159" s="1"/>
  <c r="EG20" i="159" s="1"/>
  <c r="EQ7" i="159"/>
  <c r="EK17" i="159"/>
  <c r="EK20" i="159"/>
  <c r="EQ6" i="159"/>
  <c r="DX8" i="159"/>
  <c r="DU8" i="159" s="1"/>
  <c r="ED5" i="159"/>
  <c r="EK5" i="159"/>
  <c r="EK9" i="159"/>
  <c r="ED9" i="159"/>
  <c r="EK8" i="159"/>
  <c r="DX4" i="159"/>
  <c r="DU4" i="159" s="1"/>
  <c r="EG4" i="159" s="1"/>
  <c r="DX15" i="159"/>
  <c r="ED15" i="159"/>
  <c r="EK15" i="159"/>
  <c r="DX14" i="159"/>
  <c r="DU14" i="159" s="1"/>
  <c r="EH14" i="159"/>
  <c r="DX18" i="159"/>
  <c r="DU18" i="159" s="1"/>
  <c r="EH18" i="159"/>
  <c r="DX5" i="159"/>
  <c r="DX13" i="159"/>
  <c r="DX6" i="159"/>
  <c r="DU6" i="159" s="1"/>
  <c r="DX10" i="159"/>
  <c r="DU10" i="159" s="1"/>
  <c r="DX16" i="159"/>
  <c r="DU16" i="159" s="1"/>
  <c r="EH16" i="159"/>
  <c r="ED11" i="159"/>
  <c r="EK11" i="159"/>
  <c r="EK10" i="159"/>
  <c r="DX9" i="159"/>
  <c r="DX11" i="159"/>
  <c r="DX12" i="159"/>
  <c r="DU12" i="159" s="1"/>
  <c r="EH12" i="159"/>
  <c r="DX7" i="159"/>
  <c r="DX17" i="159"/>
  <c r="ED7" i="159"/>
  <c r="EK7" i="159"/>
  <c r="DU17" i="159"/>
  <c r="EK13" i="159"/>
  <c r="ED13" i="159"/>
  <c r="EK6" i="159"/>
  <c r="EP18" i="107"/>
  <c r="EQ18" i="107" s="1"/>
  <c r="EP5" i="107"/>
  <c r="EQ5" i="107" s="1"/>
  <c r="GL8" i="107"/>
  <c r="GL14" i="107"/>
  <c r="ED7" i="107"/>
  <c r="ED18" i="107"/>
  <c r="ED6" i="107"/>
  <c r="ED12" i="107"/>
  <c r="ED9" i="107"/>
  <c r="ED20" i="107"/>
  <c r="ED15" i="107"/>
  <c r="ED14" i="107"/>
  <c r="ED10" i="107"/>
  <c r="ED8" i="107"/>
  <c r="ED19" i="107"/>
  <c r="ED17" i="107"/>
  <c r="ED16" i="107"/>
  <c r="EP15" i="107"/>
  <c r="EQ15" i="107" s="1"/>
  <c r="DV12" i="107"/>
  <c r="EI12" i="107"/>
  <c r="DV14" i="107"/>
  <c r="EI14" i="107"/>
  <c r="DV15" i="107"/>
  <c r="EI15" i="107"/>
  <c r="DV5" i="107"/>
  <c r="EI5" i="107"/>
  <c r="DV6" i="107"/>
  <c r="EI6" i="107"/>
  <c r="DV9" i="107"/>
  <c r="EI9" i="107"/>
  <c r="ED13" i="107"/>
  <c r="DZ11" i="107"/>
  <c r="EC11" i="107" s="1"/>
  <c r="EA11" i="107" s="1"/>
  <c r="DV17" i="107"/>
  <c r="EI17" i="107"/>
  <c r="DV10" i="107"/>
  <c r="EI10" i="107"/>
  <c r="EP8" i="107"/>
  <c r="EQ8" i="107" s="1"/>
  <c r="EI16" i="107"/>
  <c r="DV16" i="107"/>
  <c r="EI18" i="107"/>
  <c r="DV18" i="107"/>
  <c r="DZ5" i="107"/>
  <c r="EC5" i="107" s="1"/>
  <c r="EA5" i="107" s="1"/>
  <c r="DV20" i="107"/>
  <c r="EI20" i="107"/>
  <c r="DV7" i="107"/>
  <c r="EI7" i="107"/>
  <c r="EP7" i="107"/>
  <c r="EQ7" i="107" s="1"/>
  <c r="DV11" i="107"/>
  <c r="EI11" i="107"/>
  <c r="EI8" i="107"/>
  <c r="DV8" i="107"/>
  <c r="DV19" i="107"/>
  <c r="EI19" i="107"/>
  <c r="EP13" i="107"/>
  <c r="EQ13" i="107" s="1"/>
  <c r="DV13" i="107"/>
  <c r="EI13" i="107"/>
  <c r="GL5" i="48"/>
  <c r="GL10" i="48"/>
  <c r="DZ5" i="48"/>
  <c r="EC5" i="48" s="1"/>
  <c r="EA5" i="48" s="1"/>
  <c r="DZ20" i="48"/>
  <c r="EC20" i="48" s="1"/>
  <c r="EA20" i="48" s="1"/>
  <c r="ED20" i="48" s="1"/>
  <c r="EN11" i="48"/>
  <c r="EL11" i="48" s="1"/>
  <c r="EO11" i="48" s="1"/>
  <c r="GM17" i="48"/>
  <c r="EN14" i="48"/>
  <c r="EL14" i="48" s="1"/>
  <c r="EO14" i="48" s="1"/>
  <c r="GM12" i="48"/>
  <c r="EN5" i="48"/>
  <c r="EL5" i="48" s="1"/>
  <c r="EO5" i="48" s="1"/>
  <c r="EN17" i="48"/>
  <c r="EL17" i="48" s="1"/>
  <c r="EO17" i="48" s="1"/>
  <c r="EN8" i="48"/>
  <c r="EL8" i="48" s="1"/>
  <c r="EO8" i="48" s="1"/>
  <c r="GL6" i="48"/>
  <c r="GL14" i="48"/>
  <c r="GL8" i="48"/>
  <c r="GL18" i="48"/>
  <c r="GL16" i="48"/>
  <c r="DZ15" i="48"/>
  <c r="EC15" i="48" s="1"/>
  <c r="EA15" i="48" s="1"/>
  <c r="ED15" i="48" s="1"/>
  <c r="GL13" i="48"/>
  <c r="GL17" i="48"/>
  <c r="GL9" i="48"/>
  <c r="GL11" i="48"/>
  <c r="GN11" i="48" s="1"/>
  <c r="GL7" i="48"/>
  <c r="GL12" i="48"/>
  <c r="EP18" i="48"/>
  <c r="EQ18" i="48" s="1"/>
  <c r="GM9" i="48"/>
  <c r="GM5" i="48"/>
  <c r="GM7" i="48"/>
  <c r="GM18" i="48"/>
  <c r="EN16" i="48"/>
  <c r="EL16" i="48" s="1"/>
  <c r="EO16" i="48" s="1"/>
  <c r="GM14" i="48"/>
  <c r="EN9" i="48"/>
  <c r="EL9" i="48" s="1"/>
  <c r="EO9" i="48" s="1"/>
  <c r="GM8" i="48"/>
  <c r="GM4" i="48"/>
  <c r="DZ19" i="48"/>
  <c r="EC19" i="48" s="1"/>
  <c r="EA19" i="48" s="1"/>
  <c r="DW19" i="48"/>
  <c r="DL18" i="48"/>
  <c r="DW18" i="48"/>
  <c r="GM6" i="48"/>
  <c r="GM10" i="48"/>
  <c r="GM13" i="48"/>
  <c r="EN7" i="48"/>
  <c r="EL7" i="48" s="1"/>
  <c r="EO7" i="48" s="1"/>
  <c r="EN13" i="48"/>
  <c r="EL13" i="48" s="1"/>
  <c r="EO13" i="48" s="1"/>
  <c r="GM16" i="48"/>
  <c r="DZ10" i="48"/>
  <c r="EC10" i="48" s="1"/>
  <c r="EA10" i="48" s="1"/>
  <c r="CX31" i="48"/>
  <c r="EZ25" i="107"/>
  <c r="EZ39" i="107"/>
  <c r="EZ31" i="107"/>
  <c r="EZ33" i="107"/>
  <c r="EZ27" i="107"/>
  <c r="EZ29" i="107"/>
  <c r="EZ35" i="107"/>
  <c r="EZ34" i="107"/>
  <c r="EZ30" i="107"/>
  <c r="EZ32" i="107"/>
  <c r="EZ38" i="107"/>
  <c r="EZ28" i="107"/>
  <c r="EZ37" i="107"/>
  <c r="EZ26" i="107"/>
  <c r="CV36" i="107"/>
  <c r="EK15" i="107" s="1"/>
  <c r="CV38" i="107"/>
  <c r="CV35" i="107"/>
  <c r="DX14" i="107" s="1"/>
  <c r="CV37" i="107"/>
  <c r="DX16" i="107" s="1"/>
  <c r="CV39" i="107"/>
  <c r="DX18" i="107" s="1"/>
  <c r="CV50" i="107"/>
  <c r="ET14" i="107" s="1"/>
  <c r="CV52" i="107"/>
  <c r="ET16" i="107" s="1"/>
  <c r="CV54" i="107"/>
  <c r="ET18" i="107" s="1"/>
  <c r="CV51" i="107"/>
  <c r="ET15" i="107" s="1"/>
  <c r="CV53" i="107"/>
  <c r="ET17" i="107" s="1"/>
  <c r="EZ41" i="107"/>
  <c r="EZ45" i="107"/>
  <c r="EZ49" i="107"/>
  <c r="EZ53" i="107"/>
  <c r="EZ42" i="107"/>
  <c r="EZ46" i="107"/>
  <c r="EZ50" i="107"/>
  <c r="EZ54" i="107"/>
  <c r="EZ43" i="107"/>
  <c r="EZ47" i="107"/>
  <c r="EZ51" i="107"/>
  <c r="EZ44" i="107"/>
  <c r="EZ48" i="107"/>
  <c r="EZ52" i="107"/>
  <c r="GL10" i="107"/>
  <c r="GN9" i="107"/>
  <c r="DV4" i="107"/>
  <c r="GN12" i="107"/>
  <c r="GN7" i="107"/>
  <c r="GN6" i="107"/>
  <c r="GN13" i="107"/>
  <c r="GN18" i="107"/>
  <c r="ED4" i="107"/>
  <c r="GN4" i="107"/>
  <c r="EP4" i="107"/>
  <c r="EQ4" i="107" s="1"/>
  <c r="GN5" i="107"/>
  <c r="CV49" i="107"/>
  <c r="ET13" i="107" s="1"/>
  <c r="CV43" i="107"/>
  <c r="ET7" i="107" s="1"/>
  <c r="CV48" i="107"/>
  <c r="ET12" i="107" s="1"/>
  <c r="CV45" i="107"/>
  <c r="ET9" i="107" s="1"/>
  <c r="CV44" i="107"/>
  <c r="ET8" i="107" s="1"/>
  <c r="CV32" i="107"/>
  <c r="CV31" i="107"/>
  <c r="DX10" i="107" s="1"/>
  <c r="CV26" i="107"/>
  <c r="CV27" i="107"/>
  <c r="DX6" i="107" s="1"/>
  <c r="GC23" i="107"/>
  <c r="CV25" i="107"/>
  <c r="EK4" i="107" s="1"/>
  <c r="GN14" i="107"/>
  <c r="CV46" i="107"/>
  <c r="ET10" i="107" s="1"/>
  <c r="CV47" i="107"/>
  <c r="ET11" i="107" s="1"/>
  <c r="CV40" i="107"/>
  <c r="CV41" i="107"/>
  <c r="CV42" i="107"/>
  <c r="ET6" i="107" s="1"/>
  <c r="CV34" i="107"/>
  <c r="EK13" i="107" s="1"/>
  <c r="CV29" i="107"/>
  <c r="DX8" i="107" s="1"/>
  <c r="CV30" i="107"/>
  <c r="CV33" i="107"/>
  <c r="DX12" i="107" s="1"/>
  <c r="GC22" i="107"/>
  <c r="CV28" i="107"/>
  <c r="GN15" i="107"/>
  <c r="GN10" i="107"/>
  <c r="GN16" i="107"/>
  <c r="EZ40" i="107"/>
  <c r="GN8" i="107"/>
  <c r="IN7" i="48"/>
  <c r="IN8" i="48"/>
  <c r="IN11" i="48"/>
  <c r="IN4" i="48"/>
  <c r="IN15" i="48"/>
  <c r="IN10" i="48"/>
  <c r="IN14" i="48"/>
  <c r="IN12" i="48"/>
  <c r="IN5" i="48"/>
  <c r="IN6" i="48"/>
  <c r="IN16" i="48"/>
  <c r="IN13" i="48"/>
  <c r="DA16" i="162" l="1"/>
  <c r="GG16" i="162" s="1"/>
  <c r="DA5" i="162"/>
  <c r="GG5" i="162" s="1"/>
  <c r="DA6" i="162"/>
  <c r="GG6" i="162" s="1"/>
  <c r="DA10" i="162"/>
  <c r="GG10" i="162" s="1"/>
  <c r="DA18" i="162"/>
  <c r="GG18" i="162" s="1"/>
  <c r="DA4" i="162"/>
  <c r="GG4" i="162" s="1"/>
  <c r="DA8" i="162"/>
  <c r="GG8" i="162" s="1"/>
  <c r="DA11" i="162"/>
  <c r="GG11" i="162" s="1"/>
  <c r="DA7" i="162"/>
  <c r="GG7" i="162" s="1"/>
  <c r="DA13" i="162"/>
  <c r="GG13" i="162" s="1"/>
  <c r="DA14" i="162"/>
  <c r="GG14" i="162" s="1"/>
  <c r="DA17" i="162"/>
  <c r="GG17" i="162" s="1"/>
  <c r="DA12" i="162"/>
  <c r="GG12" i="162" s="1"/>
  <c r="DA15" i="162"/>
  <c r="GG15" i="162" s="1"/>
  <c r="DA9" i="162"/>
  <c r="GG9" i="162" s="1"/>
  <c r="ER20" i="161"/>
  <c r="DK4" i="161"/>
  <c r="DM4" i="161"/>
  <c r="ES4" i="161"/>
  <c r="ER4" i="161"/>
  <c r="CZ4" i="161"/>
  <c r="GF4" i="161" s="1"/>
  <c r="DM8" i="161"/>
  <c r="DK8" i="161"/>
  <c r="ES8" i="161"/>
  <c r="ER8" i="161"/>
  <c r="CZ8" i="161"/>
  <c r="GF8" i="161" s="1"/>
  <c r="DK17" i="161"/>
  <c r="DM17" i="161"/>
  <c r="ES17" i="161"/>
  <c r="ER17" i="161"/>
  <c r="GO10" i="161"/>
  <c r="CZ17" i="161"/>
  <c r="GF17" i="161" s="1"/>
  <c r="DK10" i="161"/>
  <c r="DM10" i="161"/>
  <c r="ES10" i="161"/>
  <c r="ER10" i="161"/>
  <c r="CZ10" i="161"/>
  <c r="GF10" i="161" s="1"/>
  <c r="DK5" i="161"/>
  <c r="DM5" i="161"/>
  <c r="ES5" i="161"/>
  <c r="GO4" i="161"/>
  <c r="ER5" i="161"/>
  <c r="CZ5" i="161"/>
  <c r="GF5" i="161" s="1"/>
  <c r="DK9" i="161"/>
  <c r="DM9" i="161"/>
  <c r="ES9" i="161"/>
  <c r="GO6" i="161"/>
  <c r="ER9" i="161"/>
  <c r="CZ9" i="161"/>
  <c r="GF9" i="161" s="1"/>
  <c r="DK14" i="161"/>
  <c r="DM14" i="161"/>
  <c r="ES14" i="161"/>
  <c r="ER14" i="161"/>
  <c r="CZ14" i="161"/>
  <c r="GF14" i="161" s="1"/>
  <c r="DM11" i="161"/>
  <c r="DK11" i="161"/>
  <c r="ES11" i="161"/>
  <c r="GO7" i="161"/>
  <c r="ER11" i="161"/>
  <c r="CZ11" i="161"/>
  <c r="GF11" i="161" s="1"/>
  <c r="DM6" i="161"/>
  <c r="DK6" i="161"/>
  <c r="ES6" i="161"/>
  <c r="ER6" i="161"/>
  <c r="CZ6" i="161"/>
  <c r="GF6" i="161" s="1"/>
  <c r="DK13" i="161"/>
  <c r="DM13" i="161"/>
  <c r="ES13" i="161"/>
  <c r="GO8" i="161"/>
  <c r="ER13" i="161"/>
  <c r="CZ13" i="161"/>
  <c r="GF13" i="161" s="1"/>
  <c r="DM18" i="161"/>
  <c r="DK18" i="161"/>
  <c r="ES18" i="161"/>
  <c r="ER18" i="161"/>
  <c r="CZ18" i="161"/>
  <c r="GF18" i="161" s="1"/>
  <c r="DK12" i="161"/>
  <c r="DM12" i="161"/>
  <c r="ES12" i="161"/>
  <c r="ER12" i="161"/>
  <c r="CZ12" i="161"/>
  <c r="GF12" i="161" s="1"/>
  <c r="DK7" i="161"/>
  <c r="DM7" i="161"/>
  <c r="ES7" i="161"/>
  <c r="GO5" i="161"/>
  <c r="ER7" i="161"/>
  <c r="CZ7" i="161"/>
  <c r="GF7" i="161" s="1"/>
  <c r="DK16" i="161"/>
  <c r="DM16" i="161"/>
  <c r="ES16" i="161"/>
  <c r="ER16" i="161"/>
  <c r="CZ16" i="161"/>
  <c r="GF16" i="161" s="1"/>
  <c r="DM15" i="161"/>
  <c r="DK15" i="161"/>
  <c r="ES15" i="161"/>
  <c r="GO9" i="161"/>
  <c r="ER15" i="161"/>
  <c r="CZ15" i="161"/>
  <c r="GF15" i="161" s="1"/>
  <c r="EG42" i="160"/>
  <c r="EG48" i="160"/>
  <c r="EG54" i="160"/>
  <c r="EG44" i="160"/>
  <c r="DN22" i="160"/>
  <c r="CY22" i="160" s="1"/>
  <c r="GE22" i="160" s="1"/>
  <c r="EG52" i="160"/>
  <c r="EG46" i="160"/>
  <c r="EG43" i="160"/>
  <c r="GO13" i="160" s="1"/>
  <c r="EG51" i="160"/>
  <c r="GO16" i="160" s="1"/>
  <c r="EG53" i="160"/>
  <c r="GO18" i="160" s="1"/>
  <c r="EG50" i="160"/>
  <c r="EG49" i="160"/>
  <c r="GO15" i="160" s="1"/>
  <c r="ES19" i="160"/>
  <c r="EG41" i="160"/>
  <c r="ER20" i="160" s="1"/>
  <c r="EG45" i="160"/>
  <c r="EG39" i="160"/>
  <c r="EG38" i="160"/>
  <c r="EG37" i="160"/>
  <c r="EG36" i="160"/>
  <c r="EG30" i="160"/>
  <c r="EG29" i="160"/>
  <c r="EG35" i="160"/>
  <c r="EG34" i="160"/>
  <c r="EG31" i="160"/>
  <c r="EG33" i="160"/>
  <c r="EG32" i="160"/>
  <c r="EG28" i="160"/>
  <c r="EG27" i="160"/>
  <c r="EG26" i="160"/>
  <c r="EG25" i="160"/>
  <c r="DN23" i="160"/>
  <c r="CY23" i="160" s="1"/>
  <c r="GE23" i="160" s="1"/>
  <c r="EH4" i="159"/>
  <c r="EH17" i="159"/>
  <c r="EH9" i="159"/>
  <c r="EH5" i="159"/>
  <c r="EH13" i="159"/>
  <c r="EH11" i="159"/>
  <c r="EH10" i="159"/>
  <c r="DU15" i="159"/>
  <c r="EG15" i="159" s="1"/>
  <c r="EH20" i="159"/>
  <c r="EH8" i="159"/>
  <c r="DU11" i="159"/>
  <c r="EG11" i="159" s="1"/>
  <c r="DU5" i="159"/>
  <c r="EG5" i="159" s="1"/>
  <c r="DU7" i="159"/>
  <c r="EG7" i="159" s="1"/>
  <c r="DU13" i="159"/>
  <c r="EG13" i="159" s="1"/>
  <c r="DU9" i="159"/>
  <c r="EG9" i="159" s="1"/>
  <c r="EH6" i="159"/>
  <c r="EH7" i="159"/>
  <c r="EH15" i="159"/>
  <c r="EG18" i="159"/>
  <c r="EG16" i="159"/>
  <c r="EG12" i="159"/>
  <c r="EG17" i="159"/>
  <c r="EG14" i="159"/>
  <c r="EG10" i="159"/>
  <c r="EG8" i="159"/>
  <c r="EG6" i="159"/>
  <c r="DU14" i="107"/>
  <c r="EG14" i="107" s="1"/>
  <c r="DN14" i="107" s="1"/>
  <c r="DX17" i="107"/>
  <c r="EK5" i="107"/>
  <c r="ED5" i="107"/>
  <c r="EK17" i="107"/>
  <c r="DU8" i="107"/>
  <c r="DU12" i="107"/>
  <c r="DX9" i="107"/>
  <c r="DU9" i="107" s="1"/>
  <c r="EG9" i="107" s="1"/>
  <c r="ET5" i="107"/>
  <c r="DX20" i="107"/>
  <c r="DU20" i="107" s="1"/>
  <c r="EG20" i="107" s="1"/>
  <c r="DX5" i="107"/>
  <c r="DX15" i="107"/>
  <c r="EH15" i="107"/>
  <c r="DU18" i="107"/>
  <c r="DU10" i="107"/>
  <c r="DU17" i="107"/>
  <c r="EK8" i="107"/>
  <c r="EK14" i="107"/>
  <c r="EK20" i="107"/>
  <c r="EK12" i="107"/>
  <c r="EH12" i="107" s="1"/>
  <c r="EK18" i="107"/>
  <c r="DX7" i="107"/>
  <c r="DU7" i="107" s="1"/>
  <c r="EG7" i="107" s="1"/>
  <c r="DX19" i="107"/>
  <c r="DU19" i="107" s="1"/>
  <c r="EG19" i="107" s="1"/>
  <c r="EK11" i="107"/>
  <c r="ED11" i="107"/>
  <c r="DU15" i="107"/>
  <c r="DU16" i="107"/>
  <c r="DU6" i="107"/>
  <c r="EK7" i="107"/>
  <c r="DX13" i="107"/>
  <c r="DU13" i="107" s="1"/>
  <c r="EH13" i="107"/>
  <c r="DX11" i="107"/>
  <c r="EH18" i="107"/>
  <c r="EK16" i="107"/>
  <c r="EK19" i="107"/>
  <c r="EK10" i="107"/>
  <c r="EK9" i="107"/>
  <c r="EK6" i="107"/>
  <c r="EH6" i="107" s="1"/>
  <c r="GN5" i="48"/>
  <c r="GN10" i="48"/>
  <c r="DZ6" i="48"/>
  <c r="EC6" i="48" s="1"/>
  <c r="EA6" i="48" s="1"/>
  <c r="ED6" i="48" s="1"/>
  <c r="DZ17" i="48"/>
  <c r="EC17" i="48" s="1"/>
  <c r="EA17" i="48" s="1"/>
  <c r="ED17" i="48" s="1"/>
  <c r="DZ18" i="48"/>
  <c r="EC18" i="48" s="1"/>
  <c r="EA18" i="48" s="1"/>
  <c r="ED18" i="48" s="1"/>
  <c r="GN12" i="48"/>
  <c r="GN17" i="48"/>
  <c r="EI20" i="48"/>
  <c r="DV20" i="48"/>
  <c r="GN6" i="48"/>
  <c r="GN16" i="48"/>
  <c r="GN18" i="48"/>
  <c r="DZ7" i="48"/>
  <c r="EC7" i="48" s="1"/>
  <c r="EA7" i="48" s="1"/>
  <c r="ED7" i="48" s="1"/>
  <c r="DZ16" i="48"/>
  <c r="EC16" i="48" s="1"/>
  <c r="EA16" i="48" s="1"/>
  <c r="ED16" i="48" s="1"/>
  <c r="DZ14" i="48"/>
  <c r="EC14" i="48" s="1"/>
  <c r="EA14" i="48" s="1"/>
  <c r="ED14" i="48" s="1"/>
  <c r="GN9" i="48"/>
  <c r="GN14" i="48"/>
  <c r="GN8" i="48"/>
  <c r="GL15" i="48"/>
  <c r="GN15" i="48" s="1"/>
  <c r="DZ8" i="48"/>
  <c r="EC8" i="48" s="1"/>
  <c r="EA8" i="48" s="1"/>
  <c r="ED8" i="48" s="1"/>
  <c r="DZ11" i="48"/>
  <c r="EC11" i="48" s="1"/>
  <c r="EA11" i="48" s="1"/>
  <c r="ED11" i="48" s="1"/>
  <c r="DZ12" i="48"/>
  <c r="EC12" i="48" s="1"/>
  <c r="EA12" i="48" s="1"/>
  <c r="ED12" i="48" s="1"/>
  <c r="GN13" i="48"/>
  <c r="DZ9" i="48"/>
  <c r="EC9" i="48" s="1"/>
  <c r="EA9" i="48" s="1"/>
  <c r="ED9" i="48" s="1"/>
  <c r="DZ13" i="48"/>
  <c r="EC13" i="48" s="1"/>
  <c r="EA13" i="48" s="1"/>
  <c r="ED13" i="48" s="1"/>
  <c r="GN7" i="48"/>
  <c r="ED19" i="48"/>
  <c r="ED10" i="48"/>
  <c r="DV19" i="48"/>
  <c r="EI19" i="48"/>
  <c r="ED5" i="48"/>
  <c r="EK19" i="48"/>
  <c r="EK5" i="48"/>
  <c r="DX4" i="107"/>
  <c r="DU4" i="107" s="1"/>
  <c r="EH4" i="107"/>
  <c r="ET4" i="107"/>
  <c r="EH7" i="107" l="1"/>
  <c r="EH17" i="107"/>
  <c r="EH14" i="107"/>
  <c r="CX14" i="107" s="1"/>
  <c r="EH19" i="107"/>
  <c r="DA7" i="161"/>
  <c r="GG7" i="161" s="1"/>
  <c r="DA14" i="161"/>
  <c r="GG14" i="161" s="1"/>
  <c r="DA13" i="161"/>
  <c r="GG13" i="161" s="1"/>
  <c r="DA5" i="161"/>
  <c r="GG5" i="161" s="1"/>
  <c r="DA8" i="161"/>
  <c r="GG8" i="161" s="1"/>
  <c r="DA15" i="161"/>
  <c r="GG15" i="161" s="1"/>
  <c r="DA4" i="161"/>
  <c r="GG4" i="161" s="1"/>
  <c r="DA6" i="161"/>
  <c r="GG6" i="161" s="1"/>
  <c r="DA10" i="161"/>
  <c r="GG10" i="161" s="1"/>
  <c r="DA16" i="161"/>
  <c r="GG16" i="161" s="1"/>
  <c r="DA18" i="161"/>
  <c r="GG18" i="161" s="1"/>
  <c r="DA9" i="161"/>
  <c r="GG9" i="161" s="1"/>
  <c r="DA12" i="161"/>
  <c r="GG12" i="161" s="1"/>
  <c r="DA11" i="161"/>
  <c r="GG11" i="161" s="1"/>
  <c r="DA17" i="161"/>
  <c r="GG17" i="161" s="1"/>
  <c r="ES20" i="160"/>
  <c r="GO12" i="160"/>
  <c r="DK7" i="160"/>
  <c r="DM7" i="160"/>
  <c r="ES7" i="160"/>
  <c r="GO5" i="160"/>
  <c r="ER7" i="160"/>
  <c r="CZ7" i="160"/>
  <c r="GF7" i="160" s="1"/>
  <c r="DM13" i="160"/>
  <c r="DK13" i="160"/>
  <c r="ES13" i="160"/>
  <c r="GO8" i="160"/>
  <c r="ER13" i="160"/>
  <c r="CZ13" i="160"/>
  <c r="GF13" i="160" s="1"/>
  <c r="DM15" i="160"/>
  <c r="DK15" i="160"/>
  <c r="ES15" i="160"/>
  <c r="GO9" i="160"/>
  <c r="ER15" i="160"/>
  <c r="CZ15" i="160"/>
  <c r="GF15" i="160" s="1"/>
  <c r="DK10" i="160"/>
  <c r="DM10" i="160"/>
  <c r="ES10" i="160"/>
  <c r="ER10" i="160"/>
  <c r="CZ10" i="160"/>
  <c r="GF10" i="160" s="1"/>
  <c r="DK4" i="160"/>
  <c r="DM4" i="160"/>
  <c r="ES4" i="160"/>
  <c r="ER4" i="160"/>
  <c r="CZ4" i="160"/>
  <c r="GF4" i="160" s="1"/>
  <c r="DK11" i="160"/>
  <c r="DM11" i="160"/>
  <c r="ES11" i="160"/>
  <c r="GO7" i="160"/>
  <c r="ER11" i="160"/>
  <c r="CZ11" i="160"/>
  <c r="GF11" i="160" s="1"/>
  <c r="DM14" i="160"/>
  <c r="DK14" i="160"/>
  <c r="ES14" i="160"/>
  <c r="ER14" i="160"/>
  <c r="CZ14" i="160"/>
  <c r="GF14" i="160" s="1"/>
  <c r="DK16" i="160"/>
  <c r="DM16" i="160"/>
  <c r="ES16" i="160"/>
  <c r="ER16" i="160"/>
  <c r="CZ16" i="160"/>
  <c r="GF16" i="160" s="1"/>
  <c r="DK5" i="160"/>
  <c r="DM5" i="160"/>
  <c r="ES5" i="160"/>
  <c r="GO4" i="160"/>
  <c r="ER5" i="160"/>
  <c r="CZ5" i="160"/>
  <c r="GF5" i="160" s="1"/>
  <c r="DK12" i="160"/>
  <c r="DM12" i="160"/>
  <c r="ES12" i="160"/>
  <c r="ER12" i="160"/>
  <c r="CZ12" i="160"/>
  <c r="GF12" i="160" s="1"/>
  <c r="DK8" i="160"/>
  <c r="DM8" i="160"/>
  <c r="ES8" i="160"/>
  <c r="ER8" i="160"/>
  <c r="CZ8" i="160"/>
  <c r="GF8" i="160" s="1"/>
  <c r="DM17" i="160"/>
  <c r="DK17" i="160"/>
  <c r="ES17" i="160"/>
  <c r="GO10" i="160"/>
  <c r="ER17" i="160"/>
  <c r="CZ17" i="160"/>
  <c r="GF17" i="160" s="1"/>
  <c r="DM6" i="160"/>
  <c r="DK6" i="160"/>
  <c r="ES6" i="160"/>
  <c r="ER6" i="160"/>
  <c r="CZ6" i="160"/>
  <c r="GF6" i="160" s="1"/>
  <c r="DK9" i="160"/>
  <c r="DM9" i="160"/>
  <c r="ES9" i="160"/>
  <c r="GO6" i="160"/>
  <c r="ER9" i="160"/>
  <c r="CZ9" i="160"/>
  <c r="GF9" i="160" s="1"/>
  <c r="DK18" i="160"/>
  <c r="DM18" i="160"/>
  <c r="ES18" i="160"/>
  <c r="ER18" i="160"/>
  <c r="CZ18" i="160"/>
  <c r="GF18" i="160" s="1"/>
  <c r="CY9" i="159"/>
  <c r="GE9" i="159" s="1"/>
  <c r="CX14" i="159"/>
  <c r="GD14" i="159" s="1"/>
  <c r="CY17" i="159"/>
  <c r="GE17" i="159" s="1"/>
  <c r="CY8" i="159"/>
  <c r="GE8" i="159" s="1"/>
  <c r="CY12" i="159"/>
  <c r="GE12" i="159" s="1"/>
  <c r="CY7" i="159"/>
  <c r="GE7" i="159" s="1"/>
  <c r="CY10" i="159"/>
  <c r="GE10" i="159" s="1"/>
  <c r="CX11" i="159"/>
  <c r="GD11" i="159" s="1"/>
  <c r="CX15" i="159"/>
  <c r="GD15" i="159" s="1"/>
  <c r="CY15" i="159"/>
  <c r="GE15" i="159" s="1"/>
  <c r="CY11" i="159"/>
  <c r="GE11" i="159" s="1"/>
  <c r="CY14" i="159"/>
  <c r="GE14" i="159" s="1"/>
  <c r="EG22" i="159"/>
  <c r="CX8" i="159"/>
  <c r="GD8" i="159" s="1"/>
  <c r="DN6" i="159"/>
  <c r="DN21" i="159"/>
  <c r="CY21" i="159" s="1"/>
  <c r="GE21" i="159" s="1"/>
  <c r="EG23" i="159"/>
  <c r="DN4" i="159"/>
  <c r="CX10" i="159"/>
  <c r="GD10" i="159" s="1"/>
  <c r="CX7" i="159"/>
  <c r="GD7" i="159" s="1"/>
  <c r="DN16" i="159"/>
  <c r="DN18" i="159"/>
  <c r="DN13" i="159"/>
  <c r="CY4" i="159"/>
  <c r="GE4" i="159" s="1"/>
  <c r="DN12" i="159"/>
  <c r="CY16" i="159"/>
  <c r="GE16" i="159" s="1"/>
  <c r="CY18" i="159"/>
  <c r="GE18" i="159" s="1"/>
  <c r="DN9" i="159"/>
  <c r="CX9" i="159"/>
  <c r="GD9" i="159" s="1"/>
  <c r="DN7" i="159"/>
  <c r="DN10" i="159"/>
  <c r="DN17" i="159"/>
  <c r="DN5" i="159"/>
  <c r="CX6" i="159"/>
  <c r="GD6" i="159" s="1"/>
  <c r="CX18" i="159"/>
  <c r="GD18" i="159" s="1"/>
  <c r="CX12" i="159"/>
  <c r="GD12" i="159" s="1"/>
  <c r="CY6" i="159"/>
  <c r="GE6" i="159" s="1"/>
  <c r="CX13" i="159"/>
  <c r="GD13" i="159" s="1"/>
  <c r="DN8" i="159"/>
  <c r="DN15" i="159"/>
  <c r="DN14" i="159"/>
  <c r="DN11" i="159"/>
  <c r="CY5" i="159"/>
  <c r="GE5" i="159" s="1"/>
  <c r="CX5" i="159"/>
  <c r="GD5" i="159" s="1"/>
  <c r="CX4" i="159"/>
  <c r="GD4" i="159" s="1"/>
  <c r="CX16" i="159"/>
  <c r="GD16" i="159" s="1"/>
  <c r="CY13" i="159"/>
  <c r="GE13" i="159" s="1"/>
  <c r="CX17" i="159"/>
  <c r="GD17" i="159" s="1"/>
  <c r="CY14" i="107"/>
  <c r="EH8" i="107"/>
  <c r="EH9" i="107"/>
  <c r="CX9" i="107" s="1"/>
  <c r="EH10" i="107"/>
  <c r="EH16" i="107"/>
  <c r="EH5" i="107"/>
  <c r="CY7" i="107"/>
  <c r="DN7" i="107"/>
  <c r="CY9" i="107"/>
  <c r="DN9" i="107"/>
  <c r="EG12" i="107"/>
  <c r="DN12" i="107" s="1"/>
  <c r="CX7" i="107"/>
  <c r="EG16" i="107"/>
  <c r="DN16" i="107" s="1"/>
  <c r="EG18" i="107"/>
  <c r="DN18" i="107" s="1"/>
  <c r="EG8" i="107"/>
  <c r="DN8" i="107" s="1"/>
  <c r="EG13" i="107"/>
  <c r="DN13" i="107" s="1"/>
  <c r="EG6" i="107"/>
  <c r="DN6" i="107" s="1"/>
  <c r="DU11" i="107"/>
  <c r="EG11" i="107" s="1"/>
  <c r="EH20" i="107"/>
  <c r="EG15" i="107"/>
  <c r="DN15" i="107" s="1"/>
  <c r="EH11" i="107"/>
  <c r="EG10" i="107"/>
  <c r="DN10" i="107" s="1"/>
  <c r="EG17" i="107"/>
  <c r="DN17" i="107" s="1"/>
  <c r="DU5" i="107"/>
  <c r="EK18" i="48"/>
  <c r="EK7" i="48"/>
  <c r="EK13" i="48"/>
  <c r="ET8" i="48"/>
  <c r="ET6" i="48"/>
  <c r="ET9" i="48"/>
  <c r="ET18" i="48"/>
  <c r="ET17" i="48"/>
  <c r="ET13" i="48"/>
  <c r="ET10" i="48"/>
  <c r="EK9" i="48"/>
  <c r="EK15" i="48"/>
  <c r="EK10" i="48"/>
  <c r="ET11" i="48"/>
  <c r="ET7" i="48"/>
  <c r="ET16" i="48"/>
  <c r="ET12" i="48"/>
  <c r="DX20" i="48"/>
  <c r="DU20" i="48" s="1"/>
  <c r="EG20" i="48" s="1"/>
  <c r="ET5" i="48"/>
  <c r="EK20" i="48"/>
  <c r="EK16" i="48"/>
  <c r="EK17" i="48"/>
  <c r="EK6" i="48"/>
  <c r="ET15" i="48"/>
  <c r="ET14" i="48"/>
  <c r="DX19" i="48"/>
  <c r="DU19" i="48" s="1"/>
  <c r="EG19" i="48" s="1"/>
  <c r="EH19" i="48"/>
  <c r="EK8" i="48"/>
  <c r="EK12" i="48"/>
  <c r="EK14" i="48"/>
  <c r="EK11" i="48"/>
  <c r="EG4" i="107"/>
  <c r="CY4" i="107" s="1"/>
  <c r="GE4" i="107" s="1"/>
  <c r="DA18" i="160" l="1"/>
  <c r="GG18" i="160" s="1"/>
  <c r="DA17" i="160"/>
  <c r="GG17" i="160" s="1"/>
  <c r="DA5" i="160"/>
  <c r="GG5" i="160" s="1"/>
  <c r="DA11" i="160"/>
  <c r="GG11" i="160" s="1"/>
  <c r="DA15" i="160"/>
  <c r="GG15" i="160" s="1"/>
  <c r="DA7" i="160"/>
  <c r="GG7" i="160" s="1"/>
  <c r="DA9" i="160"/>
  <c r="GG9" i="160" s="1"/>
  <c r="DA8" i="160"/>
  <c r="GG8" i="160" s="1"/>
  <c r="DA16" i="160"/>
  <c r="GG16" i="160" s="1"/>
  <c r="DA4" i="160"/>
  <c r="GG4" i="160" s="1"/>
  <c r="DA6" i="160"/>
  <c r="GG6" i="160" s="1"/>
  <c r="DA12" i="160"/>
  <c r="GG12" i="160" s="1"/>
  <c r="DA14" i="160"/>
  <c r="GG14" i="160" s="1"/>
  <c r="DA10" i="160"/>
  <c r="GG10" i="160" s="1"/>
  <c r="DA13" i="160"/>
  <c r="GG13" i="160" s="1"/>
  <c r="EG54" i="159"/>
  <c r="EG54" i="48" s="1"/>
  <c r="EG41" i="159"/>
  <c r="EG41" i="48" s="1"/>
  <c r="EG43" i="159"/>
  <c r="EG51" i="159"/>
  <c r="EG48" i="159"/>
  <c r="EG48" i="48" s="1"/>
  <c r="EG50" i="159"/>
  <c r="EG50" i="48" s="1"/>
  <c r="EG53" i="159"/>
  <c r="EG52" i="159"/>
  <c r="EG52" i="48" s="1"/>
  <c r="EG47" i="159"/>
  <c r="EG42" i="159"/>
  <c r="EG42" i="48" s="1"/>
  <c r="EG44" i="159"/>
  <c r="EG44" i="48" s="1"/>
  <c r="EG45" i="159"/>
  <c r="EG45" i="48" s="1"/>
  <c r="EG46" i="159"/>
  <c r="EG46" i="48" s="1"/>
  <c r="EG40" i="159"/>
  <c r="DN22" i="159"/>
  <c r="CY22" i="159" s="1"/>
  <c r="GE22" i="159" s="1"/>
  <c r="EG49" i="159"/>
  <c r="ER20" i="159"/>
  <c r="GO12" i="159"/>
  <c r="EG36" i="159"/>
  <c r="EG36" i="48" s="1"/>
  <c r="EG39" i="159"/>
  <c r="EG39" i="48" s="1"/>
  <c r="EG38" i="159"/>
  <c r="EG38" i="48" s="1"/>
  <c r="EG37" i="159"/>
  <c r="EG37" i="48" s="1"/>
  <c r="EG35" i="159"/>
  <c r="EG35" i="48" s="1"/>
  <c r="EG34" i="159"/>
  <c r="EG34" i="48" s="1"/>
  <c r="EG33" i="159"/>
  <c r="EG33" i="48" s="1"/>
  <c r="EG32" i="159"/>
  <c r="EG32" i="48" s="1"/>
  <c r="EG31" i="159"/>
  <c r="EG31" i="48" s="1"/>
  <c r="EG27" i="159"/>
  <c r="EG27" i="48" s="1"/>
  <c r="EG30" i="159"/>
  <c r="EG30" i="48" s="1"/>
  <c r="EG28" i="159"/>
  <c r="EG28" i="48" s="1"/>
  <c r="EG26" i="159"/>
  <c r="EG26" i="48" s="1"/>
  <c r="EG25" i="159"/>
  <c r="EG25" i="48" s="1"/>
  <c r="EG29" i="159"/>
  <c r="EG29" i="48" s="1"/>
  <c r="DN23" i="159"/>
  <c r="CY23" i="159" s="1"/>
  <c r="GE23" i="159" s="1"/>
  <c r="CX18" i="107"/>
  <c r="GD18" i="107" s="1"/>
  <c r="CX12" i="107"/>
  <c r="GD12" i="107" s="1"/>
  <c r="CY18" i="107"/>
  <c r="GE18" i="107" s="1"/>
  <c r="CX13" i="107"/>
  <c r="GD13" i="107" s="1"/>
  <c r="CY13" i="107"/>
  <c r="GE13" i="107" s="1"/>
  <c r="CY17" i="107"/>
  <c r="GE17" i="107" s="1"/>
  <c r="CX11" i="107"/>
  <c r="GD11" i="107" s="1"/>
  <c r="CX17" i="107"/>
  <c r="GD17" i="107" s="1"/>
  <c r="CX8" i="107"/>
  <c r="GD8" i="107" s="1"/>
  <c r="CX6" i="107"/>
  <c r="GD6" i="107" s="1"/>
  <c r="CY15" i="107"/>
  <c r="GE15" i="107" s="1"/>
  <c r="CY6" i="107"/>
  <c r="GE6" i="107" s="1"/>
  <c r="CY12" i="107"/>
  <c r="GE12" i="107" s="1"/>
  <c r="CX15" i="107"/>
  <c r="GD15" i="107" s="1"/>
  <c r="CY11" i="107"/>
  <c r="GE11" i="107" s="1"/>
  <c r="DN11" i="107"/>
  <c r="CX16" i="107"/>
  <c r="GD16" i="107" s="1"/>
  <c r="EG5" i="107"/>
  <c r="CY5" i="107" s="1"/>
  <c r="GE5" i="107" s="1"/>
  <c r="CY10" i="107"/>
  <c r="GE10" i="107" s="1"/>
  <c r="CY8" i="107"/>
  <c r="GE8" i="107" s="1"/>
  <c r="CY16" i="107"/>
  <c r="GE16" i="107" s="1"/>
  <c r="CX10" i="107"/>
  <c r="GD10" i="107" s="1"/>
  <c r="EH20" i="48"/>
  <c r="GD9" i="107"/>
  <c r="GD14" i="107"/>
  <c r="GE14" i="107"/>
  <c r="GE9" i="107"/>
  <c r="GD7" i="107"/>
  <c r="DN4" i="107"/>
  <c r="CX4" i="107"/>
  <c r="GD4" i="107" s="1"/>
  <c r="GE7" i="107"/>
  <c r="ES20" i="159" l="1"/>
  <c r="ER19" i="159"/>
  <c r="EG40" i="48"/>
  <c r="GO14" i="159"/>
  <c r="EG47" i="48"/>
  <c r="GO15" i="159"/>
  <c r="EG49" i="48"/>
  <c r="GO16" i="159"/>
  <c r="EG51" i="48"/>
  <c r="GO18" i="159"/>
  <c r="EG53" i="48"/>
  <c r="GO13" i="159"/>
  <c r="EG43" i="48"/>
  <c r="ES19" i="159"/>
  <c r="DK7" i="159"/>
  <c r="DM7" i="159"/>
  <c r="ES7" i="159"/>
  <c r="GO5" i="159"/>
  <c r="ER7" i="159"/>
  <c r="CZ7" i="159"/>
  <c r="GF7" i="159" s="1"/>
  <c r="DK11" i="159"/>
  <c r="DM11" i="159"/>
  <c r="ES11" i="159"/>
  <c r="ER11" i="159"/>
  <c r="GO7" i="159"/>
  <c r="CZ11" i="159"/>
  <c r="GF11" i="159" s="1"/>
  <c r="DK16" i="159"/>
  <c r="DM16" i="159"/>
  <c r="ES16" i="159"/>
  <c r="ER16" i="159"/>
  <c r="CZ16" i="159"/>
  <c r="GF16" i="159" s="1"/>
  <c r="DK8" i="159"/>
  <c r="DM8" i="159"/>
  <c r="ES8" i="159"/>
  <c r="ER8" i="159"/>
  <c r="CZ8" i="159"/>
  <c r="GF8" i="159" s="1"/>
  <c r="DK9" i="159"/>
  <c r="DM9" i="159"/>
  <c r="ES9" i="159"/>
  <c r="ER9" i="159"/>
  <c r="GO6" i="159"/>
  <c r="CZ9" i="159"/>
  <c r="GF9" i="159" s="1"/>
  <c r="DK12" i="159"/>
  <c r="DM12" i="159"/>
  <c r="ES12" i="159"/>
  <c r="ER12" i="159"/>
  <c r="CZ12" i="159"/>
  <c r="GF12" i="159" s="1"/>
  <c r="DM17" i="159"/>
  <c r="DK17" i="159"/>
  <c r="ES17" i="159"/>
  <c r="GO10" i="159"/>
  <c r="ER17" i="159"/>
  <c r="CZ17" i="159"/>
  <c r="GF17" i="159" s="1"/>
  <c r="DK4" i="159"/>
  <c r="DM4" i="159"/>
  <c r="ES4" i="159"/>
  <c r="ER4" i="159"/>
  <c r="CZ4" i="159"/>
  <c r="GF4" i="159" s="1"/>
  <c r="DK6" i="159"/>
  <c r="DM6" i="159"/>
  <c r="ES6" i="159"/>
  <c r="ER6" i="159"/>
  <c r="CZ6" i="159"/>
  <c r="GF6" i="159" s="1"/>
  <c r="DM13" i="159"/>
  <c r="DK13" i="159"/>
  <c r="ES13" i="159"/>
  <c r="ER13" i="159"/>
  <c r="GO8" i="159"/>
  <c r="CZ13" i="159"/>
  <c r="GF13" i="159" s="1"/>
  <c r="DM18" i="159"/>
  <c r="DK18" i="159"/>
  <c r="ES18" i="159"/>
  <c r="ER18" i="159"/>
  <c r="CZ18" i="159"/>
  <c r="GF18" i="159" s="1"/>
  <c r="DK5" i="159"/>
  <c r="DM5" i="159"/>
  <c r="ES5" i="159"/>
  <c r="GO4" i="159"/>
  <c r="ER5" i="159"/>
  <c r="CZ5" i="159"/>
  <c r="GF5" i="159" s="1"/>
  <c r="DM10" i="159"/>
  <c r="DK10" i="159"/>
  <c r="ES10" i="159"/>
  <c r="ER10" i="159"/>
  <c r="CZ10" i="159"/>
  <c r="GF10" i="159" s="1"/>
  <c r="DK14" i="159"/>
  <c r="DM14" i="159"/>
  <c r="ES14" i="159"/>
  <c r="ER14" i="159"/>
  <c r="CZ14" i="159"/>
  <c r="GF14" i="159" s="1"/>
  <c r="DK15" i="159"/>
  <c r="DM15" i="159"/>
  <c r="ES15" i="159"/>
  <c r="ER15" i="159"/>
  <c r="GO9" i="159"/>
  <c r="CZ15" i="159"/>
  <c r="GF15" i="159" s="1"/>
  <c r="DN21" i="107"/>
  <c r="CY21" i="107" s="1"/>
  <c r="GE21" i="107" s="1"/>
  <c r="EG35" i="107"/>
  <c r="DN5" i="107"/>
  <c r="CX5" i="107"/>
  <c r="GD5" i="107" s="1"/>
  <c r="EG51" i="107"/>
  <c r="GO16" i="107" s="1"/>
  <c r="EG50" i="107"/>
  <c r="EG53" i="107"/>
  <c r="GO18" i="107" s="1"/>
  <c r="EG52" i="107"/>
  <c r="EG48" i="107"/>
  <c r="EG49" i="107"/>
  <c r="GO15" i="107" s="1"/>
  <c r="EG44" i="107"/>
  <c r="EG45" i="107"/>
  <c r="EG43" i="107"/>
  <c r="GO13" i="107" s="1"/>
  <c r="EG54" i="107"/>
  <c r="EG46" i="107"/>
  <c r="EG47" i="107"/>
  <c r="GO14" i="107" s="1"/>
  <c r="EG41" i="107"/>
  <c r="EG42" i="107"/>
  <c r="EG40" i="107"/>
  <c r="DN22" i="107"/>
  <c r="CY22" i="107" s="1"/>
  <c r="GE22" i="107" s="1"/>
  <c r="DA13" i="159" l="1"/>
  <c r="GG13" i="159" s="1"/>
  <c r="DA8" i="159"/>
  <c r="GG8" i="159" s="1"/>
  <c r="DA5" i="159"/>
  <c r="GG5" i="159" s="1"/>
  <c r="DA7" i="159"/>
  <c r="GG7" i="159" s="1"/>
  <c r="DA17" i="159"/>
  <c r="GG17" i="159" s="1"/>
  <c r="DA14" i="159"/>
  <c r="GG14" i="159" s="1"/>
  <c r="DA18" i="159"/>
  <c r="GG18" i="159" s="1"/>
  <c r="DA4" i="159"/>
  <c r="GG4" i="159" s="1"/>
  <c r="DA15" i="159"/>
  <c r="GG15" i="159" s="1"/>
  <c r="DA6" i="159"/>
  <c r="GG6" i="159" s="1"/>
  <c r="DA12" i="159"/>
  <c r="GG12" i="159" s="1"/>
  <c r="DA16" i="159"/>
  <c r="GG16" i="159" s="1"/>
  <c r="DA10" i="159"/>
  <c r="GG10" i="159" s="1"/>
  <c r="DA9" i="159"/>
  <c r="GG9" i="159" s="1"/>
  <c r="DA11" i="159"/>
  <c r="GG11" i="159" s="1"/>
  <c r="EG33" i="107"/>
  <c r="DM12" i="107" s="1"/>
  <c r="EG29" i="107"/>
  <c r="DK8" i="107" s="1"/>
  <c r="EG27" i="107"/>
  <c r="DM6" i="107" s="1"/>
  <c r="EG32" i="107"/>
  <c r="ER11" i="107" s="1"/>
  <c r="EG39" i="107"/>
  <c r="DM18" i="107" s="1"/>
  <c r="EG30" i="107"/>
  <c r="DM9" i="107" s="1"/>
  <c r="EG26" i="107"/>
  <c r="DM5" i="107" s="1"/>
  <c r="EG28" i="107"/>
  <c r="CZ7" i="107" s="1"/>
  <c r="GF7" i="107" s="1"/>
  <c r="EG25" i="107"/>
  <c r="ES4" i="107" s="1"/>
  <c r="EG38" i="107"/>
  <c r="DK17" i="107" s="1"/>
  <c r="EG36" i="107"/>
  <c r="DK15" i="107" s="1"/>
  <c r="EG37" i="107"/>
  <c r="DK16" i="107" s="1"/>
  <c r="EG34" i="107"/>
  <c r="DM13" i="107" s="1"/>
  <c r="DN23" i="107"/>
  <c r="CY23" i="107" s="1"/>
  <c r="GE23" i="107" s="1"/>
  <c r="EG31" i="107"/>
  <c r="DK10" i="107" s="1"/>
  <c r="DK14" i="107"/>
  <c r="DM14" i="107"/>
  <c r="GO18" i="48"/>
  <c r="DK18" i="48"/>
  <c r="DM18" i="48"/>
  <c r="ER18" i="48"/>
  <c r="ES18" i="48"/>
  <c r="ES14" i="107"/>
  <c r="ER14" i="107"/>
  <c r="CZ14" i="107"/>
  <c r="GF14" i="107" s="1"/>
  <c r="CZ8" i="107"/>
  <c r="GF8" i="107" s="1"/>
  <c r="ES20" i="107"/>
  <c r="ER20" i="107"/>
  <c r="ES19" i="107"/>
  <c r="ER19" i="107"/>
  <c r="GO12" i="107"/>
  <c r="CZ13" i="107" l="1"/>
  <c r="GF13" i="107" s="1"/>
  <c r="ES5" i="107"/>
  <c r="CZ10" i="107"/>
  <c r="GF10" i="107" s="1"/>
  <c r="DK5" i="107"/>
  <c r="GO5" i="107"/>
  <c r="DK4" i="107"/>
  <c r="ES18" i="107"/>
  <c r="ES8" i="107"/>
  <c r="DM8" i="107"/>
  <c r="ES9" i="107"/>
  <c r="DM16" i="107"/>
  <c r="ER8" i="107"/>
  <c r="DK9" i="107"/>
  <c r="ES15" i="107"/>
  <c r="ER6" i="107"/>
  <c r="DM10" i="107"/>
  <c r="ES11" i="107"/>
  <c r="DA11" i="107" s="1"/>
  <c r="GG11" i="107" s="1"/>
  <c r="ER7" i="107"/>
  <c r="DM15" i="107"/>
  <c r="DK11" i="107"/>
  <c r="DM17" i="107"/>
  <c r="CZ4" i="107"/>
  <c r="GF4" i="107" s="1"/>
  <c r="DM4" i="107"/>
  <c r="ER13" i="107"/>
  <c r="ES12" i="107"/>
  <c r="DK18" i="107"/>
  <c r="ER4" i="107"/>
  <c r="DA4" i="107" s="1"/>
  <c r="GG4" i="107" s="1"/>
  <c r="ES13" i="107"/>
  <c r="DA13" i="107" s="1"/>
  <c r="GG13" i="107" s="1"/>
  <c r="CZ18" i="107"/>
  <c r="GF18" i="107" s="1"/>
  <c r="DK13" i="107"/>
  <c r="ER12" i="107"/>
  <c r="DK12" i="107"/>
  <c r="GO8" i="107"/>
  <c r="ER18" i="107"/>
  <c r="CZ12" i="107"/>
  <c r="GF12" i="107" s="1"/>
  <c r="ES7" i="107"/>
  <c r="CZ16" i="107"/>
  <c r="GF16" i="107" s="1"/>
  <c r="DM7" i="107"/>
  <c r="DM11" i="107"/>
  <c r="GO7" i="107"/>
  <c r="ER16" i="107"/>
  <c r="CZ11" i="107"/>
  <c r="GF11" i="107" s="1"/>
  <c r="DK7" i="107"/>
  <c r="ES16" i="107"/>
  <c r="ES6" i="107"/>
  <c r="GO9" i="107"/>
  <c r="CZ15" i="107"/>
  <c r="GF15" i="107" s="1"/>
  <c r="CZ5" i="107"/>
  <c r="GF5" i="107" s="1"/>
  <c r="ES10" i="107"/>
  <c r="DK6" i="107"/>
  <c r="ER10" i="107"/>
  <c r="GO4" i="107"/>
  <c r="ER15" i="107"/>
  <c r="ER5" i="107"/>
  <c r="DA5" i="107" s="1"/>
  <c r="GG5" i="107" s="1"/>
  <c r="CZ6" i="107"/>
  <c r="GF6" i="107" s="1"/>
  <c r="GO6" i="107"/>
  <c r="CZ17" i="107"/>
  <c r="GF17" i="107" s="1"/>
  <c r="GO10" i="107"/>
  <c r="ER17" i="107"/>
  <c r="CZ9" i="107"/>
  <c r="GF9" i="107" s="1"/>
  <c r="ES17" i="107"/>
  <c r="ER9" i="107"/>
  <c r="DA9" i="107" s="1"/>
  <c r="GG9" i="107" s="1"/>
  <c r="DA18" i="48"/>
  <c r="DA8" i="107"/>
  <c r="GG8" i="107" s="1"/>
  <c r="DA14" i="107"/>
  <c r="GG14" i="107" s="1"/>
  <c r="AE4" i="48"/>
  <c r="EY4" i="48" s="1"/>
  <c r="DA12" i="107" l="1"/>
  <c r="GG12" i="107" s="1"/>
  <c r="DA18" i="107"/>
  <c r="GG18" i="107" s="1"/>
  <c r="DA16" i="107"/>
  <c r="GG16" i="107" s="1"/>
  <c r="DA7" i="107"/>
  <c r="GG7" i="107" s="1"/>
  <c r="DA17" i="107"/>
  <c r="GG17" i="107" s="1"/>
  <c r="DA6" i="107"/>
  <c r="GG6" i="107" s="1"/>
  <c r="DA15" i="107"/>
  <c r="GG15" i="107" s="1"/>
  <c r="DA10" i="107"/>
  <c r="GG10" i="107" s="1"/>
  <c r="FQ4" i="48"/>
  <c r="FQ21" i="48" s="1"/>
  <c r="FT21" i="48" l="1"/>
  <c r="CG4" i="48"/>
  <c r="CI4" i="48"/>
  <c r="CE4" i="48"/>
  <c r="CC4" i="48"/>
  <c r="CA4" i="48"/>
  <c r="BY4" i="48"/>
  <c r="BW4" i="48"/>
  <c r="BU4" i="48"/>
  <c r="BS4" i="48"/>
  <c r="BQ4" i="48"/>
  <c r="BO4" i="48"/>
  <c r="BM4" i="48"/>
  <c r="BK4" i="48"/>
  <c r="BI4" i="48"/>
  <c r="BG4" i="48"/>
  <c r="BE4" i="48"/>
  <c r="BC4" i="48"/>
  <c r="BA4" i="48"/>
  <c r="AY4" i="48"/>
  <c r="AW4" i="48"/>
  <c r="AU4" i="48"/>
  <c r="AS4" i="48"/>
  <c r="AQ4" i="48"/>
  <c r="AO4" i="48"/>
  <c r="AM4" i="48"/>
  <c r="AK4" i="48"/>
  <c r="AI4" i="48"/>
  <c r="FU5" i="48"/>
  <c r="FU7" i="48"/>
  <c r="FU8" i="48"/>
  <c r="FU9" i="48"/>
  <c r="FU11" i="48"/>
  <c r="FU12" i="48"/>
  <c r="FU13" i="48"/>
  <c r="FU14" i="48"/>
  <c r="FU15" i="48"/>
  <c r="FU17" i="48"/>
  <c r="FU18" i="48"/>
  <c r="FU20" i="48"/>
  <c r="FW5" i="48"/>
  <c r="FX5" i="48"/>
  <c r="FY5" i="48"/>
  <c r="FZ5" i="48"/>
  <c r="GA5" i="48"/>
  <c r="GB5" i="48"/>
  <c r="FW6" i="48"/>
  <c r="FX6" i="48"/>
  <c r="FY6" i="48"/>
  <c r="FZ6" i="48"/>
  <c r="GA6" i="48"/>
  <c r="GB6" i="48"/>
  <c r="FW7" i="48"/>
  <c r="FX7" i="48"/>
  <c r="FY7" i="48"/>
  <c r="FZ7" i="48"/>
  <c r="GB7" i="48"/>
  <c r="FW8" i="48"/>
  <c r="FX8" i="48"/>
  <c r="FY8" i="48"/>
  <c r="FZ8" i="48"/>
  <c r="GA8" i="48"/>
  <c r="GB8" i="48"/>
  <c r="FW9" i="48"/>
  <c r="FX9" i="48"/>
  <c r="FZ9" i="48"/>
  <c r="GA9" i="48"/>
  <c r="GB9" i="48"/>
  <c r="FW10" i="48"/>
  <c r="FY10" i="48"/>
  <c r="FZ10" i="48"/>
  <c r="GA10" i="48"/>
  <c r="GB10" i="48"/>
  <c r="FW11" i="48"/>
  <c r="FX11" i="48"/>
  <c r="FY11" i="48"/>
  <c r="FZ11" i="48"/>
  <c r="GA11" i="48"/>
  <c r="GB11" i="48"/>
  <c r="FW12" i="48"/>
  <c r="FX12" i="48"/>
  <c r="FY12" i="48"/>
  <c r="FZ12" i="48"/>
  <c r="GA12" i="48"/>
  <c r="GB12" i="48"/>
  <c r="FV13" i="48"/>
  <c r="FW13" i="48"/>
  <c r="FX13" i="48"/>
  <c r="FY13" i="48"/>
  <c r="FZ13" i="48"/>
  <c r="GA13" i="48"/>
  <c r="GB13" i="48"/>
  <c r="FV14" i="48"/>
  <c r="FW14" i="48"/>
  <c r="FX14" i="48"/>
  <c r="FY14" i="48"/>
  <c r="FZ14" i="48"/>
  <c r="GA14" i="48"/>
  <c r="GB14" i="48"/>
  <c r="FW15" i="48"/>
  <c r="FX15" i="48"/>
  <c r="FY15" i="48"/>
  <c r="FZ15" i="48"/>
  <c r="GA15" i="48"/>
  <c r="GB15" i="48"/>
  <c r="FW16" i="48"/>
  <c r="FX16" i="48"/>
  <c r="FY16" i="48"/>
  <c r="FZ16" i="48"/>
  <c r="GA16" i="48"/>
  <c r="GB16" i="48"/>
  <c r="FW17" i="48"/>
  <c r="FX17" i="48"/>
  <c r="FZ17" i="48"/>
  <c r="GB17" i="48"/>
  <c r="FW18" i="48"/>
  <c r="FX18" i="48"/>
  <c r="FY18" i="48"/>
  <c r="FZ18" i="48"/>
  <c r="GB18" i="48"/>
  <c r="FW21" i="48"/>
  <c r="FZ21" i="48"/>
  <c r="GA21" i="48"/>
  <c r="GB22" i="48"/>
  <c r="FS5" i="48"/>
  <c r="FT5" i="48"/>
  <c r="FS6" i="48"/>
  <c r="FT6" i="48"/>
  <c r="FS7" i="48"/>
  <c r="FT7" i="48"/>
  <c r="FS8" i="48"/>
  <c r="FT8" i="48"/>
  <c r="FS9" i="48"/>
  <c r="FT9" i="48"/>
  <c r="FS10" i="48"/>
  <c r="FS11" i="48"/>
  <c r="FT11" i="48"/>
  <c r="FS12" i="48"/>
  <c r="FT12" i="48"/>
  <c r="FS13" i="48"/>
  <c r="FT13" i="48"/>
  <c r="FS14" i="48"/>
  <c r="FT14" i="48"/>
  <c r="FS15" i="48"/>
  <c r="FT15" i="48"/>
  <c r="FS16" i="48"/>
  <c r="FT16" i="48"/>
  <c r="FS17" i="48"/>
  <c r="FS18" i="48"/>
  <c r="FT18" i="48"/>
  <c r="FS19" i="48"/>
  <c r="FT19" i="48"/>
  <c r="FS20" i="48"/>
  <c r="FT20" i="48"/>
  <c r="FT22" i="48"/>
  <c r="GB4" i="48"/>
  <c r="FY4" i="48"/>
  <c r="GL4" i="48"/>
  <c r="FW4" i="48"/>
  <c r="FT4" i="48"/>
  <c r="CJ4" i="48"/>
  <c r="EY6" i="48"/>
  <c r="EY8" i="48"/>
  <c r="EY11" i="48"/>
  <c r="EY15" i="48"/>
  <c r="EY17" i="48"/>
  <c r="EY18" i="48"/>
  <c r="EX5" i="48"/>
  <c r="FM5" i="48"/>
  <c r="FM6" i="48"/>
  <c r="FM7" i="48"/>
  <c r="FM8" i="48"/>
  <c r="FM9" i="48"/>
  <c r="FM10" i="48"/>
  <c r="FM11" i="48"/>
  <c r="FM12" i="48"/>
  <c r="FM14" i="48"/>
  <c r="FM16" i="48"/>
  <c r="FM17" i="48"/>
  <c r="FM18" i="48"/>
  <c r="HJ6" i="48"/>
  <c r="HJ8" i="48"/>
  <c r="HJ12" i="48"/>
  <c r="HI5" i="48"/>
  <c r="HI6" i="48"/>
  <c r="HI7" i="48"/>
  <c r="HI8" i="48"/>
  <c r="HI9" i="48"/>
  <c r="HI10" i="48"/>
  <c r="HI11" i="48"/>
  <c r="HI12" i="48"/>
  <c r="HI13" i="48"/>
  <c r="HI14" i="48"/>
  <c r="HI15" i="48"/>
  <c r="HI16" i="48"/>
  <c r="HI17" i="48"/>
  <c r="HI18" i="48"/>
  <c r="HH5" i="48"/>
  <c r="HH6" i="48"/>
  <c r="HH8" i="48"/>
  <c r="HH9" i="48"/>
  <c r="HH10" i="48"/>
  <c r="HH11" i="48"/>
  <c r="HH13" i="48"/>
  <c r="HH14" i="48"/>
  <c r="HH16" i="48"/>
  <c r="HH17" i="48"/>
  <c r="HH18" i="48"/>
  <c r="AA4" i="48"/>
  <c r="Y4" i="48"/>
  <c r="W4" i="48"/>
  <c r="U4" i="48"/>
  <c r="S4" i="48"/>
  <c r="Q4" i="48"/>
  <c r="O4" i="48"/>
  <c r="M4" i="48"/>
  <c r="K4" i="48"/>
  <c r="I4" i="48"/>
  <c r="FI9" i="48"/>
  <c r="FI16" i="48"/>
  <c r="G4" i="48"/>
  <c r="D5" i="48"/>
  <c r="FF5" i="48" s="1"/>
  <c r="D6" i="48"/>
  <c r="D7" i="48"/>
  <c r="D8" i="48"/>
  <c r="D9" i="48"/>
  <c r="D10" i="48"/>
  <c r="D11" i="48"/>
  <c r="D12" i="48"/>
  <c r="D13" i="48"/>
  <c r="D14" i="48"/>
  <c r="FF14" i="48" s="1"/>
  <c r="D15" i="48"/>
  <c r="DW15" i="48" s="1"/>
  <c r="D16" i="48"/>
  <c r="D17" i="48"/>
  <c r="D4" i="48"/>
  <c r="GA20" i="48"/>
  <c r="GA19" i="48"/>
  <c r="EJ5" i="48" l="1"/>
  <c r="FI4" i="48"/>
  <c r="DC6" i="48"/>
  <c r="FF6" i="48"/>
  <c r="GR6" i="48" s="1"/>
  <c r="DC16" i="48"/>
  <c r="FF16" i="48"/>
  <c r="GR16" i="48" s="1"/>
  <c r="DC8" i="48"/>
  <c r="FF8" i="48"/>
  <c r="GR8" i="48" s="1"/>
  <c r="DD4" i="48"/>
  <c r="FF4" i="48"/>
  <c r="DC10" i="48"/>
  <c r="FF10" i="48"/>
  <c r="GR10" i="48" s="1"/>
  <c r="DC12" i="48"/>
  <c r="FF12" i="48"/>
  <c r="GR12" i="48" s="1"/>
  <c r="DC15" i="48"/>
  <c r="FF15" i="48"/>
  <c r="DC11" i="48"/>
  <c r="FF11" i="48"/>
  <c r="GR11" i="48" s="1"/>
  <c r="DC7" i="48"/>
  <c r="FF7" i="48"/>
  <c r="DC17" i="48"/>
  <c r="FF17" i="48"/>
  <c r="DC13" i="48"/>
  <c r="FF13" i="48"/>
  <c r="DC9" i="48"/>
  <c r="FF9" i="48"/>
  <c r="GR9" i="48" s="1"/>
  <c r="DC14" i="48"/>
  <c r="DD14" i="48"/>
  <c r="GQ9" i="48"/>
  <c r="GQ16" i="48"/>
  <c r="DC4" i="48"/>
  <c r="DD5" i="48"/>
  <c r="DL5" i="48" s="1"/>
  <c r="DC5" i="48"/>
  <c r="FZ4" i="48"/>
  <c r="GA4" i="48"/>
  <c r="GN4" i="48"/>
  <c r="DQ15" i="48"/>
  <c r="DD15" i="48"/>
  <c r="DP15" i="48"/>
  <c r="EP15" i="48"/>
  <c r="EQ15" i="48" s="1"/>
  <c r="ER15" i="48" s="1"/>
  <c r="DW16" i="48"/>
  <c r="DD16" i="48"/>
  <c r="DJ16" i="48" s="1"/>
  <c r="DP16" i="48"/>
  <c r="DQ16" i="48"/>
  <c r="EP16" i="48"/>
  <c r="EQ16" i="48" s="1"/>
  <c r="DW12" i="48"/>
  <c r="DQ12" i="48"/>
  <c r="DD12" i="48"/>
  <c r="DP12" i="48"/>
  <c r="EP12" i="48"/>
  <c r="EQ12" i="48" s="1"/>
  <c r="DD8" i="48"/>
  <c r="DW8" i="48"/>
  <c r="DQ8" i="48"/>
  <c r="DP8" i="48"/>
  <c r="EP8" i="48"/>
  <c r="EQ8" i="48" s="1"/>
  <c r="DW11" i="48"/>
  <c r="DD11" i="48"/>
  <c r="DP11" i="48"/>
  <c r="DQ11" i="48"/>
  <c r="EP11" i="48"/>
  <c r="EQ11" i="48" s="1"/>
  <c r="DD7" i="48"/>
  <c r="DL7" i="48" s="1"/>
  <c r="DP7" i="48"/>
  <c r="DQ7" i="48"/>
  <c r="DW7" i="48"/>
  <c r="EP7" i="48"/>
  <c r="EQ7" i="48" s="1"/>
  <c r="GR14" i="48"/>
  <c r="DW14" i="48"/>
  <c r="DP14" i="48"/>
  <c r="DQ14" i="48"/>
  <c r="EP14" i="48"/>
  <c r="EQ14" i="48" s="1"/>
  <c r="DW10" i="48"/>
  <c r="DQ10" i="48"/>
  <c r="DD10" i="48"/>
  <c r="DP10" i="48"/>
  <c r="EP10" i="48"/>
  <c r="EQ10" i="48" s="1"/>
  <c r="DD6" i="48"/>
  <c r="DP6" i="48"/>
  <c r="DW6" i="48"/>
  <c r="DQ6" i="48"/>
  <c r="EP6" i="48"/>
  <c r="EQ6" i="48" s="1"/>
  <c r="DX5" i="48"/>
  <c r="DW17" i="48"/>
  <c r="DP17" i="48"/>
  <c r="DQ17" i="48"/>
  <c r="DD17" i="48"/>
  <c r="EP17" i="48"/>
  <c r="EQ17" i="48" s="1"/>
  <c r="DW13" i="48"/>
  <c r="DD13" i="48"/>
  <c r="DP13" i="48"/>
  <c r="DQ13" i="48"/>
  <c r="EP13" i="48"/>
  <c r="EQ13" i="48" s="1"/>
  <c r="DD9" i="48"/>
  <c r="DW9" i="48"/>
  <c r="DP9" i="48"/>
  <c r="DQ9" i="48"/>
  <c r="EP9" i="48"/>
  <c r="EQ9" i="48" s="1"/>
  <c r="DP5" i="48"/>
  <c r="DW5" i="48"/>
  <c r="DV5" i="48" s="1"/>
  <c r="DQ5" i="48"/>
  <c r="EP5" i="48"/>
  <c r="EQ5" i="48" s="1"/>
  <c r="GA18" i="48"/>
  <c r="HQ13" i="48"/>
  <c r="HJ13" i="48"/>
  <c r="HJ7" i="48"/>
  <c r="GB21" i="48"/>
  <c r="HJ10" i="48"/>
  <c r="HH12" i="48"/>
  <c r="HH7" i="48"/>
  <c r="HJ5" i="48"/>
  <c r="FV10" i="48"/>
  <c r="HQ10" i="48" s="1"/>
  <c r="HR10" i="48"/>
  <c r="HR6" i="48"/>
  <c r="FK11" i="48"/>
  <c r="FN11" i="48" s="1"/>
  <c r="HJ11" i="48"/>
  <c r="FV18" i="48"/>
  <c r="HR18" i="48"/>
  <c r="FV15" i="48"/>
  <c r="HQ15" i="48" s="1"/>
  <c r="HR15" i="48"/>
  <c r="FV11" i="48"/>
  <c r="HQ11" i="48" s="1"/>
  <c r="HR11" i="48"/>
  <c r="FV7" i="48"/>
  <c r="HR7" i="48"/>
  <c r="FK14" i="48"/>
  <c r="FN14" i="48" s="1"/>
  <c r="HJ14" i="48"/>
  <c r="FV4" i="48"/>
  <c r="HR4" i="48"/>
  <c r="FV21" i="48"/>
  <c r="HR21" i="48"/>
  <c r="HR16" i="48"/>
  <c r="FV12" i="48"/>
  <c r="HQ12" i="48" s="1"/>
  <c r="HR12" i="48"/>
  <c r="HR8" i="48"/>
  <c r="HH4" i="48"/>
  <c r="FK17" i="48"/>
  <c r="FN17" i="48" s="1"/>
  <c r="HJ17" i="48"/>
  <c r="FV17" i="48"/>
  <c r="HR17" i="48"/>
  <c r="HR13" i="48"/>
  <c r="FV9" i="48"/>
  <c r="HQ9" i="48" s="1"/>
  <c r="HR9" i="48"/>
  <c r="FV5" i="48"/>
  <c r="HQ5" i="48" s="1"/>
  <c r="HR5" i="48"/>
  <c r="HJ4" i="48"/>
  <c r="FK16" i="48"/>
  <c r="FN16" i="48" s="1"/>
  <c r="HJ16" i="48"/>
  <c r="FK12" i="48"/>
  <c r="FN12" i="48" s="1"/>
  <c r="HI4" i="48"/>
  <c r="FK18" i="48"/>
  <c r="FN18" i="48" s="1"/>
  <c r="HJ18" i="48"/>
  <c r="FK15" i="48"/>
  <c r="FK9" i="48"/>
  <c r="FN9" i="48" s="1"/>
  <c r="HJ9" i="48"/>
  <c r="DH21" i="48"/>
  <c r="CZ21" i="48" s="1"/>
  <c r="GR5" i="48"/>
  <c r="DQ4" i="48"/>
  <c r="GR7" i="48"/>
  <c r="FK13" i="48"/>
  <c r="FS4" i="48"/>
  <c r="FV6" i="48"/>
  <c r="HQ6" i="48" s="1"/>
  <c r="DF4" i="48"/>
  <c r="E4" i="48"/>
  <c r="DW4" i="48" s="1"/>
  <c r="FK5" i="48"/>
  <c r="FN5" i="48" s="1"/>
  <c r="DO4" i="48"/>
  <c r="EY13" i="48"/>
  <c r="EX10" i="48"/>
  <c r="DP4" i="48"/>
  <c r="GR18" i="48"/>
  <c r="FX4" i="48"/>
  <c r="FX10" i="48"/>
  <c r="FV16" i="48"/>
  <c r="HQ16" i="48" s="1"/>
  <c r="GA17" i="48"/>
  <c r="FV8" i="48"/>
  <c r="HQ8" i="48" s="1"/>
  <c r="FS21" i="48"/>
  <c r="FU10" i="48"/>
  <c r="FU6" i="48"/>
  <c r="GA7" i="48"/>
  <c r="FY9" i="48"/>
  <c r="FY17" i="48"/>
  <c r="FT10" i="48"/>
  <c r="FU16" i="48"/>
  <c r="FR18" i="48"/>
  <c r="FR17" i="48"/>
  <c r="FG5" i="48"/>
  <c r="FI6" i="48"/>
  <c r="GQ6" i="48" s="1"/>
  <c r="FI5" i="48"/>
  <c r="GQ5" i="48" s="1"/>
  <c r="FR5" i="48"/>
  <c r="EY5" i="48"/>
  <c r="DT5" i="48" s="1"/>
  <c r="EX6" i="48"/>
  <c r="FI10" i="48"/>
  <c r="GQ10" i="48" s="1"/>
  <c r="FG14" i="48"/>
  <c r="FI14" i="48"/>
  <c r="GQ14" i="48" s="1"/>
  <c r="FG16" i="48"/>
  <c r="EY7" i="48"/>
  <c r="FG7" i="48"/>
  <c r="FI12" i="48"/>
  <c r="GQ12" i="48" s="1"/>
  <c r="FK4" i="48"/>
  <c r="FU4" i="48"/>
  <c r="FG6" i="48"/>
  <c r="FK7" i="48"/>
  <c r="FG8" i="48"/>
  <c r="FG9" i="48"/>
  <c r="FM4" i="48"/>
  <c r="FK6" i="48"/>
  <c r="FI7" i="48"/>
  <c r="GQ7" i="48" s="1"/>
  <c r="FI8" i="48"/>
  <c r="GQ8" i="48" s="1"/>
  <c r="FG10" i="48"/>
  <c r="FI11" i="48"/>
  <c r="GQ11" i="48" s="1"/>
  <c r="FI13" i="48"/>
  <c r="FI15" i="48"/>
  <c r="FR6" i="48"/>
  <c r="FK8" i="48"/>
  <c r="EY10" i="48"/>
  <c r="FG11" i="48"/>
  <c r="FG13" i="48"/>
  <c r="FM13" i="48"/>
  <c r="EY14" i="48"/>
  <c r="EY9" i="48"/>
  <c r="FK10" i="48"/>
  <c r="FG15" i="48"/>
  <c r="FM15" i="48"/>
  <c r="FG18" i="48"/>
  <c r="FG17" i="48"/>
  <c r="FI17" i="48"/>
  <c r="FI18" i="48"/>
  <c r="GQ18" i="48" s="1"/>
  <c r="FU22" i="48"/>
  <c r="EY16" i="48"/>
  <c r="EX17" i="48"/>
  <c r="EX18" i="48"/>
  <c r="FT23" i="48"/>
  <c r="GB23" i="48"/>
  <c r="FU19" i="48"/>
  <c r="FK22" i="48"/>
  <c r="DH22" i="48"/>
  <c r="CZ22" i="48" s="1"/>
  <c r="GF22" i="48" s="1"/>
  <c r="FM22" i="48"/>
  <c r="FV22" i="48"/>
  <c r="FZ22" i="48"/>
  <c r="DH23" i="48"/>
  <c r="CZ23" i="48" s="1"/>
  <c r="GF23" i="48" s="1"/>
  <c r="FV23" i="48"/>
  <c r="FZ23" i="48"/>
  <c r="FS22" i="48"/>
  <c r="FW22" i="48"/>
  <c r="GA22" i="48"/>
  <c r="FS23" i="48"/>
  <c r="FW23" i="48"/>
  <c r="GA23" i="48"/>
  <c r="FX22" i="48"/>
  <c r="DM15" i="48" l="1"/>
  <c r="DL15" i="48"/>
  <c r="GF21" i="48"/>
  <c r="DF33" i="48"/>
  <c r="DT18" i="48"/>
  <c r="EI18" i="48"/>
  <c r="EJ18" i="48"/>
  <c r="EI6" i="48"/>
  <c r="EJ6" i="48"/>
  <c r="EI10" i="48"/>
  <c r="EJ10" i="48"/>
  <c r="EI5" i="48"/>
  <c r="EI17" i="48"/>
  <c r="EJ17" i="48"/>
  <c r="DL4" i="48"/>
  <c r="AK24" i="48"/>
  <c r="BM24" i="48"/>
  <c r="GR13" i="48"/>
  <c r="GQ13" i="48"/>
  <c r="GQ15" i="48"/>
  <c r="GR15" i="48"/>
  <c r="DJ5" i="48"/>
  <c r="DI5" i="48"/>
  <c r="DH5" i="48"/>
  <c r="HQ4" i="48"/>
  <c r="DT17" i="48"/>
  <c r="EF17" i="48"/>
  <c r="DY17" i="48"/>
  <c r="DX17" i="48"/>
  <c r="EF10" i="48"/>
  <c r="DY10" i="48"/>
  <c r="DX10" i="48"/>
  <c r="DI17" i="48"/>
  <c r="DJ17" i="48"/>
  <c r="DH17" i="48"/>
  <c r="DL17" i="48"/>
  <c r="GO17" i="48"/>
  <c r="EF5" i="48"/>
  <c r="DH10" i="48"/>
  <c r="DL10" i="48"/>
  <c r="DI10" i="48"/>
  <c r="DJ10" i="48"/>
  <c r="DL8" i="48"/>
  <c r="DH8" i="48"/>
  <c r="DJ8" i="48"/>
  <c r="DI8" i="48"/>
  <c r="DI9" i="48"/>
  <c r="DH9" i="48"/>
  <c r="DJ9" i="48"/>
  <c r="DL9" i="48"/>
  <c r="DI13" i="48"/>
  <c r="DL13" i="48"/>
  <c r="DH13" i="48"/>
  <c r="DJ13" i="48"/>
  <c r="DL6" i="48"/>
  <c r="DH6" i="48"/>
  <c r="DI6" i="48"/>
  <c r="DJ6" i="48"/>
  <c r="DI16" i="48"/>
  <c r="DH16" i="48"/>
  <c r="DL16" i="48"/>
  <c r="DI15" i="48"/>
  <c r="DH15" i="48"/>
  <c r="DJ15" i="48"/>
  <c r="DT6" i="48"/>
  <c r="EF6" i="48"/>
  <c r="DY6" i="48"/>
  <c r="DX6" i="48"/>
  <c r="DV10" i="48"/>
  <c r="DI14" i="48"/>
  <c r="DJ14" i="48"/>
  <c r="DH14" i="48"/>
  <c r="DL14" i="48"/>
  <c r="DH7" i="48"/>
  <c r="DI7" i="48"/>
  <c r="DJ7" i="48"/>
  <c r="DH11" i="48"/>
  <c r="DI11" i="48"/>
  <c r="DJ11" i="48"/>
  <c r="DL11" i="48"/>
  <c r="GO11" i="48"/>
  <c r="EF18" i="48"/>
  <c r="DY18" i="48"/>
  <c r="DV18" i="48"/>
  <c r="DX18" i="48"/>
  <c r="DV17" i="48"/>
  <c r="DY5" i="48"/>
  <c r="DU5" i="48" s="1"/>
  <c r="DV6" i="48"/>
  <c r="DH12" i="48"/>
  <c r="DJ12" i="48"/>
  <c r="DI12" i="48"/>
  <c r="DL12" i="48"/>
  <c r="HQ18" i="48"/>
  <c r="FN15" i="48"/>
  <c r="HQ7" i="48"/>
  <c r="HQ17" i="48"/>
  <c r="O24" i="48"/>
  <c r="DF40" i="48" s="1"/>
  <c r="GC13" i="48"/>
  <c r="GI13" i="48" s="1"/>
  <c r="GC18" i="48"/>
  <c r="GI18" i="48" s="1"/>
  <c r="GC17" i="48"/>
  <c r="GI17" i="48" s="1"/>
  <c r="GC14" i="48"/>
  <c r="GI14" i="48" s="1"/>
  <c r="FJ9" i="48"/>
  <c r="GC15" i="48"/>
  <c r="GI15" i="48" s="1"/>
  <c r="FJ16" i="48"/>
  <c r="GC11" i="48"/>
  <c r="GI11" i="48" s="1"/>
  <c r="CY31" i="48"/>
  <c r="FN4" i="48"/>
  <c r="HH21" i="48"/>
  <c r="HI21" i="48"/>
  <c r="FN13" i="48"/>
  <c r="FG12" i="48"/>
  <c r="FJ10" i="48"/>
  <c r="FN10" i="48"/>
  <c r="GC10" i="48"/>
  <c r="GI10" i="48" s="1"/>
  <c r="FN8" i="48"/>
  <c r="GC8" i="48"/>
  <c r="GI8" i="48" s="1"/>
  <c r="FN6" i="48"/>
  <c r="GC6" i="48"/>
  <c r="GI6" i="48" s="1"/>
  <c r="GC16" i="48"/>
  <c r="GI16" i="48" s="1"/>
  <c r="FN7" i="48"/>
  <c r="GC7" i="48"/>
  <c r="GI7" i="48" s="1"/>
  <c r="GC5" i="48"/>
  <c r="GI5" i="48" s="1"/>
  <c r="GC9" i="48"/>
  <c r="GI9" i="48" s="1"/>
  <c r="FY22" i="48"/>
  <c r="EY12" i="48"/>
  <c r="FY23" i="48"/>
  <c r="FY21" i="48"/>
  <c r="FX23" i="48"/>
  <c r="FX21" i="48"/>
  <c r="DT10" i="48"/>
  <c r="FG22" i="48"/>
  <c r="GC22" i="48" s="1"/>
  <c r="FJ6" i="48"/>
  <c r="FJ15" i="48"/>
  <c r="FR22" i="48"/>
  <c r="EX16" i="48"/>
  <c r="DJ4" i="48"/>
  <c r="EX7" i="48"/>
  <c r="FU21" i="48"/>
  <c r="AC4" i="48"/>
  <c r="FM23" i="48"/>
  <c r="FR9" i="48"/>
  <c r="FU23" i="48"/>
  <c r="FK23" i="48"/>
  <c r="FI23" i="48"/>
  <c r="FR10" i="48"/>
  <c r="FJ14" i="48"/>
  <c r="FJ17" i="48"/>
  <c r="FJ13" i="48"/>
  <c r="FJ11" i="48"/>
  <c r="FJ8" i="48"/>
  <c r="FJ7" i="48"/>
  <c r="FJ5" i="48"/>
  <c r="FN22" i="48"/>
  <c r="FR8" i="48"/>
  <c r="EX8" i="48"/>
  <c r="FJ18" i="48"/>
  <c r="FR16" i="48"/>
  <c r="FR7" i="48"/>
  <c r="EI8" i="48" l="1"/>
  <c r="EJ8" i="48"/>
  <c r="EI16" i="48"/>
  <c r="EJ16" i="48"/>
  <c r="EG5" i="48"/>
  <c r="DN5" i="48" s="1"/>
  <c r="DV7" i="48"/>
  <c r="EI7" i="48"/>
  <c r="EJ7" i="48"/>
  <c r="EX4" i="48"/>
  <c r="DY4" i="48" s="1"/>
  <c r="DU6" i="48"/>
  <c r="EH6" i="48"/>
  <c r="EH5" i="48"/>
  <c r="DU17" i="48"/>
  <c r="EH17" i="48"/>
  <c r="DU10" i="48"/>
  <c r="EH10" i="48"/>
  <c r="DT16" i="48"/>
  <c r="EF16" i="48"/>
  <c r="DY16" i="48"/>
  <c r="DV16" i="48"/>
  <c r="DX16" i="48"/>
  <c r="DT8" i="48"/>
  <c r="EF8" i="48"/>
  <c r="DY8" i="48"/>
  <c r="DV8" i="48"/>
  <c r="DX8" i="48"/>
  <c r="DU18" i="48"/>
  <c r="EG18" i="48" s="1"/>
  <c r="DT7" i="48"/>
  <c r="DY7" i="48"/>
  <c r="EF7" i="48"/>
  <c r="DX7" i="48"/>
  <c r="EH18" i="48"/>
  <c r="GC12" i="48"/>
  <c r="GI12" i="48" s="1"/>
  <c r="CZ31" i="48"/>
  <c r="FM21" i="48"/>
  <c r="FI21" i="48"/>
  <c r="HJ21" i="48"/>
  <c r="FJ12" i="48"/>
  <c r="FK21" i="48"/>
  <c r="DH4" i="48"/>
  <c r="EN4" i="48"/>
  <c r="DI4" i="48"/>
  <c r="DG22" i="48"/>
  <c r="CX22" i="48" s="1"/>
  <c r="GD22" i="48" s="1"/>
  <c r="FI22" i="48"/>
  <c r="FJ22" i="48" s="1"/>
  <c r="EM4" i="48"/>
  <c r="FR4" i="48"/>
  <c r="FR11" i="48"/>
  <c r="EX11" i="48"/>
  <c r="FR15" i="48"/>
  <c r="EX15" i="48"/>
  <c r="EB4" i="48"/>
  <c r="EE4" i="48" s="1"/>
  <c r="EX9" i="48"/>
  <c r="DE4" i="48"/>
  <c r="DG4" i="48"/>
  <c r="FG4" i="48"/>
  <c r="EX12" i="48"/>
  <c r="FR12" i="48"/>
  <c r="EX14" i="48"/>
  <c r="FR14" i="48"/>
  <c r="FR13" i="48"/>
  <c r="EX13" i="48"/>
  <c r="FN23" i="48"/>
  <c r="DU7" i="48" l="1"/>
  <c r="EG7" i="48" s="1"/>
  <c r="DN7" i="48" s="1"/>
  <c r="EG10" i="48"/>
  <c r="DN10" i="48" s="1"/>
  <c r="EI14" i="48"/>
  <c r="EJ14" i="48"/>
  <c r="EJ15" i="48"/>
  <c r="EI15" i="48"/>
  <c r="EG6" i="48"/>
  <c r="DN6" i="48" s="1"/>
  <c r="EI13" i="48"/>
  <c r="EJ13" i="48"/>
  <c r="EG17" i="48"/>
  <c r="DN17" i="48" s="1"/>
  <c r="EF4" i="48"/>
  <c r="DV4" i="48"/>
  <c r="EJ4" i="48"/>
  <c r="EI4" i="48"/>
  <c r="EI12" i="48"/>
  <c r="EJ12" i="48"/>
  <c r="EI9" i="48"/>
  <c r="EJ9" i="48"/>
  <c r="EI11" i="48"/>
  <c r="EJ11" i="48"/>
  <c r="CX5" i="48"/>
  <c r="CY5" i="48"/>
  <c r="DT4" i="48"/>
  <c r="EH8" i="48"/>
  <c r="DT15" i="48"/>
  <c r="EF15" i="48"/>
  <c r="DY15" i="48"/>
  <c r="DX15" i="48"/>
  <c r="DV15" i="48"/>
  <c r="DT13" i="48"/>
  <c r="DY13" i="48"/>
  <c r="EF13" i="48"/>
  <c r="DX13" i="48"/>
  <c r="DV13" i="48"/>
  <c r="DU16" i="48"/>
  <c r="DT14" i="48"/>
  <c r="DY14" i="48"/>
  <c r="EF14" i="48"/>
  <c r="DX14" i="48"/>
  <c r="DV14" i="48"/>
  <c r="DT12" i="48"/>
  <c r="DY12" i="48"/>
  <c r="EF12" i="48"/>
  <c r="DV12" i="48"/>
  <c r="DX12" i="48"/>
  <c r="DT9" i="48"/>
  <c r="DY9" i="48"/>
  <c r="EF9" i="48"/>
  <c r="DX9" i="48"/>
  <c r="DV9" i="48"/>
  <c r="DT11" i="48"/>
  <c r="DY11" i="48"/>
  <c r="EF11" i="48"/>
  <c r="DX11" i="48"/>
  <c r="DV11" i="48"/>
  <c r="EH7" i="48"/>
  <c r="DU8" i="48"/>
  <c r="EH16" i="48"/>
  <c r="FN21" i="48"/>
  <c r="DG21" i="48"/>
  <c r="FJ4" i="48"/>
  <c r="GC4" i="48"/>
  <c r="GI4" i="48" s="1"/>
  <c r="FA21" i="48"/>
  <c r="EL4" i="48"/>
  <c r="FR21" i="48"/>
  <c r="FA23" i="48"/>
  <c r="DA23" i="48" s="1"/>
  <c r="GG23" i="48" s="1"/>
  <c r="FA22" i="48"/>
  <c r="DA22" i="48" s="1"/>
  <c r="GG22" i="48" s="1"/>
  <c r="FR23" i="48"/>
  <c r="FG21" i="48"/>
  <c r="FG23" i="48"/>
  <c r="DG23" i="48"/>
  <c r="CX23" i="48" s="1"/>
  <c r="GD23" i="48" s="1"/>
  <c r="CX21" i="48" l="1"/>
  <c r="GD21" i="48" s="1"/>
  <c r="DF31" i="48"/>
  <c r="CX7" i="48"/>
  <c r="EH15" i="48"/>
  <c r="CX10" i="48"/>
  <c r="CX6" i="48"/>
  <c r="DU15" i="48"/>
  <c r="EG15" i="48" s="1"/>
  <c r="CX17" i="48"/>
  <c r="DN18" i="48"/>
  <c r="CZ18" i="48"/>
  <c r="EG8" i="48"/>
  <c r="DN8" i="48" s="1"/>
  <c r="CY18" i="48"/>
  <c r="DU11" i="48"/>
  <c r="EG11" i="48" s="1"/>
  <c r="DN11" i="48" s="1"/>
  <c r="EG16" i="48"/>
  <c r="DN16" i="48" s="1"/>
  <c r="CX18" i="48"/>
  <c r="DB18" i="48" s="1"/>
  <c r="CY17" i="48"/>
  <c r="CY6" i="48"/>
  <c r="CY10" i="48"/>
  <c r="CY7" i="48"/>
  <c r="EH11" i="48"/>
  <c r="DU9" i="48"/>
  <c r="DU13" i="48"/>
  <c r="EH12" i="48"/>
  <c r="EH14" i="48"/>
  <c r="EH13" i="48"/>
  <c r="DU12" i="48"/>
  <c r="DU14" i="48"/>
  <c r="EH9" i="48"/>
  <c r="EO4" i="48"/>
  <c r="EP4" i="48"/>
  <c r="DA21" i="48"/>
  <c r="FJ23" i="48"/>
  <c r="GC23" i="48"/>
  <c r="FJ21" i="48"/>
  <c r="GC21" i="48"/>
  <c r="GG21" i="48" l="1"/>
  <c r="DF34" i="48"/>
  <c r="CY15" i="48"/>
  <c r="DN15" i="48"/>
  <c r="CX15" i="48"/>
  <c r="CY16" i="48"/>
  <c r="CX8" i="48"/>
  <c r="CY8" i="48"/>
  <c r="EG14" i="48"/>
  <c r="DN14" i="48" s="1"/>
  <c r="EG13" i="48"/>
  <c r="DN13" i="48" s="1"/>
  <c r="EG12" i="48"/>
  <c r="DN12" i="48" s="1"/>
  <c r="EG9" i="48"/>
  <c r="DN9" i="48" s="1"/>
  <c r="CY11" i="48"/>
  <c r="CX11" i="48"/>
  <c r="CX16" i="48"/>
  <c r="EQ4" i="48"/>
  <c r="EC4" i="48"/>
  <c r="EA4" i="48" s="1"/>
  <c r="CX12" i="48" l="1"/>
  <c r="CY12" i="48"/>
  <c r="CY9" i="48"/>
  <c r="CY14" i="48"/>
  <c r="CY13" i="48"/>
  <c r="CX13" i="48"/>
  <c r="CX14" i="48"/>
  <c r="CX9" i="48"/>
  <c r="ED4" i="48"/>
  <c r="ET4" i="48"/>
  <c r="EK4" i="48"/>
  <c r="EH4" i="48" s="1"/>
  <c r="DX4" i="48"/>
  <c r="DU4" i="48" l="1"/>
  <c r="EG4" i="48" s="1"/>
  <c r="GE5" i="48"/>
  <c r="GE11" i="48"/>
  <c r="IS12" i="48"/>
  <c r="GE15" i="48"/>
  <c r="GD14" i="48"/>
  <c r="IS14" i="48"/>
  <c r="EG21" i="48" l="1"/>
  <c r="CX4" i="48"/>
  <c r="DN4" i="48"/>
  <c r="IS5" i="48"/>
  <c r="GE17" i="48"/>
  <c r="GE16" i="48"/>
  <c r="GE7" i="48"/>
  <c r="GE9" i="48"/>
  <c r="GE10" i="48"/>
  <c r="GE12" i="48"/>
  <c r="GD5" i="48"/>
  <c r="GD15" i="48"/>
  <c r="IS13" i="48"/>
  <c r="IS11" i="48"/>
  <c r="GE14" i="48"/>
  <c r="IS15" i="48"/>
  <c r="IS9" i="48"/>
  <c r="GE6" i="48"/>
  <c r="GO13" i="48"/>
  <c r="GE8" i="48"/>
  <c r="IS10" i="48"/>
  <c r="CY4" i="48"/>
  <c r="GE4" i="48" s="1"/>
  <c r="IS7" i="48"/>
  <c r="IS16" i="48"/>
  <c r="EG23" i="48" l="1"/>
  <c r="DN23" i="48" s="1"/>
  <c r="CY23" i="48" s="1"/>
  <c r="GE23" i="48" s="1"/>
  <c r="EG22" i="48"/>
  <c r="DN22" i="48" s="1"/>
  <c r="CY22" i="48" s="1"/>
  <c r="GE22" i="48" s="1"/>
  <c r="DF30" i="48"/>
  <c r="DF43" i="48" s="1"/>
  <c r="GH21" i="48"/>
  <c r="DN21" i="48"/>
  <c r="CY21" i="48" s="1"/>
  <c r="DK4" i="48"/>
  <c r="CZ4" i="48"/>
  <c r="DA27" i="48"/>
  <c r="DF45" i="48" s="1"/>
  <c r="GE13" i="48"/>
  <c r="GE18" i="48"/>
  <c r="GD4" i="48"/>
  <c r="IS4" i="48"/>
  <c r="GD6" i="48"/>
  <c r="IS6" i="48"/>
  <c r="GD8" i="48"/>
  <c r="IS8" i="48"/>
  <c r="IS17" i="48"/>
  <c r="GD13" i="48"/>
  <c r="HQ21" i="48"/>
  <c r="GD17" i="48"/>
  <c r="GD11" i="48"/>
  <c r="GD7" i="48"/>
  <c r="ER4" i="48"/>
  <c r="ES4" i="48"/>
  <c r="GD9" i="48"/>
  <c r="GD10" i="48"/>
  <c r="GD18" i="48"/>
  <c r="GD16" i="48"/>
  <c r="GD12" i="48"/>
  <c r="GO15" i="48"/>
  <c r="GO16" i="48"/>
  <c r="GO14" i="48"/>
  <c r="CZ11" i="48"/>
  <c r="CZ10" i="48"/>
  <c r="CZ13" i="48"/>
  <c r="CZ12" i="48"/>
  <c r="CZ7" i="48"/>
  <c r="CZ6" i="48"/>
  <c r="CZ9" i="48"/>
  <c r="CZ8" i="48"/>
  <c r="CZ5" i="48"/>
  <c r="CZ15" i="48"/>
  <c r="CZ14" i="48"/>
  <c r="CZ17" i="48"/>
  <c r="CZ16" i="48"/>
  <c r="GE21" i="48" l="1"/>
  <c r="DF32" i="48"/>
  <c r="DA4" i="48"/>
  <c r="GG4" i="48" s="1"/>
  <c r="GH4" i="48" s="1"/>
  <c r="ES6" i="48"/>
  <c r="ER6" i="48"/>
  <c r="DK6" i="48"/>
  <c r="DM6" i="48"/>
  <c r="ES5" i="48"/>
  <c r="GO4" i="48"/>
  <c r="ER5" i="48"/>
  <c r="DK5" i="48"/>
  <c r="DM5" i="48"/>
  <c r="ES17" i="48"/>
  <c r="ER17" i="48"/>
  <c r="DM17" i="48"/>
  <c r="DK17" i="48"/>
  <c r="GO10" i="48"/>
  <c r="ES8" i="48"/>
  <c r="ER8" i="48"/>
  <c r="DK8" i="48"/>
  <c r="DM8" i="48"/>
  <c r="ES12" i="48"/>
  <c r="ER12" i="48"/>
  <c r="DK12" i="48"/>
  <c r="DM12" i="48"/>
  <c r="ES10" i="48"/>
  <c r="ER10" i="48"/>
  <c r="DM10" i="48"/>
  <c r="DK10" i="48"/>
  <c r="ES16" i="48"/>
  <c r="DM16" i="48"/>
  <c r="ER16" i="48"/>
  <c r="DK16" i="48"/>
  <c r="ES14" i="48"/>
  <c r="DM14" i="48"/>
  <c r="ER14" i="48"/>
  <c r="DK14" i="48"/>
  <c r="ES9" i="48"/>
  <c r="ER9" i="48"/>
  <c r="DK9" i="48"/>
  <c r="DM9" i="48"/>
  <c r="GO6" i="48"/>
  <c r="ES13" i="48"/>
  <c r="DK13" i="48"/>
  <c r="ER13" i="48"/>
  <c r="GO8" i="48"/>
  <c r="DM13" i="48"/>
  <c r="ES20" i="48"/>
  <c r="ER20" i="48"/>
  <c r="GO12" i="48"/>
  <c r="ES15" i="48"/>
  <c r="DA15" i="48" s="1"/>
  <c r="DK15" i="48"/>
  <c r="GO9" i="48"/>
  <c r="ES19" i="48"/>
  <c r="ER19" i="48"/>
  <c r="ES7" i="48"/>
  <c r="ER7" i="48"/>
  <c r="DK7" i="48"/>
  <c r="GO5" i="48"/>
  <c r="DM7" i="48"/>
  <c r="ES11" i="48"/>
  <c r="ER11" i="48"/>
  <c r="GO7" i="48"/>
  <c r="DK11" i="48"/>
  <c r="DM11" i="48"/>
  <c r="GF14" i="48"/>
  <c r="HM14" i="48" s="1"/>
  <c r="DM4" i="48"/>
  <c r="DB4" i="48" l="1"/>
  <c r="DB15" i="48"/>
  <c r="DA13" i="48"/>
  <c r="DB13" i="48" s="1"/>
  <c r="DA5" i="48"/>
  <c r="DA6" i="48"/>
  <c r="DB6" i="48" s="1"/>
  <c r="DA7" i="48"/>
  <c r="DB7" i="48" s="1"/>
  <c r="DA9" i="48"/>
  <c r="DB9" i="48" s="1"/>
  <c r="DA14" i="48"/>
  <c r="DA16" i="48"/>
  <c r="DB16" i="48" s="1"/>
  <c r="DA10" i="48"/>
  <c r="DB10" i="48" s="1"/>
  <c r="DA12" i="48"/>
  <c r="DB12" i="48" s="1"/>
  <c r="DA8" i="48"/>
  <c r="DB8" i="48" s="1"/>
  <c r="DA11" i="48"/>
  <c r="DB11" i="48" s="1"/>
  <c r="DA17" i="48"/>
  <c r="DB17" i="48" s="1"/>
  <c r="GF12" i="48"/>
  <c r="HM12" i="48" s="1"/>
  <c r="IR12" i="48"/>
  <c r="GF13" i="48"/>
  <c r="HM13" i="48" s="1"/>
  <c r="IR13" i="48"/>
  <c r="GF8" i="48"/>
  <c r="HM8" i="48" s="1"/>
  <c r="IR8" i="48"/>
  <c r="GF15" i="48"/>
  <c r="HM15" i="48" s="1"/>
  <c r="IR14" i="48"/>
  <c r="GF11" i="48"/>
  <c r="HM11" i="48" s="1"/>
  <c r="IR11" i="48"/>
  <c r="GF10" i="48"/>
  <c r="HM10" i="48" s="1"/>
  <c r="IR10" i="48"/>
  <c r="GF4" i="48"/>
  <c r="HM4" i="48" s="1"/>
  <c r="IR4" i="48"/>
  <c r="GF18" i="48"/>
  <c r="HM18" i="48" s="1"/>
  <c r="IR17" i="48"/>
  <c r="GF9" i="48"/>
  <c r="HM9" i="48" s="1"/>
  <c r="IR9" i="48"/>
  <c r="GF5" i="48"/>
  <c r="HM5" i="48" s="1"/>
  <c r="IR5" i="48"/>
  <c r="GF6" i="48"/>
  <c r="HM6" i="48" s="1"/>
  <c r="IR6" i="48"/>
  <c r="GF16" i="48"/>
  <c r="HM16" i="48" s="1"/>
  <c r="IR15" i="48"/>
  <c r="GF7" i="48"/>
  <c r="HM7" i="48" s="1"/>
  <c r="IR7" i="48"/>
  <c r="GF17" i="48"/>
  <c r="HM17" i="48" s="1"/>
  <c r="IR16" i="48"/>
  <c r="GG18" i="48"/>
  <c r="DB5" i="48" l="1"/>
  <c r="GG5" i="48"/>
  <c r="GH5" i="48" s="1"/>
  <c r="GG7" i="48"/>
  <c r="GH7" i="48" s="1"/>
  <c r="GG13" i="48"/>
  <c r="GH13" i="48" s="1"/>
  <c r="GG12" i="48"/>
  <c r="GH12" i="48" s="1"/>
  <c r="GG16" i="48"/>
  <c r="GH16" i="48" s="1"/>
  <c r="GG6" i="48"/>
  <c r="GH6" i="48" s="1"/>
  <c r="DB14" i="48"/>
  <c r="GG14" i="48"/>
  <c r="GH14" i="48" s="1"/>
  <c r="GH18" i="48"/>
  <c r="GG17" i="48"/>
  <c r="GH17" i="48" s="1"/>
  <c r="GG11" i="48"/>
  <c r="GH11" i="48" s="1"/>
  <c r="GG9" i="48"/>
  <c r="GH9" i="48" s="1"/>
  <c r="GG10" i="48"/>
  <c r="GH10" i="48" s="1"/>
  <c r="GG8" i="48"/>
  <c r="GH8" i="48" s="1"/>
  <c r="GG15" i="48"/>
  <c r="GH15" i="48" s="1"/>
</calcChain>
</file>

<file path=xl/sharedStrings.xml><?xml version="1.0" encoding="utf-8"?>
<sst xmlns="http://schemas.openxmlformats.org/spreadsheetml/2006/main" count="19257" uniqueCount="262">
  <si>
    <t>Player</t>
  </si>
  <si>
    <t>TO</t>
  </si>
  <si>
    <t>FG_Part</t>
  </si>
  <si>
    <t>qAST</t>
  </si>
  <si>
    <t>AST_Part</t>
  </si>
  <si>
    <t>FT_Part</t>
  </si>
  <si>
    <t>Team_Scoring_Poss</t>
  </si>
  <si>
    <t>Team_ORB_Weight</t>
  </si>
  <si>
    <t>Team_ORB%</t>
  </si>
  <si>
    <t>Team_Play%</t>
  </si>
  <si>
    <t>ORB_Part</t>
  </si>
  <si>
    <t>Linear PER</t>
  </si>
  <si>
    <t>FG%</t>
  </si>
  <si>
    <t>3FG%</t>
  </si>
  <si>
    <t>eFG%</t>
  </si>
  <si>
    <t>ORB%</t>
  </si>
  <si>
    <t>DRB%</t>
  </si>
  <si>
    <t>BLK%</t>
  </si>
  <si>
    <t>STL%</t>
  </si>
  <si>
    <t>AST%</t>
  </si>
  <si>
    <t>TORate</t>
  </si>
  <si>
    <t>A/T</t>
  </si>
  <si>
    <t>FC/40</t>
  </si>
  <si>
    <t>FD/40</t>
  </si>
  <si>
    <t>PProd_FG_Part</t>
  </si>
  <si>
    <t>PProd_AST_Part</t>
  </si>
  <si>
    <t>PProd_ORB_Part</t>
  </si>
  <si>
    <t>PProd</t>
  </si>
  <si>
    <t>Floor%</t>
  </si>
  <si>
    <t>FMwt</t>
  </si>
  <si>
    <t>DOR%</t>
  </si>
  <si>
    <t>Stops1</t>
  </si>
  <si>
    <t>Stops2</t>
  </si>
  <si>
    <t>Stops</t>
  </si>
  <si>
    <t>Stop%</t>
  </si>
  <si>
    <t>Team DRtg</t>
  </si>
  <si>
    <t>DRtg</t>
  </si>
  <si>
    <t>D_Pts_per_ScPoss</t>
  </si>
  <si>
    <t>MIN</t>
  </si>
  <si>
    <t>Total</t>
  </si>
  <si>
    <t>Layups</t>
  </si>
  <si>
    <t>FTs</t>
  </si>
  <si>
    <t>0 Opponent</t>
  </si>
  <si>
    <t>1 Opponent</t>
  </si>
  <si>
    <t>2 Opponent</t>
  </si>
  <si>
    <t>3 Opponent</t>
  </si>
  <si>
    <t>5 Opponent</t>
  </si>
  <si>
    <t>10 Opponent</t>
  </si>
  <si>
    <t>11 Opponent</t>
  </si>
  <si>
    <t>35 Opponent</t>
  </si>
  <si>
    <t>Total FG Made-Att (Astd)</t>
  </si>
  <si>
    <t>HC FG Made-Att (Astd)</t>
  </si>
  <si>
    <t>-</t>
  </si>
  <si>
    <t>(</t>
  </si>
  <si>
    <t>)</t>
  </si>
  <si>
    <t>Non-LU 2s</t>
  </si>
  <si>
    <t>3's</t>
  </si>
  <si>
    <t>O</t>
  </si>
  <si>
    <t>D</t>
  </si>
  <si>
    <t>T</t>
  </si>
  <si>
    <t>REB</t>
  </si>
  <si>
    <t>A</t>
  </si>
  <si>
    <t>PF</t>
  </si>
  <si>
    <t>FD</t>
  </si>
  <si>
    <t>S</t>
  </si>
  <si>
    <t>B</t>
  </si>
  <si>
    <t>PTS</t>
  </si>
  <si>
    <t>Pts</t>
  </si>
  <si>
    <t>Net</t>
  </si>
  <si>
    <t>Tr / Oreb  FG Made-Att (Astd)</t>
  </si>
  <si>
    <t xml:space="preserve"> </t>
  </si>
  <si>
    <t>TEAM</t>
  </si>
  <si>
    <t>%MIN</t>
  </si>
  <si>
    <t>0 Team</t>
  </si>
  <si>
    <t>1 Team</t>
  </si>
  <si>
    <t>2 Team</t>
  </si>
  <si>
    <t>3 Team</t>
  </si>
  <si>
    <t>5 Team</t>
  </si>
  <si>
    <t>10 Team</t>
  </si>
  <si>
    <t>11 Team</t>
  </si>
  <si>
    <t>22 Team</t>
  </si>
  <si>
    <t>35 Team</t>
  </si>
  <si>
    <t>W</t>
  </si>
  <si>
    <t>AST+%</t>
  </si>
  <si>
    <t>WHITE</t>
  </si>
  <si>
    <t>Comp FTA</t>
  </si>
  <si>
    <t>Comp FTM</t>
  </si>
  <si>
    <t>TeamScPoss</t>
  </si>
  <si>
    <t>DFG%</t>
  </si>
  <si>
    <t>White</t>
  </si>
  <si>
    <t>FTRate</t>
  </si>
  <si>
    <t>Scoring Poss</t>
  </si>
  <si>
    <t>xFG Poss</t>
  </si>
  <si>
    <t>xFT Poss</t>
  </si>
  <si>
    <t>Total Poss</t>
  </si>
  <si>
    <t>FT Rate</t>
  </si>
  <si>
    <t>Oreb Rate</t>
  </si>
  <si>
    <t>TO%</t>
  </si>
  <si>
    <t>PoA</t>
  </si>
  <si>
    <t>DATE</t>
  </si>
  <si>
    <t>Usg%</t>
  </si>
  <si>
    <t>NetRtg</t>
  </si>
  <si>
    <t>%</t>
  </si>
  <si>
    <t xml:space="preserve">3's   </t>
  </si>
  <si>
    <t>OR%</t>
  </si>
  <si>
    <t>ORtg</t>
  </si>
  <si>
    <t>FMiss</t>
  </si>
  <si>
    <t>FTO</t>
  </si>
  <si>
    <t>FFTMiss</t>
  </si>
  <si>
    <t>FMissWt</t>
  </si>
  <si>
    <t>Indiv_Stops</t>
  </si>
  <si>
    <t>Stops/Poss</t>
  </si>
  <si>
    <t>34 Team</t>
  </si>
  <si>
    <t>34 Opponent</t>
  </si>
  <si>
    <t>12 Team</t>
  </si>
  <si>
    <t>12 Opponent</t>
  </si>
  <si>
    <t>OPPONENT</t>
  </si>
  <si>
    <t>R</t>
  </si>
  <si>
    <t>0 LOUIS TANG</t>
  </si>
  <si>
    <t>2 TREY BONHAM</t>
  </si>
  <si>
    <t>10 KAMDYN CURFMAN</t>
  </si>
  <si>
    <t>11 DEVIN BUTLER</t>
  </si>
  <si>
    <t>14 SAM WOLFE</t>
  </si>
  <si>
    <t>21 CONNOR ARNOLD</t>
  </si>
  <si>
    <t>24 TANNER MANS</t>
  </si>
  <si>
    <t>30 SEAN CONWAY</t>
  </si>
  <si>
    <t>34 JAKE STEPHENS</t>
  </si>
  <si>
    <t>42 DJ NUSSBAUM</t>
  </si>
  <si>
    <t>Real FTM</t>
  </si>
  <si>
    <t>Real FTA</t>
  </si>
  <si>
    <t>Reb Check</t>
  </si>
  <si>
    <t>Misses</t>
  </si>
  <si>
    <t>Rebs</t>
  </si>
  <si>
    <t>Pts/Min</t>
  </si>
  <si>
    <t>Rtg</t>
  </si>
  <si>
    <t>PER</t>
  </si>
  <si>
    <t>Name</t>
  </si>
  <si>
    <t>Midrange</t>
  </si>
  <si>
    <t>Three</t>
  </si>
  <si>
    <t>Louis</t>
  </si>
  <si>
    <t>Tragen</t>
  </si>
  <si>
    <t>Trey</t>
  </si>
  <si>
    <t>AP</t>
  </si>
  <si>
    <t>Kam</t>
  </si>
  <si>
    <t>Devin</t>
  </si>
  <si>
    <t>Ta'Vonne</t>
  </si>
  <si>
    <t>Myles</t>
  </si>
  <si>
    <t>Connor</t>
  </si>
  <si>
    <t>Tanner</t>
  </si>
  <si>
    <t>Sean</t>
  </si>
  <si>
    <t>Jake</t>
  </si>
  <si>
    <t>DJ</t>
  </si>
  <si>
    <t>Points Per Shot</t>
  </si>
  <si>
    <t>PoA+A / TO R</t>
  </si>
  <si>
    <t>Sam</t>
  </si>
  <si>
    <t>Caleb</t>
  </si>
  <si>
    <t>A+PoA/Poss</t>
  </si>
  <si>
    <t>Oct 25-Nov 9</t>
  </si>
  <si>
    <t>3PA Rate</t>
  </si>
  <si>
    <t>3+LU Rate</t>
  </si>
  <si>
    <t>Block%</t>
  </si>
  <si>
    <t>Steal%</t>
  </si>
  <si>
    <t>A/FGM</t>
  </si>
  <si>
    <t>%Points3</t>
  </si>
  <si>
    <t>%Points2</t>
  </si>
  <si>
    <t>%PointsFT</t>
  </si>
  <si>
    <t>Win %</t>
  </si>
  <si>
    <t>Win</t>
  </si>
  <si>
    <t>Loss</t>
  </si>
  <si>
    <t>Usage</t>
  </si>
  <si>
    <t>Eff</t>
  </si>
  <si>
    <t>TaVonne</t>
  </si>
  <si>
    <t>(S+A)/TO</t>
  </si>
  <si>
    <t>Daily Wins</t>
  </si>
  <si>
    <t>1 BRENNAN WATKINS</t>
  </si>
  <si>
    <t>3 HONOR HUFF</t>
  </si>
  <si>
    <t>12 LEWIS ROWE</t>
  </si>
  <si>
    <t>15 COOPER SISCO</t>
  </si>
  <si>
    <t>35 KC ETIENNE</t>
  </si>
  <si>
    <t>3 Honor Huff</t>
  </si>
  <si>
    <t>GA</t>
  </si>
  <si>
    <t>ORTG X USG</t>
  </si>
  <si>
    <t xml:space="preserve">GOAL </t>
  </si>
  <si>
    <t>PPM</t>
  </si>
  <si>
    <t>3PA/Min</t>
  </si>
  <si>
    <t>GOAL</t>
  </si>
  <si>
    <t>Net Rating</t>
  </si>
  <si>
    <t>Brennan</t>
  </si>
  <si>
    <t>Honor</t>
  </si>
  <si>
    <t>Lewis</t>
  </si>
  <si>
    <t>Cooper</t>
  </si>
  <si>
    <t>Pts/Shot</t>
  </si>
  <si>
    <t>Ortg</t>
  </si>
  <si>
    <t>3PA %</t>
  </si>
  <si>
    <t>Ast%</t>
  </si>
  <si>
    <t>LUeFG%</t>
  </si>
  <si>
    <t>MReFG%</t>
  </si>
  <si>
    <t>3eFG%</t>
  </si>
  <si>
    <t>(4th)</t>
  </si>
  <si>
    <t>(2nd)</t>
  </si>
  <si>
    <t>(131st)</t>
  </si>
  <si>
    <t>(317th)</t>
  </si>
  <si>
    <t>(1st)</t>
  </si>
  <si>
    <t>(12th)</t>
  </si>
  <si>
    <t>(3rd)</t>
  </si>
  <si>
    <t>0 AJ CALDWELL</t>
  </si>
  <si>
    <t>1 KC HANKTON</t>
  </si>
  <si>
    <t>2 JAMAAL WALKER</t>
  </si>
  <si>
    <t>4 SAM ALEXIS</t>
  </si>
  <si>
    <t>5 JAMAL JOHNSON</t>
  </si>
  <si>
    <t>10 DALVIN WHITE</t>
  </si>
  <si>
    <t>11 ASHTON SMITH</t>
  </si>
  <si>
    <t>12 JOHNNY TAYLOR JR</t>
  </si>
  <si>
    <t>13 KHRISTIAN COURSAULT</t>
  </si>
  <si>
    <t>22 DEMETRIUS DAVIS</t>
  </si>
  <si>
    <t>33 JAKE STEPHENS</t>
  </si>
  <si>
    <t>34 RANDY BRADY</t>
  </si>
  <si>
    <t>35 GRANT LEDFORD</t>
  </si>
  <si>
    <t>55 BRODY ROBINSON</t>
  </si>
  <si>
    <t>UTC TOTAL</t>
  </si>
  <si>
    <t>UTC</t>
  </si>
  <si>
    <t>A+</t>
  </si>
  <si>
    <t>4 Team</t>
  </si>
  <si>
    <t>13 Team</t>
  </si>
  <si>
    <t>33 Team</t>
  </si>
  <si>
    <t>55 Team</t>
  </si>
  <si>
    <t>4 Opponent</t>
  </si>
  <si>
    <t>13 Opponent</t>
  </si>
  <si>
    <t>22 Opponent</t>
  </si>
  <si>
    <t>33 Opponent</t>
  </si>
  <si>
    <t>55 Opponent</t>
  </si>
  <si>
    <t>BLUE</t>
  </si>
  <si>
    <t>Blue</t>
  </si>
  <si>
    <t>0 AJ Caldwell</t>
  </si>
  <si>
    <t>1 KC Hankton</t>
  </si>
  <si>
    <t>2 Jamaal Walker</t>
  </si>
  <si>
    <t>4 Sam Alexis</t>
  </si>
  <si>
    <t>5 Jamal Johnson</t>
  </si>
  <si>
    <t>10 Dalvin White</t>
  </si>
  <si>
    <t>11 Ashton Smith</t>
  </si>
  <si>
    <t>12 Johnny Taylor Jr</t>
  </si>
  <si>
    <t>13 Khristian Coursault</t>
  </si>
  <si>
    <t>22 Demetrius Davis</t>
  </si>
  <si>
    <t>33 Jake Stephens</t>
  </si>
  <si>
    <t>34 Randy Brady</t>
  </si>
  <si>
    <t>35 Grant Ledford</t>
  </si>
  <si>
    <t>55 Brody Robinson</t>
  </si>
  <si>
    <t>Dc</t>
  </si>
  <si>
    <t>Du</t>
  </si>
  <si>
    <t>Estimated FT%</t>
  </si>
  <si>
    <t>PPP</t>
  </si>
  <si>
    <t>D1 Avg</t>
  </si>
  <si>
    <t>Ratio</t>
  </si>
  <si>
    <t>FTA/FGA</t>
  </si>
  <si>
    <t>3P%</t>
  </si>
  <si>
    <t>2P%</t>
  </si>
  <si>
    <t>3A/FGA</t>
  </si>
  <si>
    <t>SC #1</t>
  </si>
  <si>
    <t>3+LU Rt</t>
  </si>
  <si>
    <t>LU%</t>
  </si>
  <si>
    <t>Mid %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</si>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</sst>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%"/>
    <numFmt numFmtId="167" formatCode="0.0000"/>
  </numFmts>
  <fonts count="2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</font>
    <font>
      <sz val="12"/>
      <color rgb="FF0070C0"/>
      <name val="Calibri"/>
      <family val="2"/>
    </font>
    <font>
      <b/>
      <i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E9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9" borderId="9" applyNumberFormat="0" applyAlignment="0" applyProtection="0"/>
    <xf numFmtId="9" fontId="12" fillId="0" borderId="0" applyFont="0" applyFill="0" applyBorder="0" applyAlignment="0" applyProtection="0"/>
  </cellStyleXfs>
  <cellXfs count="558">
    <xf numFmtId="0" fontId="0" fillId="0" borderId="0" xfId="0"/>
    <xf numFmtId="0" fontId="0" fillId="0" borderId="0" xfId="0" applyFill="1"/>
    <xf numFmtId="2" fontId="0" fillId="0" borderId="0" xfId="0" applyNumberFormat="1"/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right"/>
    </xf>
    <xf numFmtId="1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4" fontId="0" fillId="2" borderId="2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0" fontId="0" fillId="0" borderId="1" xfId="0" applyBorder="1"/>
    <xf numFmtId="0" fontId="0" fillId="0" borderId="8" xfId="0" applyBorder="1"/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/>
    <xf numFmtId="2" fontId="0" fillId="8" borderId="0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0" fillId="0" borderId="0" xfId="0" applyFont="1" applyFill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17" xfId="0" applyFill="1" applyBorder="1" applyAlignment="1">
      <alignment horizontal="right"/>
    </xf>
    <xf numFmtId="0" fontId="0" fillId="0" borderId="18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center"/>
    </xf>
    <xf numFmtId="0" fontId="0" fillId="0" borderId="3" xfId="0" applyFill="1" applyBorder="1" applyAlignment="1">
      <alignment horizontal="left"/>
    </xf>
    <xf numFmtId="0" fontId="0" fillId="0" borderId="18" xfId="0" applyFill="1" applyBorder="1" applyAlignment="1">
      <alignment horizontal="left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5" fillId="0" borderId="0" xfId="0" applyFont="1" applyFill="1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17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17" xfId="0" applyBorder="1"/>
    <xf numFmtId="0" fontId="0" fillId="0" borderId="19" xfId="0" applyBorder="1"/>
    <xf numFmtId="0" fontId="0" fillId="0" borderId="2" xfId="0" applyFill="1" applyBorder="1" applyAlignment="1"/>
    <xf numFmtId="0" fontId="0" fillId="0" borderId="17" xfId="0" applyFill="1" applyBorder="1" applyAlignment="1"/>
    <xf numFmtId="0" fontId="0" fillId="0" borderId="13" xfId="0" applyBorder="1"/>
    <xf numFmtId="0" fontId="0" fillId="0" borderId="0" xfId="0" applyFont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166" fontId="0" fillId="6" borderId="20" xfId="0" applyNumberForma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/>
    </xf>
    <xf numFmtId="0" fontId="2" fillId="7" borderId="23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" fillId="6" borderId="24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0" fontId="0" fillId="11" borderId="0" xfId="0" applyFill="1" applyBorder="1"/>
    <xf numFmtId="0" fontId="0" fillId="11" borderId="0" xfId="0" applyFill="1" applyBorder="1" applyAlignment="1"/>
    <xf numFmtId="0" fontId="2" fillId="11" borderId="8" xfId="0" applyFont="1" applyFill="1" applyBorder="1" applyAlignment="1">
      <alignment horizontal="right"/>
    </xf>
    <xf numFmtId="0" fontId="0" fillId="11" borderId="0" xfId="0" applyFont="1" applyFill="1" applyBorder="1" applyAlignment="1">
      <alignment horizontal="right"/>
    </xf>
    <xf numFmtId="0" fontId="1" fillId="11" borderId="2" xfId="0" applyFont="1" applyFill="1" applyBorder="1" applyAlignment="1">
      <alignment horizontal="right"/>
    </xf>
    <xf numFmtId="0" fontId="1" fillId="11" borderId="0" xfId="0" applyFont="1" applyFill="1" applyBorder="1" applyAlignment="1">
      <alignment horizontal="left"/>
    </xf>
    <xf numFmtId="0" fontId="1" fillId="11" borderId="0" xfId="0" applyFont="1" applyFill="1" applyBorder="1" applyAlignment="1">
      <alignment horizontal="right"/>
    </xf>
    <xf numFmtId="0" fontId="1" fillId="11" borderId="3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1" fontId="0" fillId="11" borderId="0" xfId="0" applyNumberFormat="1" applyFill="1" applyBorder="1" applyAlignment="1">
      <alignment horizontal="center"/>
    </xf>
    <xf numFmtId="165" fontId="0" fillId="11" borderId="0" xfId="0" applyNumberFormat="1" applyFill="1" applyBorder="1" applyAlignment="1">
      <alignment horizontal="center"/>
    </xf>
    <xf numFmtId="2" fontId="0" fillId="11" borderId="0" xfId="0" applyNumberFormat="1" applyFill="1" applyBorder="1" applyAlignment="1">
      <alignment horizontal="center"/>
    </xf>
    <xf numFmtId="0" fontId="0" fillId="11" borderId="0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right"/>
    </xf>
    <xf numFmtId="2" fontId="0" fillId="11" borderId="1" xfId="0" applyNumberFormat="1" applyFill="1" applyBorder="1" applyAlignment="1">
      <alignment horizontal="center"/>
    </xf>
    <xf numFmtId="0" fontId="0" fillId="11" borderId="15" xfId="0" applyFont="1" applyFill="1" applyBorder="1" applyAlignment="1">
      <alignment horizontal="righ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center"/>
    </xf>
    <xf numFmtId="0" fontId="0" fillId="11" borderId="2" xfId="0" applyFont="1" applyFill="1" applyBorder="1" applyAlignment="1">
      <alignment horizontal="right"/>
    </xf>
    <xf numFmtId="0" fontId="0" fillId="11" borderId="0" xfId="0" applyFont="1" applyFill="1" applyBorder="1" applyAlignment="1">
      <alignment horizontal="left"/>
    </xf>
    <xf numFmtId="0" fontId="0" fillId="11" borderId="0" xfId="0" applyFont="1" applyFill="1" applyBorder="1" applyAlignment="1"/>
    <xf numFmtId="0" fontId="0" fillId="11" borderId="3" xfId="0" applyFont="1" applyFill="1" applyBorder="1" applyAlignment="1">
      <alignment horizontal="left"/>
    </xf>
    <xf numFmtId="2" fontId="0" fillId="11" borderId="2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1" borderId="17" xfId="0" applyNumberFormat="1" applyFill="1" applyBorder="1" applyAlignment="1">
      <alignment horizontal="center"/>
    </xf>
    <xf numFmtId="2" fontId="0" fillId="11" borderId="18" xfId="0" applyNumberFormat="1" applyFill="1" applyBorder="1" applyAlignment="1">
      <alignment horizontal="center"/>
    </xf>
    <xf numFmtId="2" fontId="0" fillId="11" borderId="19" xfId="0" applyNumberFormat="1" applyFill="1" applyBorder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4" fontId="0" fillId="11" borderId="0" xfId="0" applyNumberForma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11" borderId="0" xfId="0" applyFill="1" applyBorder="1" applyAlignment="1">
      <alignment horizontal="right"/>
    </xf>
    <xf numFmtId="0" fontId="0" fillId="11" borderId="2" xfId="0" applyFill="1" applyBorder="1" applyAlignment="1">
      <alignment horizontal="right"/>
    </xf>
    <xf numFmtId="0" fontId="0" fillId="11" borderId="0" xfId="0" applyFill="1" applyBorder="1" applyAlignment="1">
      <alignment horizontal="left"/>
    </xf>
    <xf numFmtId="0" fontId="0" fillId="11" borderId="3" xfId="0" applyFill="1" applyBorder="1" applyAlignment="1">
      <alignment horizontal="left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64" fontId="1" fillId="11" borderId="1" xfId="0" applyNumberFormat="1" applyFont="1" applyFill="1" applyBorder="1" applyAlignment="1">
      <alignment horizontal="left"/>
    </xf>
    <xf numFmtId="2" fontId="0" fillId="12" borderId="15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2" fontId="1" fillId="12" borderId="7" xfId="0" applyNumberFormat="1" applyFont="1" applyFill="1" applyBorder="1" applyAlignment="1">
      <alignment horizontal="center"/>
    </xf>
    <xf numFmtId="2" fontId="0" fillId="12" borderId="16" xfId="0" applyNumberFormat="1" applyFill="1" applyBorder="1" applyAlignment="1">
      <alignment horizontal="center"/>
    </xf>
    <xf numFmtId="2" fontId="1" fillId="12" borderId="12" xfId="0" applyNumberFormat="1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1" borderId="0" xfId="0" applyFill="1" applyAlignment="1"/>
    <xf numFmtId="0" fontId="0" fillId="11" borderId="0" xfId="0" applyFont="1" applyFill="1" applyAlignment="1">
      <alignment horizontal="right"/>
    </xf>
    <xf numFmtId="2" fontId="0" fillId="11" borderId="0" xfId="0" applyNumberFormat="1" applyFont="1" applyFill="1" applyAlignment="1">
      <alignment horizontal="center"/>
    </xf>
    <xf numFmtId="0" fontId="0" fillId="11" borderId="2" xfId="0" quotePrefix="1" applyFill="1" applyBorder="1" applyAlignment="1"/>
    <xf numFmtId="0" fontId="0" fillId="11" borderId="2" xfId="0" applyFill="1" applyBorder="1" applyAlignment="1"/>
    <xf numFmtId="165" fontId="0" fillId="11" borderId="0" xfId="0" applyNumberFormat="1" applyFill="1" applyAlignment="1">
      <alignment horizontal="center"/>
    </xf>
    <xf numFmtId="166" fontId="0" fillId="11" borderId="0" xfId="0" applyNumberFormat="1" applyFill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0" fillId="11" borderId="18" xfId="0" applyFont="1" applyFill="1" applyBorder="1" applyAlignment="1">
      <alignment horizontal="left"/>
    </xf>
    <xf numFmtId="1" fontId="0" fillId="11" borderId="0" xfId="0" applyNumberFormat="1" applyFill="1" applyBorder="1" applyAlignment="1">
      <alignment horizontal="left"/>
    </xf>
    <xf numFmtId="0" fontId="0" fillId="11" borderId="17" xfId="0" applyFill="1" applyBorder="1" applyAlignment="1">
      <alignment horizontal="right"/>
    </xf>
    <xf numFmtId="0" fontId="0" fillId="11" borderId="18" xfId="0" applyFill="1" applyBorder="1" applyAlignment="1">
      <alignment horizontal="left"/>
    </xf>
    <xf numFmtId="0" fontId="0" fillId="11" borderId="18" xfId="0" applyFill="1" applyBorder="1"/>
    <xf numFmtId="1" fontId="0" fillId="11" borderId="18" xfId="0" applyNumberFormat="1" applyFill="1" applyBorder="1" applyAlignment="1">
      <alignment horizontal="left"/>
    </xf>
    <xf numFmtId="0" fontId="2" fillId="11" borderId="8" xfId="0" applyFont="1" applyFill="1" applyBorder="1" applyAlignment="1">
      <alignment horizontal="left"/>
    </xf>
    <xf numFmtId="0" fontId="2" fillId="11" borderId="21" xfId="0" applyFont="1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0" fontId="1" fillId="12" borderId="5" xfId="0" applyFont="1" applyFill="1" applyBorder="1" applyAlignment="1">
      <alignment horizontal="center"/>
    </xf>
    <xf numFmtId="0" fontId="1" fillId="12" borderId="6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1" fontId="0" fillId="2" borderId="0" xfId="0" applyNumberFormat="1" applyFill="1" applyBorder="1" applyAlignment="1">
      <alignment horizontal="left"/>
    </xf>
    <xf numFmtId="0" fontId="0" fillId="2" borderId="20" xfId="0" applyFill="1" applyBorder="1" applyAlignment="1">
      <alignment horizontal="center"/>
    </xf>
    <xf numFmtId="0" fontId="1" fillId="11" borderId="0" xfId="0" applyFont="1" applyFill="1" applyBorder="1" applyAlignment="1"/>
    <xf numFmtId="0" fontId="2" fillId="11" borderId="7" xfId="0" applyFont="1" applyFill="1" applyBorder="1" applyAlignment="1">
      <alignment horizontal="center"/>
    </xf>
    <xf numFmtId="0" fontId="0" fillId="11" borderId="0" xfId="0" applyFill="1" applyAlignment="1">
      <alignment horizontal="right"/>
    </xf>
    <xf numFmtId="1" fontId="0" fillId="2" borderId="20" xfId="0" applyNumberFormat="1" applyFill="1" applyBorder="1" applyAlignment="1">
      <alignment horizontal="center"/>
    </xf>
    <xf numFmtId="1" fontId="0" fillId="11" borderId="20" xfId="0" applyNumberFormat="1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9" fontId="0" fillId="11" borderId="0" xfId="0" applyNumberFormat="1" applyFill="1" applyBorder="1" applyAlignment="1">
      <alignment horizontal="center"/>
    </xf>
    <xf numFmtId="9" fontId="0" fillId="11" borderId="18" xfId="0" applyNumberFormat="1" applyFill="1" applyBorder="1" applyAlignment="1">
      <alignment horizontal="center"/>
    </xf>
    <xf numFmtId="9" fontId="0" fillId="2" borderId="3" xfId="0" applyNumberFormat="1" applyFill="1" applyBorder="1" applyAlignment="1">
      <alignment horizontal="center"/>
    </xf>
    <xf numFmtId="9" fontId="0" fillId="11" borderId="3" xfId="0" applyNumberFormat="1" applyFill="1" applyBorder="1" applyAlignment="1">
      <alignment horizontal="center"/>
    </xf>
    <xf numFmtId="9" fontId="0" fillId="11" borderId="19" xfId="0" applyNumberFormat="1" applyFill="1" applyBorder="1" applyAlignment="1">
      <alignment horizontal="center"/>
    </xf>
    <xf numFmtId="0" fontId="2" fillId="11" borderId="21" xfId="0" applyFont="1" applyFill="1" applyBorder="1" applyAlignment="1">
      <alignment horizontal="right"/>
    </xf>
    <xf numFmtId="165" fontId="0" fillId="2" borderId="20" xfId="0" applyNumberFormat="1" applyFill="1" applyBorder="1" applyAlignment="1">
      <alignment horizontal="right"/>
    </xf>
    <xf numFmtId="165" fontId="0" fillId="11" borderId="20" xfId="0" applyNumberFormat="1" applyFill="1" applyBorder="1" applyAlignment="1">
      <alignment horizontal="right"/>
    </xf>
    <xf numFmtId="0" fontId="0" fillId="11" borderId="20" xfId="0" applyFill="1" applyBorder="1" applyAlignment="1">
      <alignment horizontal="right"/>
    </xf>
    <xf numFmtId="0" fontId="0" fillId="2" borderId="20" xfId="0" applyFill="1" applyBorder="1" applyAlignment="1">
      <alignment horizontal="right"/>
    </xf>
    <xf numFmtId="2" fontId="0" fillId="12" borderId="2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0" fontId="0" fillId="2" borderId="15" xfId="0" applyFill="1" applyBorder="1" applyAlignment="1">
      <alignment horizontal="right"/>
    </xf>
    <xf numFmtId="9" fontId="0" fillId="2" borderId="16" xfId="0" applyNumberFormat="1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1" fontId="0" fillId="11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8" xfId="0" applyBorder="1"/>
    <xf numFmtId="0" fontId="0" fillId="2" borderId="18" xfId="0" applyFill="1" applyBorder="1"/>
    <xf numFmtId="0" fontId="0" fillId="0" borderId="3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0" xfId="0" applyFont="1" applyFill="1" applyAlignment="1">
      <alignment horizontal="center"/>
    </xf>
    <xf numFmtId="0" fontId="1" fillId="11" borderId="13" xfId="0" applyFont="1" applyFill="1" applyBorder="1" applyAlignment="1">
      <alignment horizontal="right"/>
    </xf>
    <xf numFmtId="0" fontId="1" fillId="11" borderId="8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left"/>
    </xf>
    <xf numFmtId="0" fontId="1" fillId="11" borderId="8" xfId="0" applyFont="1" applyFill="1" applyBorder="1" applyAlignment="1">
      <alignment horizontal="right"/>
    </xf>
    <xf numFmtId="0" fontId="1" fillId="11" borderId="14" xfId="0" applyFon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0" fillId="6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right"/>
    </xf>
    <xf numFmtId="2" fontId="7" fillId="10" borderId="0" xfId="0" applyNumberFormat="1" applyFont="1" applyFill="1" applyAlignment="1">
      <alignment horizontal="left"/>
    </xf>
    <xf numFmtId="0" fontId="9" fillId="10" borderId="0" xfId="0" applyFont="1" applyFill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left"/>
    </xf>
    <xf numFmtId="0" fontId="0" fillId="2" borderId="27" xfId="0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8" borderId="2" xfId="0" applyFont="1" applyFill="1" applyBorder="1" applyAlignment="1">
      <alignment horizontal="right"/>
    </xf>
    <xf numFmtId="0" fontId="1" fillId="8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right"/>
    </xf>
    <xf numFmtId="0" fontId="1" fillId="8" borderId="3" xfId="0" applyFont="1" applyFill="1" applyBorder="1" applyAlignment="1">
      <alignment horizontal="left"/>
    </xf>
    <xf numFmtId="0" fontId="1" fillId="8" borderId="0" xfId="1" applyFont="1" applyFill="1" applyBorder="1" applyAlignment="1">
      <alignment horizontal="left"/>
    </xf>
    <xf numFmtId="0" fontId="0" fillId="0" borderId="2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0" fontId="0" fillId="0" borderId="17" xfId="0" applyFont="1" applyFill="1" applyBorder="1" applyAlignment="1">
      <alignment horizontal="right"/>
    </xf>
    <xf numFmtId="0" fontId="0" fillId="0" borderId="18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left"/>
    </xf>
    <xf numFmtId="0" fontId="0" fillId="0" borderId="18" xfId="0" applyFont="1" applyFill="1" applyBorder="1" applyAlignment="1">
      <alignment horizontal="right"/>
    </xf>
    <xf numFmtId="0" fontId="0" fillId="0" borderId="19" xfId="0" applyFont="1" applyFill="1" applyBorder="1" applyAlignment="1">
      <alignment horizontal="left"/>
    </xf>
    <xf numFmtId="165" fontId="0" fillId="2" borderId="0" xfId="0" applyNumberFormat="1" applyFill="1" applyAlignment="1">
      <alignment horizontal="left"/>
    </xf>
    <xf numFmtId="165" fontId="0" fillId="11" borderId="0" xfId="0" applyNumberFormat="1" applyFill="1" applyAlignment="1">
      <alignment horizontal="left"/>
    </xf>
    <xf numFmtId="1" fontId="0" fillId="2" borderId="27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11" borderId="0" xfId="0" applyNumberFormat="1" applyFill="1" applyBorder="1"/>
    <xf numFmtId="1" fontId="0" fillId="2" borderId="1" xfId="0" applyNumberFormat="1" applyFill="1" applyBorder="1"/>
    <xf numFmtId="1" fontId="0" fillId="11" borderId="18" xfId="0" applyNumberFormat="1" applyFill="1" applyBorder="1"/>
    <xf numFmtId="0" fontId="1" fillId="11" borderId="0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left"/>
    </xf>
    <xf numFmtId="165" fontId="0" fillId="0" borderId="2" xfId="0" applyNumberFormat="1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64" fontId="0" fillId="0" borderId="19" xfId="0" applyNumberFormat="1" applyFill="1" applyBorder="1"/>
    <xf numFmtId="1" fontId="0" fillId="2" borderId="1" xfId="0" applyNumberFormat="1" applyFont="1" applyFill="1" applyBorder="1" applyAlignment="1">
      <alignment horizontal="left"/>
    </xf>
    <xf numFmtId="1" fontId="0" fillId="11" borderId="0" xfId="0" applyNumberFormat="1" applyFont="1" applyFill="1" applyBorder="1" applyAlignment="1">
      <alignment horizontal="left"/>
    </xf>
    <xf numFmtId="1" fontId="0" fillId="14" borderId="29" xfId="0" applyNumberFormat="1" applyFill="1" applyBorder="1" applyAlignment="1">
      <alignment horizontal="center"/>
    </xf>
    <xf numFmtId="1" fontId="0" fillId="14" borderId="30" xfId="0" applyNumberFormat="1" applyFill="1" applyBorder="1" applyAlignment="1">
      <alignment horizontal="center"/>
    </xf>
    <xf numFmtId="1" fontId="0" fillId="14" borderId="31" xfId="0" applyNumberFormat="1" applyFill="1" applyBorder="1" applyAlignment="1">
      <alignment horizontal="center"/>
    </xf>
    <xf numFmtId="1" fontId="0" fillId="14" borderId="32" xfId="0" applyNumberFormat="1" applyFill="1" applyBorder="1" applyAlignment="1">
      <alignment horizontal="center"/>
    </xf>
    <xf numFmtId="0" fontId="1" fillId="11" borderId="10" xfId="0" applyFont="1" applyFill="1" applyBorder="1" applyAlignment="1"/>
    <xf numFmtId="0" fontId="1" fillId="11" borderId="11" xfId="0" applyFont="1" applyFill="1" applyBorder="1" applyAlignment="1"/>
    <xf numFmtId="0" fontId="1" fillId="11" borderId="12" xfId="0" applyFont="1" applyFill="1" applyBorder="1" applyAlignment="1"/>
    <xf numFmtId="1" fontId="0" fillId="0" borderId="2" xfId="0" applyNumberFormat="1" applyFill="1" applyBorder="1" applyAlignment="1">
      <alignment horizontal="center"/>
    </xf>
    <xf numFmtId="1" fontId="0" fillId="0" borderId="3" xfId="0" applyNumberFormat="1" applyFill="1" applyBorder="1" applyAlignment="1">
      <alignment horizontal="center"/>
    </xf>
    <xf numFmtId="1" fontId="0" fillId="0" borderId="17" xfId="0" applyNumberFormat="1" applyFill="1" applyBorder="1" applyAlignment="1">
      <alignment horizontal="center"/>
    </xf>
    <xf numFmtId="1" fontId="0" fillId="0" borderId="19" xfId="0" applyNumberFormat="1" applyFill="1" applyBorder="1"/>
    <xf numFmtId="1" fontId="0" fillId="2" borderId="1" xfId="0" applyNumberForma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14" borderId="17" xfId="0" applyNumberFormat="1" applyFill="1" applyBorder="1" applyAlignment="1">
      <alignment horizontal="center"/>
    </xf>
    <xf numFmtId="0" fontId="0" fillId="14" borderId="19" xfId="0" applyFill="1" applyBorder="1" applyAlignment="1">
      <alignment horizontal="center"/>
    </xf>
    <xf numFmtId="0" fontId="0" fillId="10" borderId="0" xfId="0" applyFont="1" applyFill="1" applyAlignment="1">
      <alignment horizontal="right"/>
    </xf>
    <xf numFmtId="1" fontId="0" fillId="11" borderId="33" xfId="0" applyNumberFormat="1" applyFill="1" applyBorder="1" applyAlignment="1">
      <alignment horizontal="center"/>
    </xf>
    <xf numFmtId="0" fontId="2" fillId="11" borderId="14" xfId="0" applyFont="1" applyFill="1" applyBorder="1" applyAlignment="1">
      <alignment horizontal="center"/>
    </xf>
    <xf numFmtId="1" fontId="1" fillId="11" borderId="3" xfId="0" applyNumberFormat="1" applyFont="1" applyFill="1" applyBorder="1" applyAlignment="1">
      <alignment horizontal="left"/>
    </xf>
    <xf numFmtId="1" fontId="0" fillId="11" borderId="3" xfId="0" applyNumberFormat="1" applyFont="1" applyFill="1" applyBorder="1" applyAlignment="1">
      <alignment horizontal="left"/>
    </xf>
    <xf numFmtId="0" fontId="0" fillId="0" borderId="14" xfId="0" applyFont="1" applyBorder="1"/>
    <xf numFmtId="2" fontId="0" fillId="2" borderId="0" xfId="0" applyNumberFormat="1" applyFont="1" applyFill="1" applyAlignment="1">
      <alignment horizontal="center"/>
    </xf>
    <xf numFmtId="0" fontId="0" fillId="11" borderId="35" xfId="0" applyFont="1" applyFill="1" applyBorder="1" applyAlignment="1">
      <alignment horizontal="right"/>
    </xf>
    <xf numFmtId="0" fontId="0" fillId="11" borderId="34" xfId="0" applyFont="1" applyFill="1" applyBorder="1" applyAlignment="1">
      <alignment horizontal="center"/>
    </xf>
    <xf numFmtId="0" fontId="0" fillId="11" borderId="34" xfId="0" applyFont="1" applyFill="1" applyBorder="1" applyAlignment="1">
      <alignment horizontal="left"/>
    </xf>
    <xf numFmtId="0" fontId="0" fillId="11" borderId="34" xfId="0" applyFont="1" applyFill="1" applyBorder="1" applyAlignment="1">
      <alignment horizontal="right"/>
    </xf>
    <xf numFmtId="0" fontId="0" fillId="11" borderId="34" xfId="0" applyFont="1" applyFill="1" applyBorder="1" applyAlignment="1"/>
    <xf numFmtId="0" fontId="0" fillId="11" borderId="34" xfId="0" applyFill="1" applyBorder="1" applyAlignment="1">
      <alignment horizontal="center"/>
    </xf>
    <xf numFmtId="0" fontId="0" fillId="11" borderId="36" xfId="0" applyFont="1" applyFill="1" applyBorder="1" applyAlignment="1">
      <alignment horizontal="left"/>
    </xf>
    <xf numFmtId="0" fontId="0" fillId="11" borderId="34" xfId="0" applyFill="1" applyBorder="1" applyAlignment="1">
      <alignment horizontal="left"/>
    </xf>
    <xf numFmtId="16" fontId="0" fillId="0" borderId="0" xfId="0" applyNumberFormat="1" applyBorder="1" applyAlignment="1">
      <alignment horizontal="center"/>
    </xf>
    <xf numFmtId="0" fontId="1" fillId="11" borderId="0" xfId="0" applyFont="1" applyFill="1" applyBorder="1" applyAlignment="1">
      <alignment wrapText="1"/>
    </xf>
    <xf numFmtId="165" fontId="0" fillId="11" borderId="0" xfId="0" applyNumberFormat="1" applyFont="1" applyFill="1" applyAlignment="1">
      <alignment horizontal="center"/>
    </xf>
    <xf numFmtId="165" fontId="0" fillId="11" borderId="34" xfId="0" applyNumberFormat="1" applyFont="1" applyFill="1" applyBorder="1" applyAlignment="1">
      <alignment horizontal="center"/>
    </xf>
    <xf numFmtId="2" fontId="11" fillId="11" borderId="0" xfId="0" applyNumberFormat="1" applyFont="1" applyFill="1" applyBorder="1" applyAlignment="1">
      <alignment horizontal="center"/>
    </xf>
    <xf numFmtId="2" fontId="1" fillId="11" borderId="1" xfId="0" applyNumberFormat="1" applyFont="1" applyFill="1" applyBorder="1" applyAlignment="1">
      <alignment horizontal="center"/>
    </xf>
    <xf numFmtId="2" fontId="11" fillId="0" borderId="0" xfId="0" applyNumberFormat="1" applyFont="1"/>
    <xf numFmtId="2" fontId="1" fillId="0" borderId="0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right"/>
    </xf>
    <xf numFmtId="166" fontId="0" fillId="0" borderId="0" xfId="0" applyNumberFormat="1" applyFill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Fill="1" applyBorder="1"/>
    <xf numFmtId="166" fontId="0" fillId="0" borderId="0" xfId="0" applyNumberFormat="1" applyFont="1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1" fontId="1" fillId="11" borderId="0" xfId="0" applyNumberFormat="1" applyFont="1" applyFill="1" applyBorder="1" applyAlignment="1">
      <alignment horizontal="right"/>
    </xf>
    <xf numFmtId="1" fontId="0" fillId="11" borderId="0" xfId="0" applyNumberFormat="1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1" fontId="0" fillId="0" borderId="18" xfId="0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right"/>
    </xf>
    <xf numFmtId="166" fontId="8" fillId="0" borderId="0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11" borderId="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9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/>
    <xf numFmtId="1" fontId="0" fillId="0" borderId="0" xfId="0" applyNumberFormat="1" applyFont="1" applyFill="1" applyBorder="1" applyAlignment="1">
      <alignment horizontal="left"/>
    </xf>
    <xf numFmtId="9" fontId="0" fillId="0" borderId="3" xfId="0" applyNumberForma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right"/>
    </xf>
    <xf numFmtId="165" fontId="0" fillId="0" borderId="0" xfId="0" applyNumberFormat="1" applyFill="1" applyAlignment="1">
      <alignment horizontal="left"/>
    </xf>
    <xf numFmtId="0" fontId="0" fillId="11" borderId="20" xfId="0" applyFill="1" applyBorder="1"/>
    <xf numFmtId="0" fontId="0" fillId="13" borderId="27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1" fontId="0" fillId="11" borderId="1" xfId="0" applyNumberFormat="1" applyFont="1" applyFill="1" applyBorder="1" applyAlignment="1">
      <alignment horizontal="right"/>
    </xf>
    <xf numFmtId="1" fontId="0" fillId="11" borderId="16" xfId="0" applyNumberFormat="1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center"/>
    </xf>
    <xf numFmtId="2" fontId="0" fillId="11" borderId="8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7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1" fillId="11" borderId="0" xfId="0" applyNumberFormat="1" applyFont="1" applyFill="1" applyBorder="1" applyAlignment="1">
      <alignment horizontal="right"/>
    </xf>
    <xf numFmtId="0" fontId="0" fillId="15" borderId="25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2" fontId="0" fillId="15" borderId="24" xfId="0" applyNumberFormat="1" applyFill="1" applyBorder="1" applyAlignment="1">
      <alignment horizontal="center"/>
    </xf>
    <xf numFmtId="166" fontId="0" fillId="0" borderId="0" xfId="0" applyNumberFormat="1" applyBorder="1"/>
    <xf numFmtId="10" fontId="0" fillId="0" borderId="0" xfId="0" applyNumberFormat="1" applyBorder="1"/>
    <xf numFmtId="165" fontId="0" fillId="0" borderId="0" xfId="0" applyNumberFormat="1" applyBorder="1"/>
    <xf numFmtId="0" fontId="2" fillId="11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2" applyFont="1"/>
    <xf numFmtId="9" fontId="0" fillId="0" borderId="0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right"/>
    </xf>
    <xf numFmtId="2" fontId="0" fillId="0" borderId="0" xfId="2" applyNumberFormat="1" applyFont="1" applyFill="1" applyBorder="1" applyAlignment="1">
      <alignment horizontal="center"/>
    </xf>
    <xf numFmtId="9" fontId="0" fillId="0" borderId="0" xfId="2" applyFont="1" applyFill="1" applyAlignment="1">
      <alignment horizontal="center"/>
    </xf>
    <xf numFmtId="9" fontId="0" fillId="0" borderId="0" xfId="2" applyFont="1" applyFill="1"/>
    <xf numFmtId="0" fontId="1" fillId="11" borderId="0" xfId="0" applyFont="1" applyFill="1"/>
    <xf numFmtId="2" fontId="0" fillId="11" borderId="0" xfId="2" applyNumberFormat="1" applyFont="1" applyFill="1" applyBorder="1" applyAlignment="1">
      <alignment horizontal="right"/>
    </xf>
    <xf numFmtId="9" fontId="0" fillId="11" borderId="0" xfId="2" applyFont="1" applyFill="1" applyBorder="1" applyAlignment="1">
      <alignment horizontal="right"/>
    </xf>
    <xf numFmtId="9" fontId="0" fillId="11" borderId="0" xfId="2" applyFont="1" applyFill="1" applyAlignment="1">
      <alignment horizontal="right"/>
    </xf>
    <xf numFmtId="9" fontId="13" fillId="11" borderId="0" xfId="2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2" applyNumberFormat="1" applyFont="1" applyBorder="1" applyAlignment="1">
      <alignment horizontal="center"/>
    </xf>
    <xf numFmtId="1" fontId="0" fillId="0" borderId="0" xfId="0" applyNumberFormat="1" applyBorder="1" applyAlignment="1">
      <alignment horizontal="right" indent="1"/>
    </xf>
    <xf numFmtId="0" fontId="0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166" fontId="0" fillId="11" borderId="0" xfId="0" applyNumberFormat="1" applyFill="1" applyAlignment="1">
      <alignment horizontal="center"/>
    </xf>
    <xf numFmtId="0" fontId="14" fillId="11" borderId="8" xfId="0" applyFont="1" applyFill="1" applyBorder="1" applyAlignment="1">
      <alignment horizontal="center"/>
    </xf>
    <xf numFmtId="0" fontId="14" fillId="11" borderId="8" xfId="0" applyFont="1" applyFill="1" applyBorder="1" applyAlignment="1">
      <alignment horizontal="right"/>
    </xf>
    <xf numFmtId="0" fontId="14" fillId="11" borderId="8" xfId="0" applyFont="1" applyFill="1" applyBorder="1" applyAlignment="1">
      <alignment horizontal="right" wrapText="1"/>
    </xf>
    <xf numFmtId="16" fontId="14" fillId="11" borderId="8" xfId="0" applyNumberFormat="1" applyFont="1" applyFill="1" applyBorder="1" applyAlignment="1">
      <alignment horizontal="center"/>
    </xf>
    <xf numFmtId="16" fontId="14" fillId="11" borderId="0" xfId="0" applyNumberFormat="1" applyFont="1" applyFill="1" applyBorder="1" applyAlignment="1">
      <alignment horizontal="center"/>
    </xf>
    <xf numFmtId="2" fontId="0" fillId="11" borderId="0" xfId="0" applyNumberFormat="1" applyFill="1" applyAlignment="1">
      <alignment horizontal="right"/>
    </xf>
    <xf numFmtId="2" fontId="0" fillId="11" borderId="0" xfId="0" applyNumberFormat="1" applyFill="1" applyBorder="1" applyAlignment="1">
      <alignment horizontal="right"/>
    </xf>
    <xf numFmtId="16" fontId="14" fillId="11" borderId="8" xfId="0" applyNumberFormat="1" applyFont="1" applyFill="1" applyBorder="1" applyAlignment="1">
      <alignment horizontal="right"/>
    </xf>
    <xf numFmtId="0" fontId="0" fillId="11" borderId="8" xfId="0" applyFon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9" fontId="1" fillId="11" borderId="0" xfId="2" applyFont="1" applyFill="1" applyAlignment="1">
      <alignment horizontal="right"/>
    </xf>
    <xf numFmtId="0" fontId="1" fillId="12" borderId="0" xfId="0" applyFont="1" applyFill="1" applyBorder="1" applyAlignment="1">
      <alignment horizontal="center"/>
    </xf>
    <xf numFmtId="166" fontId="1" fillId="12" borderId="0" xfId="0" applyNumberFormat="1" applyFont="1" applyFill="1" applyAlignment="1">
      <alignment horizontal="center"/>
    </xf>
    <xf numFmtId="166" fontId="1" fillId="12" borderId="0" xfId="0" applyNumberFormat="1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  <xf numFmtId="165" fontId="0" fillId="11" borderId="0" xfId="0" applyNumberFormat="1" applyFill="1" applyAlignment="1">
      <alignment horizontal="right"/>
    </xf>
    <xf numFmtId="165" fontId="0" fillId="11" borderId="0" xfId="0" applyNumberFormat="1" applyFill="1" applyBorder="1" applyAlignment="1">
      <alignment horizontal="right"/>
    </xf>
    <xf numFmtId="0" fontId="2" fillId="11" borderId="8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Fill="1" applyAlignment="1">
      <alignment horizontal="right"/>
    </xf>
    <xf numFmtId="0" fontId="16" fillId="10" borderId="0" xfId="0" applyFont="1" applyFill="1" applyBorder="1" applyAlignment="1">
      <alignment horizontal="right"/>
    </xf>
    <xf numFmtId="2" fontId="16" fillId="10" borderId="0" xfId="0" applyNumberFormat="1" applyFont="1" applyFill="1" applyBorder="1" applyAlignment="1">
      <alignment horizontal="left"/>
    </xf>
    <xf numFmtId="0" fontId="15" fillId="10" borderId="0" xfId="0" applyFont="1" applyFill="1" applyBorder="1" applyAlignment="1">
      <alignment horizontal="right"/>
    </xf>
    <xf numFmtId="0" fontId="15" fillId="11" borderId="0" xfId="0" applyFont="1" applyFill="1" applyAlignment="1">
      <alignment horizontal="center"/>
    </xf>
    <xf numFmtId="0" fontId="15" fillId="11" borderId="0" xfId="0" applyFont="1" applyFill="1" applyAlignment="1">
      <alignment horizontal="right"/>
    </xf>
    <xf numFmtId="0" fontId="16" fillId="11" borderId="0" xfId="0" applyFont="1" applyFill="1" applyBorder="1" applyAlignment="1">
      <alignment horizontal="right"/>
    </xf>
    <xf numFmtId="0" fontId="0" fillId="6" borderId="27" xfId="0" applyFill="1" applyBorder="1" applyAlignment="1">
      <alignment horizontal="center"/>
    </xf>
    <xf numFmtId="0" fontId="1" fillId="10" borderId="0" xfId="0" applyFont="1" applyFill="1" applyAlignment="1">
      <alignment horizontal="right"/>
    </xf>
    <xf numFmtId="0" fontId="0" fillId="10" borderId="0" xfId="0" applyFill="1" applyAlignment="1">
      <alignment horizontal="right"/>
    </xf>
    <xf numFmtId="0" fontId="0" fillId="10" borderId="0" xfId="0" applyFill="1"/>
    <xf numFmtId="0" fontId="1" fillId="0" borderId="0" xfId="0" applyFont="1" applyFill="1"/>
    <xf numFmtId="0" fontId="0" fillId="0" borderId="8" xfId="0" applyFill="1" applyBorder="1"/>
    <xf numFmtId="0" fontId="0" fillId="0" borderId="21" xfId="0" applyFill="1" applyBorder="1"/>
    <xf numFmtId="0" fontId="0" fillId="0" borderId="0" xfId="0" applyAlignment="1"/>
    <xf numFmtId="0" fontId="0" fillId="0" borderId="0" xfId="0" applyFont="1" applyFill="1" applyAlignment="1"/>
    <xf numFmtId="0" fontId="15" fillId="0" borderId="0" xfId="0" applyFont="1" applyFill="1" applyAlignment="1"/>
    <xf numFmtId="0" fontId="0" fillId="0" borderId="0" xfId="0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15" fillId="0" borderId="0" xfId="0" applyFont="1" applyFill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0" fillId="10" borderId="0" xfId="0" applyFont="1" applyFill="1" applyAlignment="1">
      <alignment horizontal="left"/>
    </xf>
    <xf numFmtId="1" fontId="0" fillId="0" borderId="0" xfId="0" applyNumberFormat="1" applyFont="1" applyFill="1" applyAlignment="1">
      <alignment horizontal="right"/>
    </xf>
    <xf numFmtId="1" fontId="0" fillId="0" borderId="0" xfId="0" applyNumberFormat="1" applyFont="1" applyBorder="1" applyAlignment="1">
      <alignment horizontal="right"/>
    </xf>
    <xf numFmtId="1" fontId="0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0" fillId="0" borderId="0" xfId="0" applyNumberFormat="1" applyBorder="1" applyAlignment="1">
      <alignment horizontal="right"/>
    </xf>
    <xf numFmtId="1" fontId="0" fillId="0" borderId="8" xfId="0" applyNumberFormat="1" applyBorder="1" applyAlignment="1">
      <alignment horizontal="right"/>
    </xf>
    <xf numFmtId="0" fontId="0" fillId="0" borderId="21" xfId="0" applyBorder="1"/>
    <xf numFmtId="0" fontId="0" fillId="11" borderId="35" xfId="0" applyFill="1" applyBorder="1" applyAlignment="1">
      <alignment horizontal="center"/>
    </xf>
    <xf numFmtId="1" fontId="0" fillId="11" borderId="34" xfId="0" applyNumberForma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2" fontId="17" fillId="0" borderId="0" xfId="0" applyNumberFormat="1" applyFont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11" borderId="0" xfId="0" applyFont="1" applyFill="1" applyAlignment="1">
      <alignment horizontal="center" vertical="center"/>
    </xf>
    <xf numFmtId="2" fontId="0" fillId="11" borderId="0" xfId="0" applyNumberFormat="1" applyFont="1" applyFill="1"/>
    <xf numFmtId="0" fontId="17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164" fontId="0" fillId="0" borderId="0" xfId="0" applyNumberFormat="1" applyFill="1" applyBorder="1" applyAlignment="1">
      <alignment horizontal="center"/>
    </xf>
    <xf numFmtId="0" fontId="0" fillId="0" borderId="1" xfId="0" applyFill="1" applyBorder="1"/>
    <xf numFmtId="164" fontId="0" fillId="0" borderId="0" xfId="0" applyNumberFormat="1" applyFill="1" applyAlignment="1">
      <alignment horizontal="center"/>
    </xf>
    <xf numFmtId="0" fontId="0" fillId="0" borderId="20" xfId="0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8" xfId="0" applyNumberFormat="1" applyFill="1" applyBorder="1" applyAlignment="1">
      <alignment horizontal="center"/>
    </xf>
    <xf numFmtId="2" fontId="0" fillId="0" borderId="28" xfId="0" applyNumberFormat="1" applyFill="1" applyBorder="1" applyAlignment="1">
      <alignment horizontal="center"/>
    </xf>
    <xf numFmtId="0" fontId="0" fillId="0" borderId="28" xfId="0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40" xfId="0" applyNumberForma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2" fontId="1" fillId="0" borderId="30" xfId="0" applyNumberFormat="1" applyFont="1" applyFill="1" applyBorder="1" applyAlignment="1">
      <alignment horizontal="center"/>
    </xf>
    <xf numFmtId="0" fontId="0" fillId="0" borderId="20" xfId="0" applyBorder="1"/>
    <xf numFmtId="0" fontId="0" fillId="0" borderId="28" xfId="0" applyBorder="1"/>
    <xf numFmtId="165" fontId="19" fillId="0" borderId="2" xfId="0" applyNumberFormat="1" applyFont="1" applyBorder="1" applyAlignment="1">
      <alignment horizontal="center"/>
    </xf>
    <xf numFmtId="165" fontId="19" fillId="0" borderId="17" xfId="0" applyNumberFormat="1" applyFont="1" applyBorder="1" applyAlignment="1">
      <alignment horizontal="center"/>
    </xf>
    <xf numFmtId="165" fontId="19" fillId="16" borderId="2" xfId="0" applyNumberFormat="1" applyFont="1" applyFill="1" applyBorder="1" applyAlignment="1">
      <alignment horizontal="center"/>
    </xf>
    <xf numFmtId="165" fontId="0" fillId="16" borderId="38" xfId="0" applyNumberFormat="1" applyFill="1" applyBorder="1" applyAlignment="1">
      <alignment horizontal="center"/>
    </xf>
    <xf numFmtId="165" fontId="0" fillId="16" borderId="28" xfId="0" applyNumberFormat="1" applyFill="1" applyBorder="1" applyAlignment="1">
      <alignment horizontal="center"/>
    </xf>
    <xf numFmtId="0" fontId="0" fillId="16" borderId="20" xfId="0" applyFill="1" applyBorder="1"/>
    <xf numFmtId="0" fontId="0" fillId="16" borderId="28" xfId="0" applyFill="1" applyBorder="1"/>
    <xf numFmtId="0" fontId="0" fillId="16" borderId="20" xfId="0" applyFill="1" applyBorder="1" applyAlignment="1">
      <alignment horizontal="center"/>
    </xf>
    <xf numFmtId="0" fontId="0" fillId="16" borderId="2" xfId="0" applyFill="1" applyBorder="1"/>
    <xf numFmtId="0" fontId="19" fillId="16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165" fontId="0" fillId="16" borderId="2" xfId="0" applyNumberFormat="1" applyFont="1" applyFill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165" fontId="0" fillId="16" borderId="2" xfId="0" applyNumberForma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17" borderId="22" xfId="0" applyFont="1" applyFill="1" applyBorder="1" applyAlignment="1">
      <alignment horizontal="center"/>
    </xf>
    <xf numFmtId="1" fontId="1" fillId="17" borderId="2" xfId="0" applyNumberFormat="1" applyFont="1" applyFill="1" applyBorder="1" applyAlignment="1">
      <alignment horizontal="center"/>
    </xf>
    <xf numFmtId="165" fontId="1" fillId="17" borderId="2" xfId="0" applyNumberFormat="1" applyFont="1" applyFill="1" applyBorder="1" applyAlignment="1">
      <alignment horizontal="center"/>
    </xf>
    <xf numFmtId="165" fontId="0" fillId="17" borderId="17" xfId="0" applyNumberFormat="1" applyFill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7" fillId="11" borderId="0" xfId="0" applyFont="1" applyFill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14" xfId="0" applyFon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right"/>
    </xf>
    <xf numFmtId="0" fontId="1" fillId="0" borderId="10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16" fontId="7" fillId="10" borderId="0" xfId="0" applyNumberFormat="1" applyFont="1" applyFill="1" applyAlignment="1">
      <alignment horizontal="center"/>
    </xf>
    <xf numFmtId="1" fontId="1" fillId="11" borderId="0" xfId="0" applyNumberFormat="1" applyFont="1" applyFill="1" applyAlignment="1">
      <alignment horizontal="right"/>
    </xf>
    <xf numFmtId="1" fontId="1" fillId="11" borderId="3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alculation" xfId="1" builtinId="22"/>
    <cellStyle name="Normal" xfId="0" builtinId="0"/>
    <cellStyle name="Percent" xfId="2" builtinId="5"/>
  </cellStyles>
  <dxfs count="1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ADEDAB"/>
      <color rgb="FF9AAAFF"/>
      <color rgb="FF009A00"/>
      <color rgb="FFFF9E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Usage</a:t>
            </a:r>
            <a:r>
              <a:rPr lang="en-US" baseline="0">
                <a:solidFill>
                  <a:schemeClr val="tx1"/>
                </a:solidFill>
              </a:rPr>
              <a:t> v </a:t>
            </a:r>
            <a:r>
              <a:rPr lang="en-US">
                <a:solidFill>
                  <a:schemeClr val="tx1"/>
                </a:solidFill>
              </a:rPr>
              <a:t>Efficiency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4276414906620425E-2"/>
          <c:y val="8.8309523809523824E-2"/>
          <c:w val="0.91280394553568889"/>
          <c:h val="0.8469326959130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TOTAL!$IS$3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1F-DD4A-8AFA-8599F152C5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1F-DD4A-8AFA-8599F152C5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TB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1F-DD4A-8AFA-8599F152C5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1F-DD4A-8AFA-8599F152C5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KC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1F-DD4A-8AFA-8599F152C5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C1F-DD4A-8AFA-8599F152C5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TV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C1F-DD4A-8AFA-8599F152C5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SW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C1F-DD4A-8AFA-8599F152C5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C1F-DD4A-8AFA-8599F152C5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1F-DD4A-8AFA-8599F152C5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TM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1F-DD4A-8AFA-8599F152C5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SC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1F-DD4A-8AFA-8599F152C5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C1F-DD4A-8AFA-8599F152C5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JS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1F-DD4A-8AFA-8599F152C5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DJ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C1F-DD4A-8AFA-8599F152C5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rnd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og"/>
            <c:dispRSqr val="0"/>
            <c:dispEq val="0"/>
          </c:trendline>
          <c:xVal>
            <c:numRef>
              <c:f>TOTAL!$IR$4:$IR$17</c:f>
              <c:numCache>
                <c:formatCode>0.0%</c:formatCode>
                <c:ptCount val="14"/>
                <c:pt idx="0">
                  <c:v>0.16468888162965706</c:v>
                </c:pt>
                <c:pt idx="1">
                  <c:v>0.13719920115939721</c:v>
                </c:pt>
                <c:pt idx="2">
                  <c:v>0.16390676980189861</c:v>
                </c:pt>
                <c:pt idx="3">
                  <c:v>0.18165582342168113</c:v>
                </c:pt>
                <c:pt idx="4">
                  <c:v>0.34053862269375346</c:v>
                </c:pt>
                <c:pt idx="5">
                  <c:v>0.18110007194768479</c:v>
                </c:pt>
                <c:pt idx="6">
                  <c:v>0.13386696313907076</c:v>
                </c:pt>
                <c:pt idx="7">
                  <c:v>0.12468702297110625</c:v>
                </c:pt>
                <c:pt idx="8">
                  <c:v>0.16162922045983499</c:v>
                </c:pt>
                <c:pt idx="9">
                  <c:v>0.26979142867243328</c:v>
                </c:pt>
                <c:pt idx="10">
                  <c:v>0.37835020915802342</c:v>
                </c:pt>
                <c:pt idx="11">
                  <c:v>0.18740505544439306</c:v>
                </c:pt>
                <c:pt idx="12">
                  <c:v>0.16081262272376204</c:v>
                </c:pt>
                <c:pt idx="13">
                  <c:v>0</c:v>
                </c:pt>
              </c:numCache>
            </c:numRef>
          </c:xVal>
          <c:yVal>
            <c:numRef>
              <c:f>TOTAL!$IS$4:$IS$17</c:f>
              <c:numCache>
                <c:formatCode>0.0</c:formatCode>
                <c:ptCount val="14"/>
                <c:pt idx="0">
                  <c:v>96.887418837317625</c:v>
                </c:pt>
                <c:pt idx="1">
                  <c:v>99.776340939907442</c:v>
                </c:pt>
                <c:pt idx="2">
                  <c:v>90.14882515520037</c:v>
                </c:pt>
                <c:pt idx="3">
                  <c:v>102.85295296266878</c:v>
                </c:pt>
                <c:pt idx="4">
                  <c:v>76.674447146954876</c:v>
                </c:pt>
                <c:pt idx="5">
                  <c:v>113.07673960636954</c:v>
                </c:pt>
                <c:pt idx="6">
                  <c:v>63.007901034411759</c:v>
                </c:pt>
                <c:pt idx="7">
                  <c:v>137.95716628829132</c:v>
                </c:pt>
                <c:pt idx="8">
                  <c:v>78.758456843254223</c:v>
                </c:pt>
                <c:pt idx="9">
                  <c:v>110.06071326431311</c:v>
                </c:pt>
                <c:pt idx="10">
                  <c:v>117.26321758589006</c:v>
                </c:pt>
                <c:pt idx="11">
                  <c:v>86.159545104714766</c:v>
                </c:pt>
                <c:pt idx="12">
                  <c:v>95.274116261890484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F-DD4A-8AFA-8599F152C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387616"/>
        <c:axId val="1256469136"/>
      </c:scatterChart>
      <c:valAx>
        <c:axId val="1252387616"/>
        <c:scaling>
          <c:orientation val="minMax"/>
          <c:min val="5.000000000000001E-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69136"/>
        <c:crosses val="autoZero"/>
        <c:crossBetween val="midCat"/>
        <c:majorUnit val="5.000000000000001E-2"/>
      </c:valAx>
      <c:valAx>
        <c:axId val="1256469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38761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254</xdr:col>
      <xdr:colOff>0</xdr:colOff>
      <xdr:row>1</xdr:row>
      <xdr:rowOff>152400</xdr:rowOff>
    </xdr:from>
    <xdr:to>
      <xdr:col>262</xdr:col>
      <xdr:colOff>368300</xdr:colOff>
      <xdr:row>26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265DB25-79CC-C34B-BB25-0730FA9B0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B3B77-2437-904A-9872-7199AD3F550D}">
  <sheetPr codeName="Sheet66"/>
  <dimension ref="A1:GO73"/>
  <sheetViews>
    <sheetView showRuler="0" zoomScale="136" zoomScaleNormal="136" workbookViewId="0">
      <pane xSplit="3" topLeftCell="ED1" activePane="topRight" state="frozen"/>
      <selection pane="topRight" activeCell="EG24" sqref="EG24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2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customWidth="1" outlineLevel="1"/>
    <col min="33" max="33" width="3.33203125" customWidth="1" outlineLevel="1"/>
    <col min="34" max="34" width="1.33203125" customWidth="1" outlineLevel="1"/>
    <col min="35" max="35" width="3.33203125" customWidth="1" outlineLevel="1"/>
    <col min="36" max="36" width="1.6640625" customWidth="1" outlineLevel="1"/>
    <col min="37" max="37" width="2.1640625" customWidth="1" outlineLevel="1"/>
    <col min="38" max="38" width="3" customWidth="1" outlineLevel="1"/>
    <col min="39" max="39" width="3.33203125" customWidth="1" outlineLevel="1"/>
    <col min="40" max="40" width="1.33203125" customWidth="1" outlineLevel="1"/>
    <col min="41" max="41" width="2.6640625" customWidth="1" outlineLevel="1"/>
    <col min="42" max="42" width="1.6640625" customWidth="1" outlineLevel="1"/>
    <col min="43" max="43" width="2" customWidth="1" outlineLevel="1"/>
    <col min="44" max="45" width="3.33203125" customWidth="1" outlineLevel="1"/>
    <col min="46" max="46" width="1.33203125" customWidth="1" outlineLevel="1"/>
    <col min="47" max="47" width="2.6640625" customWidth="1" outlineLevel="1"/>
    <col min="48" max="48" width="1.6640625" customWidth="1" outlineLevel="1"/>
    <col min="49" max="49" width="2.33203125" customWidth="1" outlineLevel="1"/>
    <col min="50" max="50" width="3.83203125" customWidth="1" outlineLevel="1"/>
    <col min="51" max="51" width="3.33203125" customWidth="1" outlineLevel="1"/>
    <col min="52" max="52" width="1.33203125" customWidth="1" outlineLevel="1"/>
    <col min="53" max="53" width="3.33203125" customWidth="1" outlineLevel="1"/>
    <col min="54" max="54" width="1.6640625" customWidth="1" outlineLevel="1"/>
    <col min="55" max="55" width="2.1640625" customWidth="1" outlineLevel="1"/>
    <col min="56" max="56" width="3.83203125" customWidth="1" outlineLevel="1"/>
    <col min="57" max="57" width="3.33203125" customWidth="1" outlineLevel="1"/>
    <col min="58" max="58" width="1.33203125" customWidth="1" outlineLevel="1"/>
    <col min="59" max="59" width="3.6640625" customWidth="1" outlineLevel="1"/>
    <col min="60" max="60" width="2.5" customWidth="1" outlineLevel="1"/>
    <col min="61" max="61" width="3.33203125" customWidth="1" outlineLevel="1"/>
    <col min="62" max="62" width="1.33203125" customWidth="1" outlineLevel="1"/>
    <col min="63" max="63" width="2.83203125" customWidth="1" outlineLevel="1"/>
    <col min="64" max="64" width="1.6640625" customWidth="1" outlineLevel="1"/>
    <col min="65" max="65" width="2.1640625" customWidth="1" outlineLevel="1"/>
    <col min="66" max="66" width="2.33203125" customWidth="1" outlineLevel="1"/>
    <col min="67" max="67" width="3.33203125" customWidth="1" outlineLevel="1"/>
    <col min="68" max="68" width="1.33203125" customWidth="1" outlineLevel="1"/>
    <col min="69" max="69" width="2.6640625" customWidth="1" outlineLevel="1"/>
    <col min="70" max="70" width="1.6640625" customWidth="1" outlineLevel="1"/>
    <col min="71" max="71" width="2.1640625" customWidth="1" outlineLevel="1"/>
    <col min="72" max="72" width="2.83203125" customWidth="1" outlineLevel="1"/>
    <col min="73" max="73" width="3.33203125" customWidth="1" outlineLevel="1"/>
    <col min="74" max="74" width="1.33203125" customWidth="1" outlineLevel="1"/>
    <col min="75" max="75" width="2.6640625" customWidth="1" outlineLevel="1"/>
    <col min="76" max="76" width="1.6640625" customWidth="1" outlineLevel="1"/>
    <col min="77" max="77" width="2" customWidth="1" outlineLevel="1"/>
    <col min="78" max="78" width="3.83203125" customWidth="1" outlineLevel="1"/>
    <col min="79" max="79" width="3.33203125" customWidth="1" outlineLevel="1"/>
    <col min="80" max="80" width="1.33203125" customWidth="1" outlineLevel="1"/>
    <col min="81" max="81" width="2.6640625" customWidth="1" outlineLevel="1"/>
    <col min="82" max="82" width="1.6640625" customWidth="1" outlineLevel="1"/>
    <col min="83" max="83" width="2.5" customWidth="1" outlineLevel="1"/>
    <col min="84" max="84" width="3.83203125" customWidth="1" outlineLevel="1"/>
    <col min="85" max="85" width="3.33203125" customWidth="1" outlineLevel="1"/>
    <col min="86" max="86" width="1.33203125" customWidth="1" outlineLevel="1"/>
    <col min="87" max="87" width="3.6640625" customWidth="1" outlineLevel="1"/>
    <col min="88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339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341"/>
      <c r="CX2" s="139"/>
      <c r="CY2" s="139"/>
      <c r="CZ2" s="139"/>
      <c r="DA2" s="139"/>
      <c r="DB2" s="341" t="s">
        <v>68</v>
      </c>
      <c r="DC2" s="341"/>
      <c r="DD2" s="342"/>
      <c r="DE2" s="342"/>
      <c r="DH2" s="342"/>
      <c r="DI2" s="342"/>
      <c r="DT2" s="345"/>
      <c r="DU2" s="345"/>
      <c r="DV2" s="345"/>
      <c r="DW2" s="345"/>
      <c r="DX2" s="345"/>
      <c r="DY2" s="345"/>
      <c r="DZ2" s="345"/>
      <c r="EA2" s="345"/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V2" s="345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341"/>
      <c r="GO2" s="345"/>
    </row>
    <row r="3" spans="1:197" ht="20" thickBot="1" x14ac:dyDescent="0.3">
      <c r="A3" s="139"/>
      <c r="B3" s="139"/>
      <c r="C3" s="112" t="s">
        <v>0</v>
      </c>
      <c r="D3" s="340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340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340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340" t="s">
        <v>57</v>
      </c>
      <c r="CK3" s="340" t="s">
        <v>58</v>
      </c>
      <c r="CL3" s="418" t="s">
        <v>247</v>
      </c>
      <c r="CM3" s="418" t="s">
        <v>248</v>
      </c>
      <c r="CN3" s="340" t="s">
        <v>59</v>
      </c>
      <c r="CO3" s="174" t="s">
        <v>61</v>
      </c>
      <c r="CP3" s="340" t="s">
        <v>221</v>
      </c>
      <c r="CQ3" s="174" t="s">
        <v>62</v>
      </c>
      <c r="CR3" s="340" t="s">
        <v>63</v>
      </c>
      <c r="CS3" s="340" t="s">
        <v>64</v>
      </c>
      <c r="CT3" s="340" t="s">
        <v>1</v>
      </c>
      <c r="CU3" s="340" t="s">
        <v>65</v>
      </c>
      <c r="CV3" s="340" t="s">
        <v>66</v>
      </c>
      <c r="CW3" s="340" t="s">
        <v>180</v>
      </c>
      <c r="CX3" s="340" t="s">
        <v>105</v>
      </c>
      <c r="CY3" s="340" t="s">
        <v>28</v>
      </c>
      <c r="CZ3" s="340" t="s">
        <v>100</v>
      </c>
      <c r="DA3" s="340" t="s">
        <v>36</v>
      </c>
      <c r="DB3" s="340" t="s">
        <v>67</v>
      </c>
      <c r="DC3" s="340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340" t="s">
        <v>38</v>
      </c>
      <c r="FG3" s="548" t="s">
        <v>39</v>
      </c>
      <c r="FH3" s="549"/>
      <c r="FI3" s="549"/>
      <c r="FJ3" s="344" t="s">
        <v>102</v>
      </c>
      <c r="FK3" s="550" t="s">
        <v>103</v>
      </c>
      <c r="FL3" s="550"/>
      <c r="FM3" s="550"/>
      <c r="FN3" s="344" t="s">
        <v>102</v>
      </c>
      <c r="FO3" s="549" t="s">
        <v>41</v>
      </c>
      <c r="FP3" s="549"/>
      <c r="FQ3" s="549"/>
      <c r="FR3" s="189" t="s">
        <v>102</v>
      </c>
      <c r="FS3" s="340" t="s">
        <v>57</v>
      </c>
      <c r="FT3" s="340" t="s">
        <v>58</v>
      </c>
      <c r="FU3" s="340" t="s">
        <v>59</v>
      </c>
      <c r="FV3" s="174" t="s">
        <v>61</v>
      </c>
      <c r="FW3" s="340" t="s">
        <v>98</v>
      </c>
      <c r="FX3" s="340" t="s">
        <v>62</v>
      </c>
      <c r="FY3" s="340" t="s">
        <v>63</v>
      </c>
      <c r="FZ3" s="340" t="s">
        <v>64</v>
      </c>
      <c r="GA3" s="340" t="s">
        <v>1</v>
      </c>
      <c r="GB3" s="340" t="s">
        <v>65</v>
      </c>
      <c r="GC3" s="174" t="s">
        <v>66</v>
      </c>
      <c r="GD3" s="199" t="s">
        <v>105</v>
      </c>
      <c r="GE3" s="340" t="s">
        <v>28</v>
      </c>
      <c r="GF3" s="340" t="s">
        <v>100</v>
      </c>
      <c r="GG3" s="173" t="s">
        <v>36</v>
      </c>
      <c r="GH3" s="340"/>
      <c r="GJ3" s="343" t="s">
        <v>106</v>
      </c>
      <c r="GK3" s="344" t="s">
        <v>107</v>
      </c>
      <c r="GL3" s="16" t="s">
        <v>108</v>
      </c>
      <c r="GM3" s="16" t="s">
        <v>109</v>
      </c>
      <c r="GN3" s="344" t="s">
        <v>110</v>
      </c>
      <c r="GO3" s="214" t="s">
        <v>111</v>
      </c>
    </row>
    <row r="4" spans="1:197" x14ac:dyDescent="0.2">
      <c r="A4" s="139"/>
      <c r="B4" s="345" t="s">
        <v>82</v>
      </c>
      <c r="C4" s="41" t="s">
        <v>205</v>
      </c>
      <c r="D4" s="161">
        <v>0</v>
      </c>
      <c r="E4" s="114">
        <f t="shared" ref="E4:E18" si="0">IFERROR(AG4+BI4,"0")</f>
        <v>0</v>
      </c>
      <c r="F4" s="339" t="s">
        <v>52</v>
      </c>
      <c r="G4" s="115">
        <f t="shared" ref="G4:G18" si="1">IFERROR(AI4+BK4,"0")</f>
        <v>0</v>
      </c>
      <c r="H4" s="116" t="s">
        <v>53</v>
      </c>
      <c r="I4" s="339">
        <f>IFERROR(AK4+BM4,"0")</f>
        <v>0</v>
      </c>
      <c r="J4" s="115" t="s">
        <v>54</v>
      </c>
      <c r="K4" s="116">
        <f t="shared" ref="K4:K18" si="2">IFERROR(AM4+BO4,"0")</f>
        <v>0</v>
      </c>
      <c r="L4" s="339" t="s">
        <v>52</v>
      </c>
      <c r="M4" s="115">
        <f t="shared" ref="M4:M18" si="3">IFERROR(AO4+BQ4,"0")</f>
        <v>0</v>
      </c>
      <c r="N4" s="116" t="s">
        <v>53</v>
      </c>
      <c r="O4" s="339">
        <f t="shared" ref="O4:O18" si="4">IFERROR(AQ4+BS4,"0")</f>
        <v>0</v>
      </c>
      <c r="P4" s="115" t="s">
        <v>54</v>
      </c>
      <c r="Q4" s="116">
        <f t="shared" ref="Q4:Q18" si="5">IFERROR(AS4+BU4,"0")</f>
        <v>0</v>
      </c>
      <c r="R4" s="339" t="s">
        <v>52</v>
      </c>
      <c r="S4" s="115">
        <f>IFERROR(AU4+BW4,"0")</f>
        <v>0</v>
      </c>
      <c r="T4" s="116" t="s">
        <v>53</v>
      </c>
      <c r="U4" s="339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339" t="s">
        <v>52</v>
      </c>
      <c r="Y4" s="115">
        <f t="shared" ref="Y4:Y18" si="8">IFERROR(BA4+CC4,"0")</f>
        <v>0</v>
      </c>
      <c r="Z4" s="116" t="s">
        <v>53</v>
      </c>
      <c r="AA4" s="339">
        <f t="shared" ref="AA4:AA18" si="9">IFERROR(BC4+CE4,"0")</f>
        <v>0</v>
      </c>
      <c r="AB4" s="115" t="s">
        <v>54</v>
      </c>
      <c r="AC4" s="116">
        <f>IFERROR((AE4*EZ4),"0")</f>
        <v>0</v>
      </c>
      <c r="AD4" s="339" t="s">
        <v>52</v>
      </c>
      <c r="AE4" s="117">
        <f>IFERROR((CR4*1),"0")</f>
        <v>0</v>
      </c>
      <c r="AF4" s="341"/>
      <c r="AG4" s="114">
        <f>IFERROR(AM4+AS4+AY4,"0")</f>
        <v>0</v>
      </c>
      <c r="AH4" s="339" t="s">
        <v>52</v>
      </c>
      <c r="AI4" s="115">
        <f t="shared" ref="AI4:AI18" si="10">IFERROR(AO4+AU4+BA4,"0")</f>
        <v>0</v>
      </c>
      <c r="AJ4" s="116" t="s">
        <v>53</v>
      </c>
      <c r="AK4" s="339">
        <f t="shared" ref="AK4:AK18" si="11">IFERROR(AQ4+AW4+BC4,"0")</f>
        <v>0</v>
      </c>
      <c r="AL4" s="115" t="s">
        <v>54</v>
      </c>
      <c r="AM4" s="246">
        <v>0</v>
      </c>
      <c r="AN4" s="244" t="s">
        <v>52</v>
      </c>
      <c r="AO4" s="245">
        <v>0</v>
      </c>
      <c r="AP4" s="246" t="s">
        <v>53</v>
      </c>
      <c r="AQ4" s="244">
        <v>0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0</v>
      </c>
      <c r="BB4" s="246" t="s">
        <v>53</v>
      </c>
      <c r="BC4" s="244">
        <v>0</v>
      </c>
      <c r="BD4" s="245" t="s">
        <v>54</v>
      </c>
      <c r="BE4" s="116">
        <v>0</v>
      </c>
      <c r="BF4" s="339" t="s">
        <v>52</v>
      </c>
      <c r="BG4" s="117">
        <v>0</v>
      </c>
      <c r="BH4" s="115"/>
      <c r="BI4" s="114">
        <f t="shared" ref="BI4:BI18" si="12">IFERROR(BO4+BU4+CA4,"0")</f>
        <v>0</v>
      </c>
      <c r="BJ4" s="339" t="s">
        <v>52</v>
      </c>
      <c r="BK4" s="115">
        <f>IFERROR(BQ4+BW4+CC4,"0")</f>
        <v>0</v>
      </c>
      <c r="BL4" s="116" t="s">
        <v>53</v>
      </c>
      <c r="BM4" s="339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0</v>
      </c>
      <c r="CD4" s="246" t="s">
        <v>53</v>
      </c>
      <c r="CE4" s="244">
        <v>0</v>
      </c>
      <c r="CF4" s="245" t="s">
        <v>54</v>
      </c>
      <c r="CG4" s="116">
        <v>0</v>
      </c>
      <c r="CH4" s="339" t="s">
        <v>52</v>
      </c>
      <c r="CI4" s="117">
        <v>0</v>
      </c>
      <c r="CJ4" s="140">
        <v>0</v>
      </c>
      <c r="CK4" s="148">
        <f>CL4+CM4</f>
        <v>0</v>
      </c>
      <c r="CL4" s="148">
        <v>0</v>
      </c>
      <c r="CM4" s="148">
        <v>0</v>
      </c>
      <c r="CN4" s="148">
        <f>IFERROR(CJ4+CK4,"0")</f>
        <v>0</v>
      </c>
      <c r="CO4" s="175">
        <v>0</v>
      </c>
      <c r="CP4" s="140">
        <v>0</v>
      </c>
      <c r="CQ4" s="175">
        <v>0</v>
      </c>
      <c r="CR4" s="148">
        <v>0</v>
      </c>
      <c r="CS4" s="148">
        <v>0</v>
      </c>
      <c r="CT4" s="140">
        <v>0</v>
      </c>
      <c r="CU4" s="140">
        <v>0</v>
      </c>
      <c r="CV4" s="148">
        <f>IFERROR((W4*3)+((E4-W4)*2)+EX4,"0")</f>
        <v>0</v>
      </c>
      <c r="CW4" s="140"/>
      <c r="CX4" s="140" t="str">
        <f>IFERROR(100*(EH4/EG4),"0")</f>
        <v>0</v>
      </c>
      <c r="CY4" s="140" t="str">
        <f t="shared" ref="CY4" si="14">IFERROR(DU4/EG4,"0")</f>
        <v>0</v>
      </c>
      <c r="CZ4" s="165" t="str">
        <f t="shared" ref="CZ4" si="15">IFERROR((EG4/(EG25*DD4)),"0")</f>
        <v>0</v>
      </c>
      <c r="DA4" s="164">
        <f t="shared" ref="DA4" si="16">IFERROR(ES4+0.2*(100*ET4*(1-ER4)-ES4),"0")</f>
        <v>0</v>
      </c>
      <c r="DB4" s="141"/>
      <c r="DC4" s="141"/>
      <c r="DD4" s="77" t="str">
        <f>IFERROR(D4/($D$21/10),"0")</f>
        <v>0</v>
      </c>
      <c r="DE4" s="37" t="str">
        <f>IFERROR(E4/G4,"0")</f>
        <v>0</v>
      </c>
      <c r="DF4" s="37" t="str">
        <f>IFERROR(W4/Y4,"0")</f>
        <v>0</v>
      </c>
      <c r="DG4" s="37" t="str">
        <f>IFERROR(((E4-W4)+1.5*W4)/G4,"0")</f>
        <v>0</v>
      </c>
      <c r="DH4" s="37" t="str">
        <f t="shared" ref="DH4" si="17">IFERROR(CJ4/(DD4*(CJ25+CK40)),"0")</f>
        <v>0</v>
      </c>
      <c r="DI4" s="37" t="str">
        <f t="shared" ref="DI4" si="18">IFERROR(CK4/(DD4*(CK25+CJ40)),"0")</f>
        <v>0</v>
      </c>
      <c r="DJ4" s="37" t="str">
        <f t="shared" ref="DJ4" si="19">IFERROR(CU4/(DD4*(M40)),"0")</f>
        <v>0</v>
      </c>
      <c r="DK4" s="37" t="str">
        <f t="shared" ref="DK4" si="20">IFERROR(CS4/(DD4*EG25),"0")</f>
        <v>0</v>
      </c>
      <c r="DL4" s="37" t="str">
        <f t="shared" ref="DL4" si="21">IFERROR(CO4/(DD4*(E25-E4)),"0")</f>
        <v>0</v>
      </c>
      <c r="DM4" s="37" t="str">
        <f t="shared" ref="DM4" si="22">IFERROR((CO4+CP4)/(DD4*EG25),"0")</f>
        <v>0</v>
      </c>
      <c r="DN4" s="37" t="str">
        <f>IFERROR(CT4/EG4,"0")</f>
        <v>0</v>
      </c>
      <c r="DO4" s="37" t="str">
        <f>IFERROR(CO4/CT4,"0")</f>
        <v>0</v>
      </c>
      <c r="DP4" s="66" t="str">
        <f>IFERROR((40/D4)*CQ4,"0")</f>
        <v>0</v>
      </c>
      <c r="DQ4" s="78" t="str">
        <f>IFERROR((40/D4)*CR4,"0")</f>
        <v>0</v>
      </c>
      <c r="DR4" s="6"/>
      <c r="DS4" s="36"/>
      <c r="DT4" s="75" t="str">
        <f>IFERROR(((E4*85.91)+(CS4*53.897)+(W4*51.757)+(EX4*46.845)+(CU4*39.19)+(CJ4*39.19)+(CO4*34.677)+(CK4*14.707)-(CQ4*17.174)-((EY4-EX4)*20.091)-((G4-E4)*39.19)-(CT4*53.897))*(1/D4),"0")</f>
        <v>0</v>
      </c>
      <c r="DU4" s="18" t="str">
        <f t="shared" ref="DU4" si="23">IFERROR((DV4+DX4+DY4)*(1-(CJ25/EZ25)*EA4*EC4)+ED4,"0")</f>
        <v>0</v>
      </c>
      <c r="DV4" s="13" t="str">
        <f>IFERROR(E4*(1-0.5*((CV4-EX4)/(2*G4))*DW4),"0")</f>
        <v>0</v>
      </c>
      <c r="DW4" s="14" t="str">
        <f t="shared" ref="DW4" si="24">IFERROR(((D4/(D25/5))*(1.14*((CO25-CO4)/E25)))+((((CO25/D25)*D4*5-CO4)/((E25/D25)*D4*5-E4))*(1-(D4/(D25/5)))),"0")</f>
        <v>0</v>
      </c>
      <c r="DX4" s="14" t="str">
        <f t="shared" ref="DX4" si="25">IFERROR(0.5*(((CV25-EX25)-(CV4-EX4))/(2*(G25-G4)))*CO4,"0")</f>
        <v>0</v>
      </c>
      <c r="DY4" s="14" t="str">
        <f>IFERROR((1-(1-(EX4/EY4))^2)*0.4*EY4,"0")</f>
        <v>0</v>
      </c>
      <c r="DZ4" s="15" t="str">
        <f t="shared" ref="DZ4" si="26">IFERROR(E25+(1-(1-(EX25/EY25))^2)*EY25*0.4,"0")</f>
        <v>0</v>
      </c>
      <c r="EA4" s="14" t="str">
        <f>IFERROR(((1-EB4)*EC4)/((1-EB4)*EC4+EB4*(1-EC4)),"0")</f>
        <v>0</v>
      </c>
      <c r="EB4" s="14" t="str">
        <f t="shared" ref="EB4" si="27">IFERROR(CJ25/(CJ25+(CN40-CJ40)),"0")</f>
        <v>0</v>
      </c>
      <c r="EC4" s="14" t="str">
        <f t="shared" ref="EC4" si="28">IFERROR(DZ4/((G25+(EY25*0.4))+CT25),"0")</f>
        <v>0</v>
      </c>
      <c r="ED4" s="14">
        <f>IFERROR(CJ4*EA4*EC4,"0")</f>
        <v>0</v>
      </c>
      <c r="EE4" s="19">
        <f>IFERROR((G4-E4)*(1-1.07*EB4),"0")</f>
        <v>0</v>
      </c>
      <c r="EF4" s="67" t="str">
        <f>IFERROR(((1-(EX4/EY4))^2)*0.4*EY4,"0")</f>
        <v>0</v>
      </c>
      <c r="EG4" s="74">
        <f>IFERROR(DU4+EE4+EF4+CT4,"0")</f>
        <v>0</v>
      </c>
      <c r="EH4" s="27" t="str">
        <f>IFERROR((EI4+EJ4+EX4)*(1-(CJ25/DZ4)*EA4*EC4)+EK4,"0")</f>
        <v>0</v>
      </c>
      <c r="EI4" s="25" t="str">
        <f>IFERROR(2*((E4)+(0.5*W4))*(1-0.5*((CV4-EX4)/(2*(G4)))*DW4),"0")</f>
        <v>0</v>
      </c>
      <c r="EJ4" s="25" t="str">
        <f>IFERROR(2*((E25-E4+0.5*(W25-W4))/(E25-E4))*0.5*(((CV25-EX25)-(CV4-EX4))/(2*(G25-G4)))*CO4,"0")</f>
        <v>0</v>
      </c>
      <c r="EK4" s="26" t="str">
        <f t="shared" ref="EK4" si="29">IFERROR(CJ4*EA4*EC4*(CV25/(E25+(1-(1-(EX25/EY25))^2)*0.4*EY25)),"0")</f>
        <v>0</v>
      </c>
      <c r="EL4" s="29" t="str">
        <f>IFERROR((EN4*(1-EM4))/(EN4*(1-EM4)+(1-EN4)*EM4),"0")</f>
        <v>0</v>
      </c>
      <c r="EM4" s="30" t="str">
        <f t="shared" ref="EM4" si="30">IFERROR(CJ40/(CJ40+CK25),"0")</f>
        <v>0</v>
      </c>
      <c r="EN4" s="30" t="str">
        <f t="shared" ref="EN4" si="31">IFERROR(E40/G40,"0")</f>
        <v>0</v>
      </c>
      <c r="EO4" s="31">
        <f>IFERROR(CS4+CU4*EL4*(1-1.07*EM4)+CK4*(1-EL4),"0")</f>
        <v>0</v>
      </c>
      <c r="EP4" s="31" t="str">
        <f t="shared" ref="EP4" si="32">IFERROR((((G40-E40-CU25)/D25)*EL4*(1-1.07*EM4)+((CT40-CS25)/D25))*D4+(CQ4/CQ25)*0.4*EY40*(1-(EX40/EY40))^2,"0")</f>
        <v>0</v>
      </c>
      <c r="EQ4" s="31">
        <f>IFERROR(EO4+EP4,"0")</f>
        <v>0</v>
      </c>
      <c r="ER4" s="93" t="str">
        <f t="shared" ref="ER4" si="33">IFERROR((EQ4*D40)/(EG25*D4),"0")</f>
        <v>0</v>
      </c>
      <c r="ES4" s="109" t="str">
        <f t="shared" ref="ES4" si="34">IFERROR(100*(CV40/EG25),"0")</f>
        <v>0</v>
      </c>
      <c r="ET4" s="32" t="str">
        <f t="shared" ref="ET4" si="35">IFERROR(CV40/(E40+(1-(1-(EX40/EY40))^2)*EY40*0.4),"0")</f>
        <v>0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F18" si="36">D4</f>
        <v>0</v>
      </c>
      <c r="FG4" s="182">
        <f t="shared" ref="FG4:FG18" si="37">E4</f>
        <v>0</v>
      </c>
      <c r="FH4" s="183" t="s">
        <v>52</v>
      </c>
      <c r="FI4" s="184">
        <f>G4</f>
        <v>0</v>
      </c>
      <c r="FJ4" s="193" t="str">
        <f>IFERROR(FG4/FI4,"0")</f>
        <v>0</v>
      </c>
      <c r="FK4" s="185">
        <f t="shared" ref="FK4:FK18" si="38">W4</f>
        <v>0</v>
      </c>
      <c r="FL4" s="183" t="s">
        <v>52</v>
      </c>
      <c r="FM4" s="186">
        <f t="shared" ref="FM4:FM18" si="39">Y4</f>
        <v>0</v>
      </c>
      <c r="FN4" s="193" t="str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S23" si="40">CJ4</f>
        <v>0</v>
      </c>
      <c r="FT4" s="179">
        <f t="shared" ref="FT4:FT23" si="41">CK4</f>
        <v>0</v>
      </c>
      <c r="FU4" s="179">
        <f t="shared" ref="FU4:GC19" si="42">CN4</f>
        <v>0</v>
      </c>
      <c r="FV4" s="187">
        <f t="shared" si="42"/>
        <v>0</v>
      </c>
      <c r="FW4" s="179">
        <f t="shared" si="42"/>
        <v>0</v>
      </c>
      <c r="FX4" s="179">
        <f t="shared" si="42"/>
        <v>0</v>
      </c>
      <c r="FY4" s="179">
        <f t="shared" si="42"/>
        <v>0</v>
      </c>
      <c r="FZ4" s="179">
        <f t="shared" si="42"/>
        <v>0</v>
      </c>
      <c r="GA4" s="179">
        <f t="shared" si="42"/>
        <v>0</v>
      </c>
      <c r="GB4" s="179">
        <f t="shared" si="42"/>
        <v>0</v>
      </c>
      <c r="GC4" s="187">
        <f t="shared" si="42"/>
        <v>0</v>
      </c>
      <c r="GD4" s="203" t="str">
        <f>CX4</f>
        <v>0</v>
      </c>
      <c r="GE4" s="179" t="str">
        <f>CY4</f>
        <v>0</v>
      </c>
      <c r="GF4" s="179" t="str">
        <f>CZ4</f>
        <v>0</v>
      </c>
      <c r="GG4" s="258">
        <f>DA4</f>
        <v>0</v>
      </c>
      <c r="GH4" s="179"/>
      <c r="GJ4" s="82"/>
      <c r="GK4" s="24"/>
      <c r="GL4" s="185" t="e">
        <f>(CQ4/CQ25)*(EY26-EX26)</f>
        <v>#DIV/0!</v>
      </c>
      <c r="GM4" s="185" t="e">
        <f>((E26/G26)*(1-(CJ26/(CJ26+CK25))))/((E26/G26)*(1-(CJ26/(CJ26+CK25)))+((1-(E26/G26)))*(CJ26/(CJ26+CK25)))</f>
        <v>#DIV/0!</v>
      </c>
      <c r="GN4" s="24" t="e">
        <f>GK4+(GL4/10)+(GJ4*GM4*(1-(CJ26/(CJ26+CK25))))+(CK4*(1-GM4))</f>
        <v>#DIV/0!</v>
      </c>
      <c r="GO4" s="213" t="e">
        <f>GN4/(DD4*EG26)</f>
        <v>#DIV/0!</v>
      </c>
    </row>
    <row r="5" spans="1:197" x14ac:dyDescent="0.2">
      <c r="A5" s="139"/>
      <c r="B5" s="89" t="s">
        <v>82</v>
      </c>
      <c r="C5" s="41" t="s">
        <v>206</v>
      </c>
      <c r="D5" s="161">
        <v>0</v>
      </c>
      <c r="E5" s="114">
        <f t="shared" si="0"/>
        <v>0</v>
      </c>
      <c r="F5" s="339" t="s">
        <v>52</v>
      </c>
      <c r="G5" s="115">
        <f t="shared" si="1"/>
        <v>0</v>
      </c>
      <c r="H5" s="116" t="s">
        <v>53</v>
      </c>
      <c r="I5" s="339">
        <f t="shared" ref="I5:I18" si="43">IFERROR(AK5+BM5,"0")</f>
        <v>0</v>
      </c>
      <c r="J5" s="115" t="s">
        <v>54</v>
      </c>
      <c r="K5" s="116">
        <f t="shared" si="2"/>
        <v>0</v>
      </c>
      <c r="L5" s="339" t="s">
        <v>52</v>
      </c>
      <c r="M5" s="115">
        <f t="shared" si="3"/>
        <v>0</v>
      </c>
      <c r="N5" s="116" t="s">
        <v>53</v>
      </c>
      <c r="O5" s="339">
        <f t="shared" si="4"/>
        <v>0</v>
      </c>
      <c r="P5" s="115" t="s">
        <v>54</v>
      </c>
      <c r="Q5" s="116">
        <f t="shared" si="5"/>
        <v>0</v>
      </c>
      <c r="R5" s="339" t="s">
        <v>52</v>
      </c>
      <c r="S5" s="115">
        <f t="shared" ref="S5:S18" si="44">IFERROR(AU5+BW5,"0")</f>
        <v>0</v>
      </c>
      <c r="T5" s="116" t="s">
        <v>53</v>
      </c>
      <c r="U5" s="339">
        <f t="shared" si="6"/>
        <v>0</v>
      </c>
      <c r="V5" s="115" t="s">
        <v>54</v>
      </c>
      <c r="W5" s="116">
        <f t="shared" si="7"/>
        <v>0</v>
      </c>
      <c r="X5" s="339" t="s">
        <v>52</v>
      </c>
      <c r="Y5" s="115">
        <f t="shared" si="8"/>
        <v>0</v>
      </c>
      <c r="Z5" s="116" t="s">
        <v>53</v>
      </c>
      <c r="AA5" s="339">
        <f t="shared" si="9"/>
        <v>0</v>
      </c>
      <c r="AB5" s="115" t="s">
        <v>54</v>
      </c>
      <c r="AC5" s="116">
        <f t="shared" ref="AC5:AC18" si="45">IFERROR((AE5*EZ5),"0")</f>
        <v>0</v>
      </c>
      <c r="AD5" s="339" t="s">
        <v>52</v>
      </c>
      <c r="AE5" s="117">
        <f t="shared" ref="AE5:AE18" si="46">IFERROR((CR5*1),"0")</f>
        <v>0</v>
      </c>
      <c r="AF5" s="341"/>
      <c r="AG5" s="114">
        <f t="shared" ref="AG5:AG17" si="47">IFERROR(AM5+AS5+AY5,"0")</f>
        <v>0</v>
      </c>
      <c r="AH5" s="339" t="s">
        <v>52</v>
      </c>
      <c r="AI5" s="115">
        <f t="shared" si="10"/>
        <v>0</v>
      </c>
      <c r="AJ5" s="116" t="s">
        <v>53</v>
      </c>
      <c r="AK5" s="339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0</v>
      </c>
      <c r="BB5" s="246" t="s">
        <v>53</v>
      </c>
      <c r="BC5" s="244">
        <v>0</v>
      </c>
      <c r="BD5" s="245" t="s">
        <v>54</v>
      </c>
      <c r="BE5" s="116">
        <v>0</v>
      </c>
      <c r="BF5" s="339" t="s">
        <v>52</v>
      </c>
      <c r="BG5" s="117">
        <v>0</v>
      </c>
      <c r="BH5" s="115"/>
      <c r="BI5" s="114">
        <f t="shared" si="12"/>
        <v>0</v>
      </c>
      <c r="BJ5" s="339" t="s">
        <v>52</v>
      </c>
      <c r="BK5" s="115">
        <f t="shared" ref="BK5:BK18" si="48">IFERROR(BQ5+BW5+CC5,"0")</f>
        <v>0</v>
      </c>
      <c r="BL5" s="116" t="s">
        <v>53</v>
      </c>
      <c r="BM5" s="339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339" t="s">
        <v>52</v>
      </c>
      <c r="CI5" s="117">
        <v>0</v>
      </c>
      <c r="CJ5" s="148">
        <v>0</v>
      </c>
      <c r="CK5" s="148">
        <f t="shared" ref="CK5:CK18" si="49">CL5+CM5</f>
        <v>0</v>
      </c>
      <c r="CL5" s="148">
        <v>0</v>
      </c>
      <c r="CM5" s="148">
        <v>0</v>
      </c>
      <c r="CN5" s="148">
        <f t="shared" ref="CN5:CN20" si="50">IFERROR(CJ5+CK5,"0")</f>
        <v>0</v>
      </c>
      <c r="CO5" s="175">
        <v>0</v>
      </c>
      <c r="CP5" s="140">
        <v>0</v>
      </c>
      <c r="CQ5" s="175">
        <v>0</v>
      </c>
      <c r="CR5" s="148">
        <v>0</v>
      </c>
      <c r="CS5" s="148">
        <v>0</v>
      </c>
      <c r="CT5" s="140">
        <v>0</v>
      </c>
      <c r="CU5" s="140">
        <v>0</v>
      </c>
      <c r="CV5" s="148">
        <f t="shared" ref="CV5:CV18" si="51">IFERROR((W5*3)+((E5-W5)*2)+EX5,"0")</f>
        <v>0</v>
      </c>
      <c r="CW5" s="140"/>
      <c r="CX5" s="140" t="str">
        <f t="shared" ref="CX5:CX18" si="52">IFERROR(100*(EH5/EG5),"0")</f>
        <v>0</v>
      </c>
      <c r="CY5" s="140" t="str">
        <f t="shared" ref="CY5:CY18" si="53">IFERROR(DU5/EG5,"0")</f>
        <v>0</v>
      </c>
      <c r="CZ5" s="165" t="str">
        <f t="shared" ref="CZ5:CZ18" si="54">IFERROR((EG5/(EG26*DD5)),"0")</f>
        <v>0</v>
      </c>
      <c r="DA5" s="164">
        <f t="shared" ref="DA5:DA18" si="55">IFERROR(ES5+0.2*(100*ET5*(1-ER5)-ES5),"0")</f>
        <v>0</v>
      </c>
      <c r="DB5" s="141"/>
      <c r="DC5" s="141"/>
      <c r="DD5" s="77" t="str">
        <f t="shared" ref="DD5:DD18" si="56">IFERROR(D5/($D$21/10),"0")</f>
        <v>0</v>
      </c>
      <c r="DE5" s="37" t="str">
        <f t="shared" ref="DE5:DE18" si="57">IFERROR(E5/G5,"0")</f>
        <v>0</v>
      </c>
      <c r="DF5" s="37" t="str">
        <f t="shared" ref="DF5:DF18" si="58">IFERROR(W5/Y5,"0")</f>
        <v>0</v>
      </c>
      <c r="DG5" s="37" t="str">
        <f t="shared" ref="DG5:DG18" si="59">IFERROR(((E5-W5)+1.5*W5)/G5,"0")</f>
        <v>0</v>
      </c>
      <c r="DH5" s="37" t="str">
        <f t="shared" ref="DH5:DH18" si="60">IFERROR(CJ5/(DD5*(CJ26+CK41)),"0")</f>
        <v>0</v>
      </c>
      <c r="DI5" s="37" t="str">
        <f t="shared" ref="DI5:DI18" si="61">IFERROR(CK5/(DD5*(CK26+CJ41)),"0")</f>
        <v>0</v>
      </c>
      <c r="DJ5" s="37" t="str">
        <f t="shared" ref="DJ5:DJ18" si="62">IFERROR(CU5/(DD5*(M41)),"0")</f>
        <v>0</v>
      </c>
      <c r="DK5" s="37" t="str">
        <f t="shared" ref="DK5:DK18" si="63">IFERROR(CS5/(DD5*EG26),"0")</f>
        <v>0</v>
      </c>
      <c r="DL5" s="37" t="str">
        <f t="shared" ref="DL5:DL18" si="64">IFERROR(CO5/(DD5*(E26-E5)),"0")</f>
        <v>0</v>
      </c>
      <c r="DM5" s="37" t="str">
        <f t="shared" ref="DM5:DM18" si="65">IFERROR((CO5+CP5)/(DD5*EG26),"0")</f>
        <v>0</v>
      </c>
      <c r="DN5" s="37" t="str">
        <f t="shared" ref="DN5:DN18" si="66">IFERROR(CT5/EG5,"0")</f>
        <v>0</v>
      </c>
      <c r="DO5" s="37" t="str">
        <f t="shared" ref="DO5:DO18" si="67">IFERROR(CO5/CT5,"0")</f>
        <v>0</v>
      </c>
      <c r="DP5" s="66" t="str">
        <f t="shared" ref="DP5:DP18" si="68">IFERROR((40/D5)*CQ5,"0")</f>
        <v>0</v>
      </c>
      <c r="DQ5" s="78" t="str">
        <f t="shared" ref="DQ5:DQ18" si="69">IFERROR((40/D5)*CR5,"0")</f>
        <v>0</v>
      </c>
      <c r="DR5" s="6"/>
      <c r="DS5" s="36"/>
      <c r="DT5" s="75" t="str">
        <f t="shared" ref="DT5:DT18" si="70">IFERROR(((E5*85.91)+(CS5*53.897)+(W5*51.757)+(EX5*46.845)+(CU5*39.19)+(CJ5*39.19)+(CO5*34.677)+(CK5*14.707)-(CQ5*17.174)-((EY5-EX5)*20.091)-((G5-E5)*39.19)-(CT5*53.897))*(1/D5),"0")</f>
        <v>0</v>
      </c>
      <c r="DU5" s="18" t="str">
        <f t="shared" ref="DU5:DU20" si="71">IFERROR((DV5+DX5+DY5)*(1-(CJ26/EZ26)*EA5*EC5)+ED5,"0")</f>
        <v>0</v>
      </c>
      <c r="DV5" s="13" t="str">
        <f t="shared" ref="DV5:DV20" si="72">IFERROR(E5*(1-0.5*((CV5-EX5)/(2*G5))*DW5),"0")</f>
        <v>0</v>
      </c>
      <c r="DW5" s="14" t="str">
        <f t="shared" ref="DW5:DW20" si="73">IFERROR(((D5/(D26/5))*(1.14*((CO26-CO5)/E26)))+((((CO26/D26)*D5*5-CO5)/((E26/D26)*D5*5-E5))*(1-(D5/(D26/5)))),"0")</f>
        <v>0</v>
      </c>
      <c r="DX5" s="14" t="str">
        <f t="shared" ref="DX5:DX20" si="74">IFERROR(0.5*(((CV26-EX26)-(CV5-EX5))/(2*(G26-G5)))*CO5,"0")</f>
        <v>0</v>
      </c>
      <c r="DY5" s="14" t="str">
        <f t="shared" ref="DY5:DY20" si="75">IFERROR((1-(1-(EX5/EY5))^2)*0.4*EY5,"0")</f>
        <v>0</v>
      </c>
      <c r="DZ5" s="15" t="str">
        <f t="shared" ref="DZ5:DZ20" si="76">IFERROR(E26+(1-(1-(EX26/EY26))^2)*EY26*0.4,"0")</f>
        <v>0</v>
      </c>
      <c r="EA5" s="14" t="str">
        <f t="shared" ref="EA5:EA20" si="77">IFERROR(((1-EB5)*EC5)/((1-EB5)*EC5+EB5*(1-EC5)),"0")</f>
        <v>0</v>
      </c>
      <c r="EB5" s="14" t="str">
        <f t="shared" ref="EB5:EB20" si="78">IFERROR(CJ26/(CJ26+(CN41-CJ41)),"0")</f>
        <v>0</v>
      </c>
      <c r="EC5" s="14" t="str">
        <f t="shared" ref="EC5:EC20" si="79">IFERROR(DZ5/((G26+(EY26*0.4))+CT26),"0")</f>
        <v>0</v>
      </c>
      <c r="ED5" s="14">
        <f t="shared" ref="ED5:ED20" si="80">IFERROR(CJ5*EA5*EC5,"0")</f>
        <v>0</v>
      </c>
      <c r="EE5" s="19">
        <f t="shared" ref="EE5:EE20" si="81">IFERROR((G5-E5)*(1-1.07*EB5),"0")</f>
        <v>0</v>
      </c>
      <c r="EF5" s="67" t="str">
        <f t="shared" ref="EF5:EF20" si="82">IFERROR(((1-(EX5/EY5))^2)*0.4*EY5,"0")</f>
        <v>0</v>
      </c>
      <c r="EG5" s="74">
        <f t="shared" ref="EG5:EG20" si="83">IFERROR(DU5+EE5+EF5+CT5,"0")</f>
        <v>0</v>
      </c>
      <c r="EH5" s="27" t="str">
        <f t="shared" ref="EH5:EH20" si="84">IFERROR((EI5+EJ5+EX5)*(1-(CJ26/DZ5)*EA5*EC5)+EK5,"0")</f>
        <v>0</v>
      </c>
      <c r="EI5" s="25" t="str">
        <f t="shared" ref="EI5:EI20" si="85">IFERROR(2*((E5)+(0.5*W5))*(1-0.5*((CV5-EX5)/(2*(G5)))*DW5),"0")</f>
        <v>0</v>
      </c>
      <c r="EJ5" s="25" t="str">
        <f t="shared" ref="EJ5:EJ20" si="86">IFERROR(2*((E26-E5+0.5*(W26-W5))/(E26-E5))*0.5*(((CV26-EX26)-(CV5-EX5))/(2*(G26-G5)))*CO5,"0")</f>
        <v>0</v>
      </c>
      <c r="EK5" s="26" t="str">
        <f t="shared" ref="EK5:EK20" si="87">IFERROR(CJ5*EA5*EC5*(CV26/(E26+(1-(1-(EX26/EY26))^2)*0.4*EY26)),"0")</f>
        <v>0</v>
      </c>
      <c r="EL5" s="29" t="str">
        <f t="shared" ref="EL5:EL20" si="88">IFERROR((EN5*(1-EM5))/(EN5*(1-EM5)+(1-EN5)*EM5),"0")</f>
        <v>0</v>
      </c>
      <c r="EM5" s="30" t="str">
        <f t="shared" ref="EM5:EM20" si="89">IFERROR(CJ41/(CJ41+CK26),"0")</f>
        <v>0</v>
      </c>
      <c r="EN5" s="30" t="str">
        <f t="shared" ref="EN5:EN20" si="90">IFERROR(E41/G41,"0")</f>
        <v>0</v>
      </c>
      <c r="EO5" s="31">
        <f t="shared" ref="EO5:EO20" si="91">IFERROR(CS5+CU5*EL5*(1-1.07*EM5)+CK5*(1-EL5),"0")</f>
        <v>0</v>
      </c>
      <c r="EP5" s="31" t="str">
        <f t="shared" ref="EP5:EP20" si="92">IFERROR((((G41-E41-CU26)/D26)*EL5*(1-1.07*EM5)+((CT41-CS26)/D26))*D5+(CQ5/CQ26)*0.4*EY41*(1-(EX41/EY41))^2,"0")</f>
        <v>0</v>
      </c>
      <c r="EQ5" s="31">
        <f t="shared" ref="EQ5:EQ20" si="93">IFERROR(EO5+EP5,"0")</f>
        <v>0</v>
      </c>
      <c r="ER5" s="93" t="str">
        <f t="shared" ref="ER5:ER20" si="94">IFERROR((EQ5*D41)/(EG26*D5),"0")</f>
        <v>0</v>
      </c>
      <c r="ES5" s="109" t="str">
        <f t="shared" ref="ES5:ES20" si="95">IFERROR(100*(CV41/EG26),"0")</f>
        <v>0</v>
      </c>
      <c r="ET5" s="32" t="str">
        <f t="shared" ref="ET5:ET20" si="96">IFERROR(CV41/(E41+(1-(1-(EX41/EY41))^2)*EY41*0.4),"0")</f>
        <v>0</v>
      </c>
      <c r="EV5" s="277"/>
      <c r="EW5" s="278"/>
      <c r="EX5" s="37">
        <f>AC5</f>
        <v>0</v>
      </c>
      <c r="EY5" s="72">
        <f t="shared" ref="EY5:EY16" si="97">AE5</f>
        <v>0</v>
      </c>
      <c r="EZ5" s="7">
        <v>0.75</v>
      </c>
      <c r="FB5" s="41"/>
      <c r="FC5" s="139"/>
      <c r="FD5" s="345" t="s">
        <v>82</v>
      </c>
      <c r="FE5" s="41" t="s">
        <v>234</v>
      </c>
      <c r="FF5" s="147">
        <f t="shared" si="36"/>
        <v>0</v>
      </c>
      <c r="FG5" s="144">
        <f t="shared" si="37"/>
        <v>0</v>
      </c>
      <c r="FH5" s="339" t="s">
        <v>52</v>
      </c>
      <c r="FI5" s="145">
        <f t="shared" ref="FI5:FI23" si="98">G5</f>
        <v>0</v>
      </c>
      <c r="FJ5" s="194" t="str">
        <f t="shared" ref="FJ5:FJ23" si="99">IFERROR(FG5/FI5,"0")</f>
        <v>0</v>
      </c>
      <c r="FK5" s="110">
        <f t="shared" si="38"/>
        <v>0</v>
      </c>
      <c r="FL5" s="339" t="s">
        <v>52</v>
      </c>
      <c r="FM5" s="168">
        <f t="shared" si="39"/>
        <v>0</v>
      </c>
      <c r="FN5" s="194" t="str">
        <f t="shared" ref="FN5:FN23" si="100">IFERROR(FK5/FM5,"0")</f>
        <v>0</v>
      </c>
      <c r="FO5" s="262">
        <f t="shared" ref="FO5:FO18" si="101">EV5</f>
        <v>0</v>
      </c>
      <c r="FP5" s="339" t="s">
        <v>52</v>
      </c>
      <c r="FQ5" s="274">
        <f t="shared" ref="FQ5:FQ17" si="102">EW5</f>
        <v>0</v>
      </c>
      <c r="FR5" s="197" t="str">
        <f t="shared" ref="FR5:FR23" si="103">IFERROR(FO5/FQ5,"0")</f>
        <v>0</v>
      </c>
      <c r="FS5" s="140">
        <f t="shared" si="40"/>
        <v>0</v>
      </c>
      <c r="FT5" s="140">
        <f t="shared" si="41"/>
        <v>0</v>
      </c>
      <c r="FU5" s="140">
        <f t="shared" si="42"/>
        <v>0</v>
      </c>
      <c r="FV5" s="175">
        <f t="shared" si="42"/>
        <v>0</v>
      </c>
      <c r="FW5" s="140">
        <f t="shared" si="42"/>
        <v>0</v>
      </c>
      <c r="FX5" s="140">
        <f t="shared" si="42"/>
        <v>0</v>
      </c>
      <c r="FY5" s="140">
        <f t="shared" si="42"/>
        <v>0</v>
      </c>
      <c r="FZ5" s="140">
        <f t="shared" si="42"/>
        <v>0</v>
      </c>
      <c r="GA5" s="140">
        <f t="shared" si="42"/>
        <v>0</v>
      </c>
      <c r="GB5" s="140">
        <f t="shared" si="42"/>
        <v>0</v>
      </c>
      <c r="GC5" s="175">
        <f t="shared" si="42"/>
        <v>0</v>
      </c>
      <c r="GD5" s="202" t="str">
        <f t="shared" ref="GD5:GG18" si="104">CX5</f>
        <v>0</v>
      </c>
      <c r="GE5" s="140" t="str">
        <f t="shared" si="104"/>
        <v>0</v>
      </c>
      <c r="GF5" s="140" t="str">
        <f t="shared" si="104"/>
        <v>0</v>
      </c>
      <c r="GG5" s="259">
        <f t="shared" si="104"/>
        <v>0</v>
      </c>
      <c r="GH5" s="140"/>
      <c r="GJ5" s="82"/>
      <c r="GK5" s="24"/>
      <c r="GL5" s="185" t="e">
        <f>(CQ5/CQ27)*(EY28-EX28)</f>
        <v>#DIV/0!</v>
      </c>
      <c r="GM5" s="185" t="e">
        <f>((E28/G28)*(1-(CJ28/(CJ28+CK27))))/((E28/G28)*(1-(CJ28/(CJ28+CK27)))+((1-(E28/G28)))*(CJ28/(CJ28+CK27)))</f>
        <v>#DIV/0!</v>
      </c>
      <c r="GN5" s="24" t="e">
        <f>GK5+(GL5/10)+(GJ5*GM5*(1-(CJ28/(CJ28+CK27))))+(CK5*(1-GM5))</f>
        <v>#DIV/0!</v>
      </c>
      <c r="GO5" s="213" t="e">
        <f>GN5/(DD5*EG28)</f>
        <v>#DIV/0!</v>
      </c>
    </row>
    <row r="6" spans="1:197" x14ac:dyDescent="0.2">
      <c r="A6" s="139"/>
      <c r="B6" s="89" t="s">
        <v>82</v>
      </c>
      <c r="C6" s="41" t="s">
        <v>207</v>
      </c>
      <c r="D6" s="161">
        <v>0</v>
      </c>
      <c r="E6" s="114">
        <f t="shared" si="0"/>
        <v>0</v>
      </c>
      <c r="F6" s="339" t="s">
        <v>52</v>
      </c>
      <c r="G6" s="115">
        <f t="shared" si="1"/>
        <v>0</v>
      </c>
      <c r="H6" s="116" t="s">
        <v>53</v>
      </c>
      <c r="I6" s="339">
        <f t="shared" si="43"/>
        <v>0</v>
      </c>
      <c r="J6" s="115" t="s">
        <v>54</v>
      </c>
      <c r="K6" s="116">
        <f t="shared" si="2"/>
        <v>0</v>
      </c>
      <c r="L6" s="339" t="s">
        <v>52</v>
      </c>
      <c r="M6" s="115">
        <f t="shared" si="3"/>
        <v>0</v>
      </c>
      <c r="N6" s="116" t="s">
        <v>53</v>
      </c>
      <c r="O6" s="339">
        <f t="shared" si="4"/>
        <v>0</v>
      </c>
      <c r="P6" s="115" t="s">
        <v>54</v>
      </c>
      <c r="Q6" s="116">
        <f t="shared" si="5"/>
        <v>0</v>
      </c>
      <c r="R6" s="339" t="s">
        <v>52</v>
      </c>
      <c r="S6" s="115">
        <f t="shared" si="44"/>
        <v>0</v>
      </c>
      <c r="T6" s="116" t="s">
        <v>53</v>
      </c>
      <c r="U6" s="339">
        <f t="shared" si="6"/>
        <v>0</v>
      </c>
      <c r="V6" s="115" t="s">
        <v>54</v>
      </c>
      <c r="W6" s="116">
        <f t="shared" si="7"/>
        <v>0</v>
      </c>
      <c r="X6" s="339" t="s">
        <v>52</v>
      </c>
      <c r="Y6" s="115">
        <f t="shared" si="8"/>
        <v>0</v>
      </c>
      <c r="Z6" s="116" t="s">
        <v>53</v>
      </c>
      <c r="AA6" s="339">
        <f t="shared" si="9"/>
        <v>0</v>
      </c>
      <c r="AB6" s="115" t="s">
        <v>54</v>
      </c>
      <c r="AC6" s="116">
        <f t="shared" si="45"/>
        <v>0</v>
      </c>
      <c r="AD6" s="339" t="s">
        <v>52</v>
      </c>
      <c r="AE6" s="117">
        <f t="shared" si="46"/>
        <v>0</v>
      </c>
      <c r="AF6" s="341"/>
      <c r="AG6" s="114">
        <f t="shared" si="47"/>
        <v>0</v>
      </c>
      <c r="AH6" s="339" t="s">
        <v>52</v>
      </c>
      <c r="AI6" s="115">
        <f t="shared" si="10"/>
        <v>0</v>
      </c>
      <c r="AJ6" s="116" t="s">
        <v>53</v>
      </c>
      <c r="AK6" s="339">
        <f t="shared" si="11"/>
        <v>0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339" t="s">
        <v>52</v>
      </c>
      <c r="BG6" s="117">
        <v>0</v>
      </c>
      <c r="BH6" s="115"/>
      <c r="BI6" s="114">
        <f t="shared" si="12"/>
        <v>0</v>
      </c>
      <c r="BJ6" s="339" t="s">
        <v>52</v>
      </c>
      <c r="BK6" s="115">
        <f t="shared" si="48"/>
        <v>0</v>
      </c>
      <c r="BL6" s="116" t="s">
        <v>53</v>
      </c>
      <c r="BM6" s="339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339" t="s">
        <v>52</v>
      </c>
      <c r="CI6" s="117">
        <v>0</v>
      </c>
      <c r="CJ6" s="140">
        <v>0</v>
      </c>
      <c r="CK6" s="148">
        <f t="shared" si="49"/>
        <v>0</v>
      </c>
      <c r="CL6" s="148">
        <v>0</v>
      </c>
      <c r="CM6" s="148">
        <v>0</v>
      </c>
      <c r="CN6" s="148">
        <f t="shared" si="50"/>
        <v>0</v>
      </c>
      <c r="CO6" s="175">
        <v>0</v>
      </c>
      <c r="CP6" s="140">
        <v>0</v>
      </c>
      <c r="CQ6" s="175">
        <v>0</v>
      </c>
      <c r="CR6" s="148">
        <v>0</v>
      </c>
      <c r="CS6" s="148">
        <v>0</v>
      </c>
      <c r="CT6" s="140">
        <v>0</v>
      </c>
      <c r="CU6" s="140">
        <v>0</v>
      </c>
      <c r="CV6" s="148">
        <f t="shared" si="51"/>
        <v>0</v>
      </c>
      <c r="CW6" s="140"/>
      <c r="CX6" s="140" t="str">
        <f t="shared" si="52"/>
        <v>0</v>
      </c>
      <c r="CY6" s="140" t="str">
        <f t="shared" si="53"/>
        <v>0</v>
      </c>
      <c r="CZ6" s="165" t="str">
        <f t="shared" si="54"/>
        <v>0</v>
      </c>
      <c r="DA6" s="164">
        <f t="shared" si="55"/>
        <v>0</v>
      </c>
      <c r="DB6" s="141"/>
      <c r="DC6" s="141"/>
      <c r="DD6" s="77" t="str">
        <f t="shared" si="56"/>
        <v>0</v>
      </c>
      <c r="DE6" s="37" t="str">
        <f t="shared" si="57"/>
        <v>0</v>
      </c>
      <c r="DF6" s="37" t="str">
        <f t="shared" si="58"/>
        <v>0</v>
      </c>
      <c r="DG6" s="37" t="str">
        <f t="shared" si="59"/>
        <v>0</v>
      </c>
      <c r="DH6" s="37" t="str">
        <f t="shared" si="60"/>
        <v>0</v>
      </c>
      <c r="DI6" s="37" t="str">
        <f t="shared" si="61"/>
        <v>0</v>
      </c>
      <c r="DJ6" s="37" t="str">
        <f t="shared" si="62"/>
        <v>0</v>
      </c>
      <c r="DK6" s="37" t="str">
        <f t="shared" si="63"/>
        <v>0</v>
      </c>
      <c r="DL6" s="37" t="str">
        <f t="shared" si="64"/>
        <v>0</v>
      </c>
      <c r="DM6" s="37" t="str">
        <f t="shared" si="65"/>
        <v>0</v>
      </c>
      <c r="DN6" s="37" t="str">
        <f t="shared" si="66"/>
        <v>0</v>
      </c>
      <c r="DO6" s="37" t="str">
        <f t="shared" si="67"/>
        <v>0</v>
      </c>
      <c r="DP6" s="66" t="str">
        <f t="shared" si="68"/>
        <v>0</v>
      </c>
      <c r="DQ6" s="78" t="str">
        <f t="shared" si="69"/>
        <v>0</v>
      </c>
      <c r="DR6" s="6"/>
      <c r="DS6" s="36"/>
      <c r="DT6" s="75" t="str">
        <f t="shared" si="70"/>
        <v>0</v>
      </c>
      <c r="DU6" s="18" t="str">
        <f t="shared" si="71"/>
        <v>0</v>
      </c>
      <c r="DV6" s="13" t="str">
        <f t="shared" si="72"/>
        <v>0</v>
      </c>
      <c r="DW6" s="14" t="str">
        <f t="shared" si="73"/>
        <v>0</v>
      </c>
      <c r="DX6" s="14" t="str">
        <f t="shared" si="74"/>
        <v>0</v>
      </c>
      <c r="DY6" s="14" t="str">
        <f t="shared" si="75"/>
        <v>0</v>
      </c>
      <c r="DZ6" s="15" t="str">
        <f t="shared" si="76"/>
        <v>0</v>
      </c>
      <c r="EA6" s="14" t="str">
        <f t="shared" si="77"/>
        <v>0</v>
      </c>
      <c r="EB6" s="14" t="str">
        <f t="shared" si="78"/>
        <v>0</v>
      </c>
      <c r="EC6" s="14" t="str">
        <f t="shared" si="79"/>
        <v>0</v>
      </c>
      <c r="ED6" s="14">
        <f t="shared" si="80"/>
        <v>0</v>
      </c>
      <c r="EE6" s="19">
        <f t="shared" si="81"/>
        <v>0</v>
      </c>
      <c r="EF6" s="67" t="str">
        <f t="shared" si="82"/>
        <v>0</v>
      </c>
      <c r="EG6" s="74">
        <f t="shared" si="83"/>
        <v>0</v>
      </c>
      <c r="EH6" s="27" t="str">
        <f t="shared" si="84"/>
        <v>0</v>
      </c>
      <c r="EI6" s="25" t="str">
        <f t="shared" si="85"/>
        <v>0</v>
      </c>
      <c r="EJ6" s="25" t="str">
        <f t="shared" si="86"/>
        <v>0</v>
      </c>
      <c r="EK6" s="26" t="str">
        <f t="shared" si="87"/>
        <v>0</v>
      </c>
      <c r="EL6" s="29" t="str">
        <f t="shared" si="88"/>
        <v>0</v>
      </c>
      <c r="EM6" s="30" t="str">
        <f t="shared" si="89"/>
        <v>0</v>
      </c>
      <c r="EN6" s="30" t="str">
        <f t="shared" si="90"/>
        <v>0</v>
      </c>
      <c r="EO6" s="31">
        <f t="shared" si="91"/>
        <v>0</v>
      </c>
      <c r="EP6" s="31" t="str">
        <f t="shared" si="92"/>
        <v>0</v>
      </c>
      <c r="EQ6" s="31">
        <f t="shared" si="93"/>
        <v>0</v>
      </c>
      <c r="ER6" s="93" t="str">
        <f t="shared" si="94"/>
        <v>0</v>
      </c>
      <c r="ES6" s="109" t="str">
        <f t="shared" si="95"/>
        <v>0</v>
      </c>
      <c r="ET6" s="32" t="str">
        <f t="shared" si="96"/>
        <v>0</v>
      </c>
      <c r="EV6" s="277"/>
      <c r="EW6" s="278"/>
      <c r="EX6" s="37">
        <f t="shared" ref="EX6:EX16" si="105">AC6</f>
        <v>0</v>
      </c>
      <c r="EY6" s="72">
        <f t="shared" si="97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0</v>
      </c>
      <c r="FG6" s="182">
        <f t="shared" si="37"/>
        <v>0</v>
      </c>
      <c r="FH6" s="183" t="s">
        <v>52</v>
      </c>
      <c r="FI6" s="184">
        <f t="shared" si="98"/>
        <v>0</v>
      </c>
      <c r="FJ6" s="193" t="str">
        <f t="shared" si="99"/>
        <v>0</v>
      </c>
      <c r="FK6" s="185">
        <f t="shared" si="38"/>
        <v>0</v>
      </c>
      <c r="FL6" s="183" t="s">
        <v>52</v>
      </c>
      <c r="FM6" s="186">
        <f t="shared" si="39"/>
        <v>0</v>
      </c>
      <c r="FN6" s="193" t="str">
        <f t="shared" si="100"/>
        <v>0</v>
      </c>
      <c r="FO6" s="261">
        <f t="shared" si="101"/>
        <v>0</v>
      </c>
      <c r="FP6" s="183" t="s">
        <v>52</v>
      </c>
      <c r="FQ6" s="268">
        <f t="shared" si="102"/>
        <v>0</v>
      </c>
      <c r="FR6" s="196" t="str">
        <f t="shared" si="103"/>
        <v>0</v>
      </c>
      <c r="FS6" s="179">
        <f t="shared" si="40"/>
        <v>0</v>
      </c>
      <c r="FT6" s="179">
        <f t="shared" si="41"/>
        <v>0</v>
      </c>
      <c r="FU6" s="179">
        <f t="shared" si="42"/>
        <v>0</v>
      </c>
      <c r="FV6" s="187">
        <f t="shared" si="42"/>
        <v>0</v>
      </c>
      <c r="FW6" s="179">
        <f t="shared" si="42"/>
        <v>0</v>
      </c>
      <c r="FX6" s="179">
        <f t="shared" si="42"/>
        <v>0</v>
      </c>
      <c r="FY6" s="179">
        <f t="shared" si="42"/>
        <v>0</v>
      </c>
      <c r="FZ6" s="179">
        <f t="shared" si="42"/>
        <v>0</v>
      </c>
      <c r="GA6" s="179">
        <f t="shared" si="42"/>
        <v>0</v>
      </c>
      <c r="GB6" s="179">
        <f t="shared" si="42"/>
        <v>0</v>
      </c>
      <c r="GC6" s="187">
        <f t="shared" si="42"/>
        <v>0</v>
      </c>
      <c r="GD6" s="203" t="str">
        <f t="shared" si="104"/>
        <v>0</v>
      </c>
      <c r="GE6" s="179" t="str">
        <f t="shared" si="104"/>
        <v>0</v>
      </c>
      <c r="GF6" s="179" t="str">
        <f t="shared" si="104"/>
        <v>0</v>
      </c>
      <c r="GG6" s="258">
        <f t="shared" si="104"/>
        <v>0</v>
      </c>
      <c r="GH6" s="179"/>
      <c r="GJ6" s="82"/>
      <c r="GK6" s="24"/>
      <c r="GL6" s="185" t="e">
        <f>(CQ6/CQ29)*(EY30-EX30)</f>
        <v>#DIV/0!</v>
      </c>
      <c r="GM6" s="185" t="e">
        <f>((E30/G30)*(1-(CJ30/(CJ30+CK29))))/((E30/G30)*(1-(CJ30/(CJ30+CK29)))+((1-(E30/G30)))*(CJ30/(CJ30+CK29)))</f>
        <v>#DIV/0!</v>
      </c>
      <c r="GN6" s="24" t="e">
        <f>GK6+(GL6/10)+(GJ6*GM6*(1-(CJ30/(CJ30+CK29))))+(CK6*(1-GM6))</f>
        <v>#DIV/0!</v>
      </c>
      <c r="GO6" s="213" t="e">
        <f>GN6/(DD6*EG30)</f>
        <v>#DIV/0!</v>
      </c>
    </row>
    <row r="7" spans="1:197" x14ac:dyDescent="0.2">
      <c r="A7" s="139"/>
      <c r="B7" s="89" t="s">
        <v>82</v>
      </c>
      <c r="C7" s="41" t="s">
        <v>175</v>
      </c>
      <c r="D7" s="161">
        <v>0</v>
      </c>
      <c r="E7" s="114">
        <f t="shared" si="0"/>
        <v>0</v>
      </c>
      <c r="F7" s="339" t="s">
        <v>52</v>
      </c>
      <c r="G7" s="115">
        <f t="shared" si="1"/>
        <v>0</v>
      </c>
      <c r="H7" s="116" t="s">
        <v>53</v>
      </c>
      <c r="I7" s="339">
        <f t="shared" si="43"/>
        <v>0</v>
      </c>
      <c r="J7" s="115" t="s">
        <v>54</v>
      </c>
      <c r="K7" s="116">
        <f t="shared" si="2"/>
        <v>0</v>
      </c>
      <c r="L7" s="339" t="s">
        <v>52</v>
      </c>
      <c r="M7" s="115">
        <f t="shared" si="3"/>
        <v>0</v>
      </c>
      <c r="N7" s="116" t="s">
        <v>53</v>
      </c>
      <c r="O7" s="339">
        <f t="shared" si="4"/>
        <v>0</v>
      </c>
      <c r="P7" s="115" t="s">
        <v>54</v>
      </c>
      <c r="Q7" s="116">
        <f t="shared" si="5"/>
        <v>0</v>
      </c>
      <c r="R7" s="339" t="s">
        <v>52</v>
      </c>
      <c r="S7" s="115">
        <f t="shared" si="44"/>
        <v>0</v>
      </c>
      <c r="T7" s="116" t="s">
        <v>53</v>
      </c>
      <c r="U7" s="339">
        <f t="shared" si="6"/>
        <v>0</v>
      </c>
      <c r="V7" s="115" t="s">
        <v>54</v>
      </c>
      <c r="W7" s="116">
        <f t="shared" si="7"/>
        <v>0</v>
      </c>
      <c r="X7" s="339" t="s">
        <v>52</v>
      </c>
      <c r="Y7" s="115">
        <f t="shared" si="8"/>
        <v>0</v>
      </c>
      <c r="Z7" s="116" t="s">
        <v>53</v>
      </c>
      <c r="AA7" s="339">
        <f t="shared" si="9"/>
        <v>0</v>
      </c>
      <c r="AB7" s="115" t="s">
        <v>54</v>
      </c>
      <c r="AC7" s="116">
        <f t="shared" si="45"/>
        <v>0</v>
      </c>
      <c r="AD7" s="339" t="s">
        <v>52</v>
      </c>
      <c r="AE7" s="117">
        <f t="shared" si="46"/>
        <v>0</v>
      </c>
      <c r="AF7" s="341"/>
      <c r="AG7" s="114">
        <f>IFERROR(AM7+AS7+AY7,"0")</f>
        <v>0</v>
      </c>
      <c r="AH7" s="339" t="s">
        <v>52</v>
      </c>
      <c r="AI7" s="115">
        <f t="shared" si="10"/>
        <v>0</v>
      </c>
      <c r="AJ7" s="116" t="s">
        <v>53</v>
      </c>
      <c r="AK7" s="339">
        <f t="shared" si="11"/>
        <v>0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0</v>
      </c>
      <c r="AZ7" s="244" t="s">
        <v>52</v>
      </c>
      <c r="BA7" s="245">
        <v>0</v>
      </c>
      <c r="BB7" s="246" t="s">
        <v>53</v>
      </c>
      <c r="BC7" s="244">
        <v>0</v>
      </c>
      <c r="BD7" s="245" t="s">
        <v>54</v>
      </c>
      <c r="BE7" s="116">
        <v>0</v>
      </c>
      <c r="BF7" s="339" t="s">
        <v>52</v>
      </c>
      <c r="BG7" s="117">
        <v>0</v>
      </c>
      <c r="BH7" s="115"/>
      <c r="BI7" s="114">
        <f>IFERROR(BO7+BU7+CA7,"0")</f>
        <v>0</v>
      </c>
      <c r="BJ7" s="339" t="s">
        <v>52</v>
      </c>
      <c r="BK7" s="115">
        <f t="shared" si="48"/>
        <v>0</v>
      </c>
      <c r="BL7" s="116" t="s">
        <v>53</v>
      </c>
      <c r="BM7" s="339">
        <f t="shared" si="13"/>
        <v>0</v>
      </c>
      <c r="BN7" s="115" t="s">
        <v>54</v>
      </c>
      <c r="BO7" s="246">
        <v>0</v>
      </c>
      <c r="BP7" s="244" t="s">
        <v>52</v>
      </c>
      <c r="BQ7" s="245">
        <v>0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0</v>
      </c>
      <c r="CD7" s="246" t="s">
        <v>53</v>
      </c>
      <c r="CE7" s="244">
        <v>0</v>
      </c>
      <c r="CF7" s="245" t="s">
        <v>54</v>
      </c>
      <c r="CG7" s="116">
        <v>0</v>
      </c>
      <c r="CH7" s="339" t="s">
        <v>52</v>
      </c>
      <c r="CI7" s="117">
        <v>0</v>
      </c>
      <c r="CJ7" s="140">
        <v>0</v>
      </c>
      <c r="CK7" s="148">
        <f t="shared" si="49"/>
        <v>0</v>
      </c>
      <c r="CL7" s="148">
        <v>0</v>
      </c>
      <c r="CM7" s="148">
        <v>0</v>
      </c>
      <c r="CN7" s="148">
        <f t="shared" si="50"/>
        <v>0</v>
      </c>
      <c r="CO7" s="175">
        <v>0</v>
      </c>
      <c r="CP7" s="140">
        <v>0</v>
      </c>
      <c r="CQ7" s="175">
        <v>0</v>
      </c>
      <c r="CR7" s="148">
        <v>0</v>
      </c>
      <c r="CS7" s="148">
        <v>0</v>
      </c>
      <c r="CT7" s="140">
        <v>0</v>
      </c>
      <c r="CU7" s="140">
        <v>0</v>
      </c>
      <c r="CV7" s="148">
        <f t="shared" si="51"/>
        <v>0</v>
      </c>
      <c r="CW7" s="140"/>
      <c r="CX7" s="140" t="str">
        <f t="shared" si="52"/>
        <v>0</v>
      </c>
      <c r="CY7" s="140" t="str">
        <f t="shared" si="53"/>
        <v>0</v>
      </c>
      <c r="CZ7" s="165" t="str">
        <f t="shared" si="54"/>
        <v>0</v>
      </c>
      <c r="DA7" s="164">
        <f t="shared" si="55"/>
        <v>0</v>
      </c>
      <c r="DB7" s="141"/>
      <c r="DC7" s="141"/>
      <c r="DD7" s="77" t="str">
        <f t="shared" si="56"/>
        <v>0</v>
      </c>
      <c r="DE7" s="37" t="str">
        <f t="shared" si="57"/>
        <v>0</v>
      </c>
      <c r="DF7" s="37" t="str">
        <f t="shared" si="58"/>
        <v>0</v>
      </c>
      <c r="DG7" s="37" t="str">
        <f t="shared" si="59"/>
        <v>0</v>
      </c>
      <c r="DH7" s="37" t="str">
        <f t="shared" si="60"/>
        <v>0</v>
      </c>
      <c r="DI7" s="37" t="str">
        <f t="shared" si="61"/>
        <v>0</v>
      </c>
      <c r="DJ7" s="37" t="str">
        <f t="shared" si="62"/>
        <v>0</v>
      </c>
      <c r="DK7" s="37" t="str">
        <f t="shared" si="63"/>
        <v>0</v>
      </c>
      <c r="DL7" s="37" t="str">
        <f t="shared" si="64"/>
        <v>0</v>
      </c>
      <c r="DM7" s="37" t="str">
        <f t="shared" si="65"/>
        <v>0</v>
      </c>
      <c r="DN7" s="37" t="str">
        <f t="shared" si="66"/>
        <v>0</v>
      </c>
      <c r="DO7" s="37" t="str">
        <f t="shared" si="67"/>
        <v>0</v>
      </c>
      <c r="DP7" s="66" t="str">
        <f t="shared" si="68"/>
        <v>0</v>
      </c>
      <c r="DQ7" s="78" t="str">
        <f t="shared" si="69"/>
        <v>0</v>
      </c>
      <c r="DR7" s="6"/>
      <c r="DS7" s="36"/>
      <c r="DT7" s="75" t="str">
        <f t="shared" si="70"/>
        <v>0</v>
      </c>
      <c r="DU7" s="18" t="str">
        <f t="shared" si="71"/>
        <v>0</v>
      </c>
      <c r="DV7" s="13" t="str">
        <f t="shared" si="72"/>
        <v>0</v>
      </c>
      <c r="DW7" s="14" t="str">
        <f t="shared" si="73"/>
        <v>0</v>
      </c>
      <c r="DX7" s="14" t="str">
        <f t="shared" si="74"/>
        <v>0</v>
      </c>
      <c r="DY7" s="14" t="str">
        <f t="shared" si="75"/>
        <v>0</v>
      </c>
      <c r="DZ7" s="15" t="str">
        <f t="shared" si="76"/>
        <v>0</v>
      </c>
      <c r="EA7" s="14" t="str">
        <f t="shared" si="77"/>
        <v>0</v>
      </c>
      <c r="EB7" s="14" t="str">
        <f t="shared" si="78"/>
        <v>0</v>
      </c>
      <c r="EC7" s="14" t="str">
        <f t="shared" si="79"/>
        <v>0</v>
      </c>
      <c r="ED7" s="14">
        <f t="shared" si="80"/>
        <v>0</v>
      </c>
      <c r="EE7" s="19">
        <f t="shared" si="81"/>
        <v>0</v>
      </c>
      <c r="EF7" s="67" t="str">
        <f t="shared" si="82"/>
        <v>0</v>
      </c>
      <c r="EG7" s="74">
        <f t="shared" si="83"/>
        <v>0</v>
      </c>
      <c r="EH7" s="27" t="str">
        <f t="shared" si="84"/>
        <v>0</v>
      </c>
      <c r="EI7" s="25" t="str">
        <f t="shared" si="85"/>
        <v>0</v>
      </c>
      <c r="EJ7" s="25" t="str">
        <f t="shared" si="86"/>
        <v>0</v>
      </c>
      <c r="EK7" s="26" t="str">
        <f t="shared" si="87"/>
        <v>0</v>
      </c>
      <c r="EL7" s="29" t="str">
        <f t="shared" si="88"/>
        <v>0</v>
      </c>
      <c r="EM7" s="30" t="str">
        <f t="shared" si="89"/>
        <v>0</v>
      </c>
      <c r="EN7" s="30" t="str">
        <f t="shared" si="90"/>
        <v>0</v>
      </c>
      <c r="EO7" s="31">
        <f t="shared" si="91"/>
        <v>0</v>
      </c>
      <c r="EP7" s="31" t="str">
        <f t="shared" si="92"/>
        <v>0</v>
      </c>
      <c r="EQ7" s="31">
        <f t="shared" si="93"/>
        <v>0</v>
      </c>
      <c r="ER7" s="93" t="str">
        <f t="shared" si="94"/>
        <v>0</v>
      </c>
      <c r="ES7" s="109" t="str">
        <f t="shared" si="95"/>
        <v>0</v>
      </c>
      <c r="ET7" s="32" t="str">
        <f t="shared" si="96"/>
        <v>0</v>
      </c>
      <c r="EV7" s="277"/>
      <c r="EW7" s="278"/>
      <c r="EX7" s="37">
        <f t="shared" si="105"/>
        <v>0</v>
      </c>
      <c r="EY7" s="72">
        <f t="shared" si="97"/>
        <v>0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0</v>
      </c>
      <c r="FG7" s="144">
        <f t="shared" si="37"/>
        <v>0</v>
      </c>
      <c r="FH7" s="339" t="s">
        <v>52</v>
      </c>
      <c r="FI7" s="145">
        <f t="shared" si="98"/>
        <v>0</v>
      </c>
      <c r="FJ7" s="194" t="str">
        <f t="shared" si="99"/>
        <v>0</v>
      </c>
      <c r="FK7" s="110">
        <f t="shared" si="38"/>
        <v>0</v>
      </c>
      <c r="FL7" s="339" t="s">
        <v>52</v>
      </c>
      <c r="FM7" s="168">
        <f t="shared" si="39"/>
        <v>0</v>
      </c>
      <c r="FN7" s="194" t="str">
        <f t="shared" si="100"/>
        <v>0</v>
      </c>
      <c r="FO7" s="262">
        <f t="shared" si="101"/>
        <v>0</v>
      </c>
      <c r="FP7" s="339" t="s">
        <v>52</v>
      </c>
      <c r="FQ7" s="274">
        <f t="shared" si="102"/>
        <v>0</v>
      </c>
      <c r="FR7" s="197" t="str">
        <f t="shared" si="103"/>
        <v>0</v>
      </c>
      <c r="FS7" s="140">
        <f t="shared" si="40"/>
        <v>0</v>
      </c>
      <c r="FT7" s="140">
        <f t="shared" si="41"/>
        <v>0</v>
      </c>
      <c r="FU7" s="140">
        <f t="shared" si="42"/>
        <v>0</v>
      </c>
      <c r="FV7" s="175">
        <f t="shared" si="42"/>
        <v>0</v>
      </c>
      <c r="FW7" s="140">
        <f t="shared" si="42"/>
        <v>0</v>
      </c>
      <c r="FX7" s="140">
        <f t="shared" si="42"/>
        <v>0</v>
      </c>
      <c r="FY7" s="140">
        <f t="shared" si="42"/>
        <v>0</v>
      </c>
      <c r="FZ7" s="140">
        <f t="shared" si="42"/>
        <v>0</v>
      </c>
      <c r="GA7" s="140">
        <f t="shared" si="42"/>
        <v>0</v>
      </c>
      <c r="GB7" s="140">
        <f t="shared" si="42"/>
        <v>0</v>
      </c>
      <c r="GC7" s="175">
        <f t="shared" si="42"/>
        <v>0</v>
      </c>
      <c r="GD7" s="202" t="str">
        <f t="shared" si="104"/>
        <v>0</v>
      </c>
      <c r="GE7" s="140" t="str">
        <f t="shared" si="104"/>
        <v>0</v>
      </c>
      <c r="GF7" s="140" t="str">
        <f t="shared" si="104"/>
        <v>0</v>
      </c>
      <c r="GG7" s="259">
        <f t="shared" si="104"/>
        <v>0</v>
      </c>
      <c r="GH7" s="140"/>
      <c r="GJ7" s="82"/>
      <c r="GK7" s="24"/>
      <c r="GL7" s="185" t="e">
        <f>(CQ7/CQ31)*(EY32-EX32)</f>
        <v>#DIV/0!</v>
      </c>
      <c r="GM7" s="185" t="e">
        <f>((E32/G32)*(1-(CJ32/(CJ32+CK31))))/((E32/G32)*(1-(CJ32/(CJ32+CK31)))+((1-(E32/G32)))*(CJ32/(CJ32+CK31)))</f>
        <v>#DIV/0!</v>
      </c>
      <c r="GN7" s="24" t="e">
        <f>GK7+(GL7/10)+(GJ7*GM7*(1-(CJ32/(CJ32+CK31))))+(CK7*(1-GM7))</f>
        <v>#DIV/0!</v>
      </c>
      <c r="GO7" s="213" t="e">
        <f>GN7/(DD7*EG32)</f>
        <v>#DIV/0!</v>
      </c>
    </row>
    <row r="8" spans="1:197" x14ac:dyDescent="0.2">
      <c r="A8" s="139"/>
      <c r="B8" s="89" t="s">
        <v>82</v>
      </c>
      <c r="C8" s="41" t="s">
        <v>208</v>
      </c>
      <c r="D8" s="161">
        <v>0</v>
      </c>
      <c r="E8" s="114">
        <f t="shared" si="0"/>
        <v>0</v>
      </c>
      <c r="F8" s="339" t="s">
        <v>52</v>
      </c>
      <c r="G8" s="115">
        <f t="shared" si="1"/>
        <v>0</v>
      </c>
      <c r="H8" s="116" t="s">
        <v>53</v>
      </c>
      <c r="I8" s="339">
        <f t="shared" si="43"/>
        <v>0</v>
      </c>
      <c r="J8" s="115" t="s">
        <v>54</v>
      </c>
      <c r="K8" s="116">
        <f t="shared" si="2"/>
        <v>0</v>
      </c>
      <c r="L8" s="339" t="s">
        <v>52</v>
      </c>
      <c r="M8" s="115">
        <f t="shared" si="3"/>
        <v>0</v>
      </c>
      <c r="N8" s="116" t="s">
        <v>53</v>
      </c>
      <c r="O8" s="339">
        <f t="shared" si="4"/>
        <v>0</v>
      </c>
      <c r="P8" s="115" t="s">
        <v>54</v>
      </c>
      <c r="Q8" s="116">
        <f t="shared" si="5"/>
        <v>0</v>
      </c>
      <c r="R8" s="339" t="s">
        <v>52</v>
      </c>
      <c r="S8" s="115">
        <f t="shared" si="44"/>
        <v>0</v>
      </c>
      <c r="T8" s="116" t="s">
        <v>53</v>
      </c>
      <c r="U8" s="339">
        <f t="shared" si="6"/>
        <v>0</v>
      </c>
      <c r="V8" s="115" t="s">
        <v>54</v>
      </c>
      <c r="W8" s="116">
        <f t="shared" si="7"/>
        <v>0</v>
      </c>
      <c r="X8" s="339" t="s">
        <v>52</v>
      </c>
      <c r="Y8" s="115">
        <f t="shared" si="8"/>
        <v>0</v>
      </c>
      <c r="Z8" s="116" t="s">
        <v>53</v>
      </c>
      <c r="AA8" s="339">
        <f t="shared" si="9"/>
        <v>0</v>
      </c>
      <c r="AB8" s="115" t="s">
        <v>54</v>
      </c>
      <c r="AC8" s="116">
        <f t="shared" si="45"/>
        <v>0</v>
      </c>
      <c r="AD8" s="339" t="s">
        <v>52</v>
      </c>
      <c r="AE8" s="117">
        <f t="shared" si="46"/>
        <v>0</v>
      </c>
      <c r="AF8" s="341"/>
      <c r="AG8" s="114">
        <f t="shared" si="47"/>
        <v>0</v>
      </c>
      <c r="AH8" s="339" t="s">
        <v>52</v>
      </c>
      <c r="AI8" s="115">
        <f t="shared" si="10"/>
        <v>0</v>
      </c>
      <c r="AJ8" s="116" t="s">
        <v>53</v>
      </c>
      <c r="AK8" s="339">
        <f t="shared" si="11"/>
        <v>0</v>
      </c>
      <c r="AL8" s="115" t="s">
        <v>54</v>
      </c>
      <c r="AM8" s="246">
        <v>0</v>
      </c>
      <c r="AN8" s="244" t="s">
        <v>52</v>
      </c>
      <c r="AO8" s="245">
        <v>0</v>
      </c>
      <c r="AP8" s="246" t="s">
        <v>53</v>
      </c>
      <c r="AQ8" s="244">
        <v>0</v>
      </c>
      <c r="AR8" s="245" t="s">
        <v>54</v>
      </c>
      <c r="AS8" s="246">
        <v>0</v>
      </c>
      <c r="AT8" s="244" t="s">
        <v>52</v>
      </c>
      <c r="AU8" s="245">
        <v>0</v>
      </c>
      <c r="AV8" s="246" t="s">
        <v>53</v>
      </c>
      <c r="AW8" s="244">
        <v>0</v>
      </c>
      <c r="AX8" s="245" t="s">
        <v>54</v>
      </c>
      <c r="AY8" s="246">
        <v>0</v>
      </c>
      <c r="AZ8" s="244" t="s">
        <v>52</v>
      </c>
      <c r="BA8" s="245">
        <v>0</v>
      </c>
      <c r="BB8" s="246" t="s">
        <v>53</v>
      </c>
      <c r="BC8" s="244">
        <v>0</v>
      </c>
      <c r="BD8" s="245" t="s">
        <v>54</v>
      </c>
      <c r="BE8" s="116">
        <v>0</v>
      </c>
      <c r="BF8" s="339" t="s">
        <v>52</v>
      </c>
      <c r="BG8" s="117">
        <v>0</v>
      </c>
      <c r="BH8" s="115"/>
      <c r="BI8" s="114">
        <f t="shared" si="12"/>
        <v>0</v>
      </c>
      <c r="BJ8" s="339" t="s">
        <v>52</v>
      </c>
      <c r="BK8" s="115">
        <f t="shared" si="48"/>
        <v>0</v>
      </c>
      <c r="BL8" s="116" t="s">
        <v>53</v>
      </c>
      <c r="BM8" s="339">
        <f t="shared" si="13"/>
        <v>0</v>
      </c>
      <c r="BN8" s="115" t="s">
        <v>54</v>
      </c>
      <c r="BO8" s="246">
        <v>0</v>
      </c>
      <c r="BP8" s="244" t="s">
        <v>52</v>
      </c>
      <c r="BQ8" s="245">
        <v>0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339" t="s">
        <v>52</v>
      </c>
      <c r="CI8" s="117">
        <v>0</v>
      </c>
      <c r="CJ8" s="140">
        <v>0</v>
      </c>
      <c r="CK8" s="148">
        <f t="shared" si="49"/>
        <v>0</v>
      </c>
      <c r="CL8" s="148">
        <v>0</v>
      </c>
      <c r="CM8" s="148">
        <v>0</v>
      </c>
      <c r="CN8" s="148">
        <f t="shared" si="50"/>
        <v>0</v>
      </c>
      <c r="CO8" s="175">
        <v>0</v>
      </c>
      <c r="CP8" s="140">
        <v>0</v>
      </c>
      <c r="CQ8" s="175">
        <v>0</v>
      </c>
      <c r="CR8" s="148">
        <v>0</v>
      </c>
      <c r="CS8" s="148">
        <v>0</v>
      </c>
      <c r="CT8" s="140">
        <v>0</v>
      </c>
      <c r="CU8" s="140">
        <v>0</v>
      </c>
      <c r="CV8" s="148">
        <f t="shared" si="51"/>
        <v>0</v>
      </c>
      <c r="CW8" s="140"/>
      <c r="CX8" s="140" t="str">
        <f t="shared" si="52"/>
        <v>0</v>
      </c>
      <c r="CY8" s="140" t="str">
        <f t="shared" si="53"/>
        <v>0</v>
      </c>
      <c r="CZ8" s="165" t="str">
        <f t="shared" si="54"/>
        <v>0</v>
      </c>
      <c r="DA8" s="164">
        <f t="shared" si="55"/>
        <v>0</v>
      </c>
      <c r="DB8" s="141"/>
      <c r="DC8" s="141"/>
      <c r="DD8" s="77" t="str">
        <f t="shared" si="56"/>
        <v>0</v>
      </c>
      <c r="DE8" s="37" t="str">
        <f t="shared" si="57"/>
        <v>0</v>
      </c>
      <c r="DF8" s="37" t="str">
        <f t="shared" si="58"/>
        <v>0</v>
      </c>
      <c r="DG8" s="37" t="str">
        <f t="shared" si="59"/>
        <v>0</v>
      </c>
      <c r="DH8" s="37" t="str">
        <f t="shared" si="60"/>
        <v>0</v>
      </c>
      <c r="DI8" s="37" t="str">
        <f t="shared" si="61"/>
        <v>0</v>
      </c>
      <c r="DJ8" s="37" t="str">
        <f t="shared" si="62"/>
        <v>0</v>
      </c>
      <c r="DK8" s="37" t="str">
        <f t="shared" si="63"/>
        <v>0</v>
      </c>
      <c r="DL8" s="37" t="str">
        <f t="shared" si="64"/>
        <v>0</v>
      </c>
      <c r="DM8" s="37" t="str">
        <f t="shared" si="65"/>
        <v>0</v>
      </c>
      <c r="DN8" s="37" t="str">
        <f t="shared" si="66"/>
        <v>0</v>
      </c>
      <c r="DO8" s="37" t="str">
        <f t="shared" si="67"/>
        <v>0</v>
      </c>
      <c r="DP8" s="66" t="str">
        <f t="shared" si="68"/>
        <v>0</v>
      </c>
      <c r="DQ8" s="78" t="str">
        <f t="shared" si="69"/>
        <v>0</v>
      </c>
      <c r="DR8" s="6"/>
      <c r="DS8" s="36"/>
      <c r="DT8" s="75" t="str">
        <f t="shared" si="70"/>
        <v>0</v>
      </c>
      <c r="DU8" s="18" t="str">
        <f t="shared" si="71"/>
        <v>0</v>
      </c>
      <c r="DV8" s="13" t="str">
        <f t="shared" si="72"/>
        <v>0</v>
      </c>
      <c r="DW8" s="14" t="str">
        <f t="shared" si="73"/>
        <v>0</v>
      </c>
      <c r="DX8" s="14" t="str">
        <f t="shared" si="74"/>
        <v>0</v>
      </c>
      <c r="DY8" s="14" t="str">
        <f t="shared" si="75"/>
        <v>0</v>
      </c>
      <c r="DZ8" s="15" t="str">
        <f t="shared" si="76"/>
        <v>0</v>
      </c>
      <c r="EA8" s="14" t="str">
        <f t="shared" si="77"/>
        <v>0</v>
      </c>
      <c r="EB8" s="14" t="str">
        <f t="shared" si="78"/>
        <v>0</v>
      </c>
      <c r="EC8" s="14" t="str">
        <f t="shared" si="79"/>
        <v>0</v>
      </c>
      <c r="ED8" s="14">
        <f t="shared" si="80"/>
        <v>0</v>
      </c>
      <c r="EE8" s="19">
        <f t="shared" si="81"/>
        <v>0</v>
      </c>
      <c r="EF8" s="67" t="str">
        <f t="shared" si="82"/>
        <v>0</v>
      </c>
      <c r="EG8" s="74">
        <f t="shared" si="83"/>
        <v>0</v>
      </c>
      <c r="EH8" s="27" t="str">
        <f t="shared" si="84"/>
        <v>0</v>
      </c>
      <c r="EI8" s="25" t="str">
        <f t="shared" si="85"/>
        <v>0</v>
      </c>
      <c r="EJ8" s="25" t="str">
        <f t="shared" si="86"/>
        <v>0</v>
      </c>
      <c r="EK8" s="26" t="str">
        <f t="shared" si="87"/>
        <v>0</v>
      </c>
      <c r="EL8" s="29" t="str">
        <f t="shared" si="88"/>
        <v>0</v>
      </c>
      <c r="EM8" s="30" t="str">
        <f t="shared" si="89"/>
        <v>0</v>
      </c>
      <c r="EN8" s="30" t="str">
        <f t="shared" si="90"/>
        <v>0</v>
      </c>
      <c r="EO8" s="31">
        <f t="shared" si="91"/>
        <v>0</v>
      </c>
      <c r="EP8" s="31" t="str">
        <f t="shared" si="92"/>
        <v>0</v>
      </c>
      <c r="EQ8" s="31">
        <f t="shared" si="93"/>
        <v>0</v>
      </c>
      <c r="ER8" s="93" t="str">
        <f t="shared" si="94"/>
        <v>0</v>
      </c>
      <c r="ES8" s="109" t="str">
        <f t="shared" si="95"/>
        <v>0</v>
      </c>
      <c r="ET8" s="32" t="str">
        <f t="shared" si="96"/>
        <v>0</v>
      </c>
      <c r="EV8" s="277"/>
      <c r="EW8" s="278"/>
      <c r="EX8" s="37">
        <f t="shared" si="105"/>
        <v>0</v>
      </c>
      <c r="EY8" s="72">
        <f t="shared" si="97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0</v>
      </c>
      <c r="FG8" s="182">
        <f t="shared" si="37"/>
        <v>0</v>
      </c>
      <c r="FH8" s="183" t="s">
        <v>52</v>
      </c>
      <c r="FI8" s="184">
        <f t="shared" si="98"/>
        <v>0</v>
      </c>
      <c r="FJ8" s="193" t="str">
        <f t="shared" si="99"/>
        <v>0</v>
      </c>
      <c r="FK8" s="185">
        <f t="shared" si="38"/>
        <v>0</v>
      </c>
      <c r="FL8" s="183" t="s">
        <v>52</v>
      </c>
      <c r="FM8" s="186">
        <f t="shared" si="39"/>
        <v>0</v>
      </c>
      <c r="FN8" s="193" t="str">
        <f t="shared" si="100"/>
        <v>0</v>
      </c>
      <c r="FO8" s="261">
        <f t="shared" si="101"/>
        <v>0</v>
      </c>
      <c r="FP8" s="183" t="s">
        <v>52</v>
      </c>
      <c r="FQ8" s="268">
        <f t="shared" si="102"/>
        <v>0</v>
      </c>
      <c r="FR8" s="196" t="str">
        <f t="shared" si="103"/>
        <v>0</v>
      </c>
      <c r="FS8" s="179">
        <f t="shared" si="40"/>
        <v>0</v>
      </c>
      <c r="FT8" s="179">
        <f t="shared" si="41"/>
        <v>0</v>
      </c>
      <c r="FU8" s="179">
        <f t="shared" si="42"/>
        <v>0</v>
      </c>
      <c r="FV8" s="187">
        <f t="shared" si="42"/>
        <v>0</v>
      </c>
      <c r="FW8" s="179">
        <f t="shared" si="42"/>
        <v>0</v>
      </c>
      <c r="FX8" s="179">
        <f t="shared" si="42"/>
        <v>0</v>
      </c>
      <c r="FY8" s="179">
        <f t="shared" si="42"/>
        <v>0</v>
      </c>
      <c r="FZ8" s="179">
        <f t="shared" si="42"/>
        <v>0</v>
      </c>
      <c r="GA8" s="179">
        <f t="shared" si="42"/>
        <v>0</v>
      </c>
      <c r="GB8" s="179">
        <f t="shared" si="42"/>
        <v>0</v>
      </c>
      <c r="GC8" s="187">
        <f t="shared" si="42"/>
        <v>0</v>
      </c>
      <c r="GD8" s="203" t="str">
        <f t="shared" si="104"/>
        <v>0</v>
      </c>
      <c r="GE8" s="179" t="str">
        <f t="shared" si="104"/>
        <v>0</v>
      </c>
      <c r="GF8" s="179" t="str">
        <f t="shared" si="104"/>
        <v>0</v>
      </c>
      <c r="GG8" s="258">
        <f t="shared" si="104"/>
        <v>0</v>
      </c>
      <c r="GH8" s="179"/>
      <c r="GJ8" s="82"/>
      <c r="GK8" s="24"/>
      <c r="GL8" s="185" t="e">
        <f>(CQ8/CQ33)*(EY34-EX34)</f>
        <v>#DIV/0!</v>
      </c>
      <c r="GM8" s="185" t="e">
        <f>((E34/G34)*(1-(CJ34/(CJ34+CK33))))/((E34/G34)*(1-(CJ34/(CJ34+CK33)))+((1-(E34/G34)))*(CJ34/(CJ34+CK33)))</f>
        <v>#DIV/0!</v>
      </c>
      <c r="GN8" s="24" t="e">
        <f>GK8+(GL8/10)+(GJ8*GM8*(1-(CJ34/(CJ34+CK33))))+(CK8*(1-GM8))</f>
        <v>#DIV/0!</v>
      </c>
      <c r="GO8" s="213" t="e">
        <f>GN8/(DD8*EG34)</f>
        <v>#DIV/0!</v>
      </c>
    </row>
    <row r="9" spans="1:197" x14ac:dyDescent="0.2">
      <c r="A9" s="139"/>
      <c r="B9" s="89" t="s">
        <v>82</v>
      </c>
      <c r="C9" s="41" t="s">
        <v>209</v>
      </c>
      <c r="D9" s="161">
        <v>0</v>
      </c>
      <c r="E9" s="114">
        <f t="shared" si="0"/>
        <v>0</v>
      </c>
      <c r="F9" s="339" t="s">
        <v>52</v>
      </c>
      <c r="G9" s="115">
        <f t="shared" si="1"/>
        <v>0</v>
      </c>
      <c r="H9" s="116" t="s">
        <v>53</v>
      </c>
      <c r="I9" s="339">
        <f t="shared" si="43"/>
        <v>0</v>
      </c>
      <c r="J9" s="115" t="s">
        <v>54</v>
      </c>
      <c r="K9" s="116">
        <f t="shared" si="2"/>
        <v>0</v>
      </c>
      <c r="L9" s="339" t="s">
        <v>52</v>
      </c>
      <c r="M9" s="115">
        <f t="shared" si="3"/>
        <v>0</v>
      </c>
      <c r="N9" s="116" t="s">
        <v>53</v>
      </c>
      <c r="O9" s="339">
        <f t="shared" si="4"/>
        <v>0</v>
      </c>
      <c r="P9" s="115" t="s">
        <v>54</v>
      </c>
      <c r="Q9" s="116">
        <f t="shared" si="5"/>
        <v>0</v>
      </c>
      <c r="R9" s="339" t="s">
        <v>52</v>
      </c>
      <c r="S9" s="115">
        <f t="shared" si="44"/>
        <v>0</v>
      </c>
      <c r="T9" s="116" t="s">
        <v>53</v>
      </c>
      <c r="U9" s="339">
        <f t="shared" si="6"/>
        <v>0</v>
      </c>
      <c r="V9" s="115" t="s">
        <v>54</v>
      </c>
      <c r="W9" s="116">
        <f t="shared" si="7"/>
        <v>0</v>
      </c>
      <c r="X9" s="339" t="s">
        <v>52</v>
      </c>
      <c r="Y9" s="115">
        <f t="shared" si="8"/>
        <v>0</v>
      </c>
      <c r="Z9" s="116" t="s">
        <v>53</v>
      </c>
      <c r="AA9" s="339">
        <f t="shared" si="9"/>
        <v>0</v>
      </c>
      <c r="AB9" s="115" t="s">
        <v>54</v>
      </c>
      <c r="AC9" s="116">
        <f t="shared" si="45"/>
        <v>0</v>
      </c>
      <c r="AD9" s="339" t="s">
        <v>52</v>
      </c>
      <c r="AE9" s="117">
        <f t="shared" si="46"/>
        <v>0</v>
      </c>
      <c r="AF9" s="341"/>
      <c r="AG9" s="114">
        <f t="shared" si="47"/>
        <v>0</v>
      </c>
      <c r="AH9" s="339" t="s">
        <v>52</v>
      </c>
      <c r="AI9" s="115">
        <f t="shared" si="10"/>
        <v>0</v>
      </c>
      <c r="AJ9" s="116" t="s">
        <v>53</v>
      </c>
      <c r="AK9" s="339">
        <f t="shared" si="11"/>
        <v>0</v>
      </c>
      <c r="AL9" s="115" t="s">
        <v>54</v>
      </c>
      <c r="AM9" s="246">
        <v>0</v>
      </c>
      <c r="AN9" s="244" t="s">
        <v>52</v>
      </c>
      <c r="AO9" s="245">
        <v>0</v>
      </c>
      <c r="AP9" s="246" t="s">
        <v>53</v>
      </c>
      <c r="AQ9" s="244">
        <v>0</v>
      </c>
      <c r="AR9" s="245" t="s">
        <v>54</v>
      </c>
      <c r="AS9" s="246">
        <v>0</v>
      </c>
      <c r="AT9" s="244" t="s">
        <v>52</v>
      </c>
      <c r="AU9" s="245">
        <v>0</v>
      </c>
      <c r="AV9" s="246" t="s">
        <v>53</v>
      </c>
      <c r="AW9" s="244">
        <v>0</v>
      </c>
      <c r="AX9" s="245" t="s">
        <v>54</v>
      </c>
      <c r="AY9" s="246">
        <v>0</v>
      </c>
      <c r="AZ9" s="244" t="s">
        <v>52</v>
      </c>
      <c r="BA9" s="245">
        <v>0</v>
      </c>
      <c r="BB9" s="246" t="s">
        <v>53</v>
      </c>
      <c r="BC9" s="244">
        <v>0</v>
      </c>
      <c r="BD9" s="245" t="s">
        <v>54</v>
      </c>
      <c r="BE9" s="116">
        <v>0</v>
      </c>
      <c r="BF9" s="339" t="s">
        <v>52</v>
      </c>
      <c r="BG9" s="117">
        <v>0</v>
      </c>
      <c r="BH9" s="115"/>
      <c r="BI9" s="114">
        <f t="shared" si="12"/>
        <v>0</v>
      </c>
      <c r="BJ9" s="339" t="s">
        <v>52</v>
      </c>
      <c r="BK9" s="115">
        <f t="shared" si="48"/>
        <v>0</v>
      </c>
      <c r="BL9" s="116" t="s">
        <v>53</v>
      </c>
      <c r="BM9" s="339">
        <f t="shared" si="13"/>
        <v>0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339" t="s">
        <v>52</v>
      </c>
      <c r="CI9" s="117">
        <v>0</v>
      </c>
      <c r="CJ9" s="140">
        <v>0</v>
      </c>
      <c r="CK9" s="148">
        <f t="shared" si="49"/>
        <v>0</v>
      </c>
      <c r="CL9" s="148">
        <v>0</v>
      </c>
      <c r="CM9" s="148">
        <v>0</v>
      </c>
      <c r="CN9" s="148">
        <f t="shared" si="50"/>
        <v>0</v>
      </c>
      <c r="CO9" s="175">
        <v>0</v>
      </c>
      <c r="CP9" s="140">
        <v>0</v>
      </c>
      <c r="CQ9" s="175">
        <v>0</v>
      </c>
      <c r="CR9" s="148">
        <v>0</v>
      </c>
      <c r="CS9" s="148">
        <v>0</v>
      </c>
      <c r="CT9" s="140">
        <v>0</v>
      </c>
      <c r="CU9" s="140">
        <v>0</v>
      </c>
      <c r="CV9" s="148">
        <f t="shared" si="51"/>
        <v>0</v>
      </c>
      <c r="CW9" s="140"/>
      <c r="CX9" s="140" t="str">
        <f t="shared" si="52"/>
        <v>0</v>
      </c>
      <c r="CY9" s="140" t="str">
        <f t="shared" si="53"/>
        <v>0</v>
      </c>
      <c r="CZ9" s="165" t="str">
        <f t="shared" si="54"/>
        <v>0</v>
      </c>
      <c r="DA9" s="164">
        <f t="shared" si="55"/>
        <v>0</v>
      </c>
      <c r="DB9" s="141"/>
      <c r="DC9" s="141"/>
      <c r="DD9" s="77" t="str">
        <f t="shared" si="56"/>
        <v>0</v>
      </c>
      <c r="DE9" s="37" t="str">
        <f t="shared" si="57"/>
        <v>0</v>
      </c>
      <c r="DF9" s="37" t="str">
        <f t="shared" si="58"/>
        <v>0</v>
      </c>
      <c r="DG9" s="37" t="str">
        <f t="shared" si="59"/>
        <v>0</v>
      </c>
      <c r="DH9" s="37" t="str">
        <f t="shared" si="60"/>
        <v>0</v>
      </c>
      <c r="DI9" s="37" t="str">
        <f t="shared" si="61"/>
        <v>0</v>
      </c>
      <c r="DJ9" s="37" t="str">
        <f t="shared" si="62"/>
        <v>0</v>
      </c>
      <c r="DK9" s="37" t="str">
        <f t="shared" si="63"/>
        <v>0</v>
      </c>
      <c r="DL9" s="37" t="str">
        <f t="shared" si="64"/>
        <v>0</v>
      </c>
      <c r="DM9" s="37" t="str">
        <f t="shared" si="65"/>
        <v>0</v>
      </c>
      <c r="DN9" s="37" t="str">
        <f t="shared" si="66"/>
        <v>0</v>
      </c>
      <c r="DO9" s="37" t="str">
        <f t="shared" si="67"/>
        <v>0</v>
      </c>
      <c r="DP9" s="66" t="str">
        <f t="shared" si="68"/>
        <v>0</v>
      </c>
      <c r="DQ9" s="78" t="str">
        <f t="shared" si="69"/>
        <v>0</v>
      </c>
      <c r="DR9" s="6"/>
      <c r="DS9" s="36"/>
      <c r="DT9" s="75" t="str">
        <f t="shared" si="70"/>
        <v>0</v>
      </c>
      <c r="DU9" s="18" t="str">
        <f t="shared" si="71"/>
        <v>0</v>
      </c>
      <c r="DV9" s="13" t="str">
        <f t="shared" si="72"/>
        <v>0</v>
      </c>
      <c r="DW9" s="14" t="str">
        <f t="shared" si="73"/>
        <v>0</v>
      </c>
      <c r="DX9" s="14" t="str">
        <f t="shared" si="74"/>
        <v>0</v>
      </c>
      <c r="DY9" s="14" t="str">
        <f t="shared" si="75"/>
        <v>0</v>
      </c>
      <c r="DZ9" s="15" t="str">
        <f t="shared" si="76"/>
        <v>0</v>
      </c>
      <c r="EA9" s="14" t="str">
        <f t="shared" si="77"/>
        <v>0</v>
      </c>
      <c r="EB9" s="14" t="str">
        <f t="shared" si="78"/>
        <v>0</v>
      </c>
      <c r="EC9" s="14" t="str">
        <f t="shared" si="79"/>
        <v>0</v>
      </c>
      <c r="ED9" s="14">
        <f t="shared" si="80"/>
        <v>0</v>
      </c>
      <c r="EE9" s="19">
        <f t="shared" si="81"/>
        <v>0</v>
      </c>
      <c r="EF9" s="67" t="str">
        <f t="shared" si="82"/>
        <v>0</v>
      </c>
      <c r="EG9" s="74">
        <f t="shared" si="83"/>
        <v>0</v>
      </c>
      <c r="EH9" s="27" t="str">
        <f t="shared" si="84"/>
        <v>0</v>
      </c>
      <c r="EI9" s="25" t="str">
        <f t="shared" si="85"/>
        <v>0</v>
      </c>
      <c r="EJ9" s="25" t="str">
        <f t="shared" si="86"/>
        <v>0</v>
      </c>
      <c r="EK9" s="26" t="str">
        <f t="shared" si="87"/>
        <v>0</v>
      </c>
      <c r="EL9" s="29" t="str">
        <f t="shared" si="88"/>
        <v>0</v>
      </c>
      <c r="EM9" s="30" t="str">
        <f t="shared" si="89"/>
        <v>0</v>
      </c>
      <c r="EN9" s="30" t="str">
        <f t="shared" si="90"/>
        <v>0</v>
      </c>
      <c r="EO9" s="31">
        <f t="shared" si="91"/>
        <v>0</v>
      </c>
      <c r="EP9" s="31" t="str">
        <f t="shared" si="92"/>
        <v>0</v>
      </c>
      <c r="EQ9" s="31">
        <f t="shared" si="93"/>
        <v>0</v>
      </c>
      <c r="ER9" s="93" t="str">
        <f t="shared" si="94"/>
        <v>0</v>
      </c>
      <c r="ES9" s="109" t="str">
        <f t="shared" si="95"/>
        <v>0</v>
      </c>
      <c r="ET9" s="32" t="str">
        <f t="shared" si="96"/>
        <v>0</v>
      </c>
      <c r="EV9" s="277"/>
      <c r="EW9" s="278"/>
      <c r="EX9" s="37">
        <f t="shared" si="105"/>
        <v>0</v>
      </c>
      <c r="EY9" s="72">
        <f t="shared" si="97"/>
        <v>0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0</v>
      </c>
      <c r="FG9" s="144">
        <f t="shared" si="37"/>
        <v>0</v>
      </c>
      <c r="FH9" s="339" t="s">
        <v>52</v>
      </c>
      <c r="FI9" s="145">
        <f t="shared" si="98"/>
        <v>0</v>
      </c>
      <c r="FJ9" s="194" t="str">
        <f t="shared" si="99"/>
        <v>0</v>
      </c>
      <c r="FK9" s="110">
        <f t="shared" si="38"/>
        <v>0</v>
      </c>
      <c r="FL9" s="339" t="s">
        <v>52</v>
      </c>
      <c r="FM9" s="168">
        <f t="shared" si="39"/>
        <v>0</v>
      </c>
      <c r="FN9" s="194" t="str">
        <f t="shared" si="100"/>
        <v>0</v>
      </c>
      <c r="FO9" s="262">
        <f t="shared" si="101"/>
        <v>0</v>
      </c>
      <c r="FP9" s="339" t="s">
        <v>52</v>
      </c>
      <c r="FQ9" s="274">
        <f t="shared" si="102"/>
        <v>0</v>
      </c>
      <c r="FR9" s="197" t="str">
        <f t="shared" si="103"/>
        <v>0</v>
      </c>
      <c r="FS9" s="140">
        <f t="shared" si="40"/>
        <v>0</v>
      </c>
      <c r="FT9" s="140">
        <f t="shared" si="41"/>
        <v>0</v>
      </c>
      <c r="FU9" s="140">
        <f t="shared" si="42"/>
        <v>0</v>
      </c>
      <c r="FV9" s="175">
        <f t="shared" si="42"/>
        <v>0</v>
      </c>
      <c r="FW9" s="140">
        <f t="shared" si="42"/>
        <v>0</v>
      </c>
      <c r="FX9" s="140">
        <f t="shared" si="42"/>
        <v>0</v>
      </c>
      <c r="FY9" s="140">
        <f t="shared" si="42"/>
        <v>0</v>
      </c>
      <c r="FZ9" s="140">
        <f t="shared" si="42"/>
        <v>0</v>
      </c>
      <c r="GA9" s="140">
        <f t="shared" si="42"/>
        <v>0</v>
      </c>
      <c r="GB9" s="140">
        <f t="shared" si="42"/>
        <v>0</v>
      </c>
      <c r="GC9" s="175">
        <f t="shared" si="42"/>
        <v>0</v>
      </c>
      <c r="GD9" s="202" t="str">
        <f t="shared" si="104"/>
        <v>0</v>
      </c>
      <c r="GE9" s="140" t="str">
        <f t="shared" si="104"/>
        <v>0</v>
      </c>
      <c r="GF9" s="140" t="str">
        <f t="shared" si="104"/>
        <v>0</v>
      </c>
      <c r="GG9" s="259">
        <f t="shared" si="104"/>
        <v>0</v>
      </c>
      <c r="GH9" s="140"/>
      <c r="GJ9" s="82"/>
      <c r="GK9" s="24"/>
      <c r="GL9" s="185" t="e">
        <f>(CQ9/CQ35)*(EY36-EX36)</f>
        <v>#DIV/0!</v>
      </c>
      <c r="GM9" s="185" t="e">
        <f>((E36/G36)*(1-(CJ36/(CJ36+CK35))))/((E36/G36)*(1-(CJ36/(CJ36+CK35)))+((1-(E36/G36)))*(CJ36/(CJ36+CK35)))</f>
        <v>#DIV/0!</v>
      </c>
      <c r="GN9" s="24" t="e">
        <f>GK9+(GL9/10)+(GJ9*GM9*(1-(CJ36/(CJ36+CK35))))+(CK9*(1-GM9))</f>
        <v>#DIV/0!</v>
      </c>
      <c r="GO9" s="213" t="e">
        <f>GN9/(DD9*EG36)</f>
        <v>#DIV/0!</v>
      </c>
    </row>
    <row r="10" spans="1:197" x14ac:dyDescent="0.2">
      <c r="A10" s="139"/>
      <c r="B10" s="89" t="s">
        <v>82</v>
      </c>
      <c r="C10" s="41" t="s">
        <v>210</v>
      </c>
      <c r="D10" s="161">
        <v>0</v>
      </c>
      <c r="E10" s="114">
        <f t="shared" si="0"/>
        <v>0</v>
      </c>
      <c r="F10" s="339" t="s">
        <v>52</v>
      </c>
      <c r="G10" s="115">
        <f t="shared" si="1"/>
        <v>0</v>
      </c>
      <c r="H10" s="116" t="s">
        <v>53</v>
      </c>
      <c r="I10" s="339">
        <f t="shared" si="43"/>
        <v>0</v>
      </c>
      <c r="J10" s="115" t="s">
        <v>54</v>
      </c>
      <c r="K10" s="116">
        <f t="shared" si="2"/>
        <v>0</v>
      </c>
      <c r="L10" s="339" t="s">
        <v>52</v>
      </c>
      <c r="M10" s="115">
        <f t="shared" si="3"/>
        <v>0</v>
      </c>
      <c r="N10" s="116" t="s">
        <v>53</v>
      </c>
      <c r="O10" s="339">
        <f t="shared" si="4"/>
        <v>0</v>
      </c>
      <c r="P10" s="115" t="s">
        <v>54</v>
      </c>
      <c r="Q10" s="116">
        <f t="shared" si="5"/>
        <v>0</v>
      </c>
      <c r="R10" s="339" t="s">
        <v>52</v>
      </c>
      <c r="S10" s="115">
        <f t="shared" si="44"/>
        <v>0</v>
      </c>
      <c r="T10" s="116" t="s">
        <v>53</v>
      </c>
      <c r="U10" s="339">
        <f t="shared" si="6"/>
        <v>0</v>
      </c>
      <c r="V10" s="115" t="s">
        <v>54</v>
      </c>
      <c r="W10" s="116">
        <f t="shared" si="7"/>
        <v>0</v>
      </c>
      <c r="X10" s="339" t="s">
        <v>52</v>
      </c>
      <c r="Y10" s="115">
        <f t="shared" si="8"/>
        <v>0</v>
      </c>
      <c r="Z10" s="116" t="s">
        <v>53</v>
      </c>
      <c r="AA10" s="339">
        <f t="shared" si="9"/>
        <v>0</v>
      </c>
      <c r="AB10" s="115" t="s">
        <v>54</v>
      </c>
      <c r="AC10" s="116">
        <f t="shared" si="45"/>
        <v>0</v>
      </c>
      <c r="AD10" s="339" t="s">
        <v>52</v>
      </c>
      <c r="AE10" s="117">
        <f t="shared" si="46"/>
        <v>0</v>
      </c>
      <c r="AF10" s="341"/>
      <c r="AG10" s="114">
        <f t="shared" si="47"/>
        <v>0</v>
      </c>
      <c r="AH10" s="339" t="s">
        <v>52</v>
      </c>
      <c r="AI10" s="115">
        <f t="shared" si="10"/>
        <v>0</v>
      </c>
      <c r="AJ10" s="116" t="s">
        <v>53</v>
      </c>
      <c r="AK10" s="339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0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0</v>
      </c>
      <c r="BB10" s="246" t="s">
        <v>53</v>
      </c>
      <c r="BC10" s="244">
        <v>0</v>
      </c>
      <c r="BD10" s="245" t="s">
        <v>54</v>
      </c>
      <c r="BE10" s="116">
        <v>0</v>
      </c>
      <c r="BF10" s="339" t="s">
        <v>52</v>
      </c>
      <c r="BG10" s="117">
        <v>0</v>
      </c>
      <c r="BH10" s="115"/>
      <c r="BI10" s="114">
        <f t="shared" si="12"/>
        <v>0</v>
      </c>
      <c r="BJ10" s="339" t="s">
        <v>52</v>
      </c>
      <c r="BK10" s="115">
        <f t="shared" si="48"/>
        <v>0</v>
      </c>
      <c r="BL10" s="116" t="s">
        <v>53</v>
      </c>
      <c r="BM10" s="339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339" t="s">
        <v>52</v>
      </c>
      <c r="CI10" s="117">
        <v>0</v>
      </c>
      <c r="CJ10" s="140">
        <v>0</v>
      </c>
      <c r="CK10" s="148">
        <f t="shared" si="49"/>
        <v>0</v>
      </c>
      <c r="CL10" s="148">
        <v>0</v>
      </c>
      <c r="CM10" s="148">
        <v>0</v>
      </c>
      <c r="CN10" s="148">
        <f t="shared" si="50"/>
        <v>0</v>
      </c>
      <c r="CO10" s="175">
        <v>0</v>
      </c>
      <c r="CP10" s="140">
        <v>0</v>
      </c>
      <c r="CQ10" s="175">
        <v>0</v>
      </c>
      <c r="CR10" s="148">
        <v>0</v>
      </c>
      <c r="CS10" s="148">
        <v>0</v>
      </c>
      <c r="CT10" s="140">
        <v>0</v>
      </c>
      <c r="CU10" s="140">
        <v>0</v>
      </c>
      <c r="CV10" s="148">
        <f t="shared" si="51"/>
        <v>0</v>
      </c>
      <c r="CW10" s="140"/>
      <c r="CX10" s="140" t="str">
        <f t="shared" si="52"/>
        <v>0</v>
      </c>
      <c r="CY10" s="140" t="str">
        <f t="shared" si="53"/>
        <v>0</v>
      </c>
      <c r="CZ10" s="165" t="str">
        <f t="shared" si="54"/>
        <v>0</v>
      </c>
      <c r="DA10" s="164">
        <f t="shared" si="55"/>
        <v>0</v>
      </c>
      <c r="DB10" s="141"/>
      <c r="DC10" s="141"/>
      <c r="DD10" s="77" t="str">
        <f t="shared" si="56"/>
        <v>0</v>
      </c>
      <c r="DE10" s="37" t="str">
        <f t="shared" si="57"/>
        <v>0</v>
      </c>
      <c r="DF10" s="37" t="str">
        <f t="shared" si="58"/>
        <v>0</v>
      </c>
      <c r="DG10" s="37" t="str">
        <f t="shared" si="59"/>
        <v>0</v>
      </c>
      <c r="DH10" s="37" t="str">
        <f t="shared" si="60"/>
        <v>0</v>
      </c>
      <c r="DI10" s="37" t="str">
        <f t="shared" si="61"/>
        <v>0</v>
      </c>
      <c r="DJ10" s="37" t="str">
        <f t="shared" si="62"/>
        <v>0</v>
      </c>
      <c r="DK10" s="37" t="str">
        <f t="shared" si="63"/>
        <v>0</v>
      </c>
      <c r="DL10" s="37" t="str">
        <f t="shared" si="64"/>
        <v>0</v>
      </c>
      <c r="DM10" s="37" t="str">
        <f t="shared" si="65"/>
        <v>0</v>
      </c>
      <c r="DN10" s="37" t="str">
        <f t="shared" si="66"/>
        <v>0</v>
      </c>
      <c r="DO10" s="37" t="str">
        <f t="shared" si="67"/>
        <v>0</v>
      </c>
      <c r="DP10" s="66" t="str">
        <f t="shared" si="68"/>
        <v>0</v>
      </c>
      <c r="DQ10" s="78" t="str">
        <f t="shared" si="69"/>
        <v>0</v>
      </c>
      <c r="DR10" s="6"/>
      <c r="DS10" s="36"/>
      <c r="DT10" s="75" t="str">
        <f t="shared" si="70"/>
        <v>0</v>
      </c>
      <c r="DU10" s="18" t="str">
        <f t="shared" si="71"/>
        <v>0</v>
      </c>
      <c r="DV10" s="13" t="str">
        <f t="shared" si="72"/>
        <v>0</v>
      </c>
      <c r="DW10" s="14" t="str">
        <f t="shared" si="73"/>
        <v>0</v>
      </c>
      <c r="DX10" s="14" t="str">
        <f t="shared" si="74"/>
        <v>0</v>
      </c>
      <c r="DY10" s="14" t="str">
        <f t="shared" si="75"/>
        <v>0</v>
      </c>
      <c r="DZ10" s="15" t="str">
        <f t="shared" si="76"/>
        <v>0</v>
      </c>
      <c r="EA10" s="14" t="str">
        <f t="shared" si="77"/>
        <v>0</v>
      </c>
      <c r="EB10" s="14" t="str">
        <f t="shared" si="78"/>
        <v>0</v>
      </c>
      <c r="EC10" s="14" t="str">
        <f t="shared" si="79"/>
        <v>0</v>
      </c>
      <c r="ED10" s="14">
        <f t="shared" si="80"/>
        <v>0</v>
      </c>
      <c r="EE10" s="19">
        <f t="shared" si="81"/>
        <v>0</v>
      </c>
      <c r="EF10" s="67" t="str">
        <f t="shared" si="82"/>
        <v>0</v>
      </c>
      <c r="EG10" s="74">
        <f t="shared" si="83"/>
        <v>0</v>
      </c>
      <c r="EH10" s="27" t="str">
        <f t="shared" si="84"/>
        <v>0</v>
      </c>
      <c r="EI10" s="25" t="str">
        <f t="shared" si="85"/>
        <v>0</v>
      </c>
      <c r="EJ10" s="25" t="str">
        <f t="shared" si="86"/>
        <v>0</v>
      </c>
      <c r="EK10" s="26" t="str">
        <f t="shared" si="87"/>
        <v>0</v>
      </c>
      <c r="EL10" s="29" t="str">
        <f t="shared" si="88"/>
        <v>0</v>
      </c>
      <c r="EM10" s="30" t="str">
        <f t="shared" si="89"/>
        <v>0</v>
      </c>
      <c r="EN10" s="30" t="str">
        <f t="shared" si="90"/>
        <v>0</v>
      </c>
      <c r="EO10" s="31">
        <f t="shared" si="91"/>
        <v>0</v>
      </c>
      <c r="EP10" s="31" t="str">
        <f t="shared" si="92"/>
        <v>0</v>
      </c>
      <c r="EQ10" s="31">
        <f t="shared" si="93"/>
        <v>0</v>
      </c>
      <c r="ER10" s="93" t="str">
        <f t="shared" si="94"/>
        <v>0</v>
      </c>
      <c r="ES10" s="109" t="str">
        <f t="shared" si="95"/>
        <v>0</v>
      </c>
      <c r="ET10" s="32" t="str">
        <f t="shared" si="96"/>
        <v>0</v>
      </c>
      <c r="EV10" s="277"/>
      <c r="EW10" s="278"/>
      <c r="EX10" s="37">
        <f t="shared" si="105"/>
        <v>0</v>
      </c>
      <c r="EY10" s="72">
        <f t="shared" si="97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0</v>
      </c>
      <c r="FG10" s="182">
        <f t="shared" si="37"/>
        <v>0</v>
      </c>
      <c r="FH10" s="183" t="s">
        <v>52</v>
      </c>
      <c r="FI10" s="184">
        <f t="shared" si="98"/>
        <v>0</v>
      </c>
      <c r="FJ10" s="193" t="str">
        <f t="shared" si="99"/>
        <v>0</v>
      </c>
      <c r="FK10" s="185">
        <f t="shared" si="38"/>
        <v>0</v>
      </c>
      <c r="FL10" s="183" t="s">
        <v>52</v>
      </c>
      <c r="FM10" s="186">
        <f t="shared" si="39"/>
        <v>0</v>
      </c>
      <c r="FN10" s="193" t="str">
        <f t="shared" si="100"/>
        <v>0</v>
      </c>
      <c r="FO10" s="261">
        <f t="shared" si="101"/>
        <v>0</v>
      </c>
      <c r="FP10" s="183" t="s">
        <v>52</v>
      </c>
      <c r="FQ10" s="268">
        <f t="shared" si="102"/>
        <v>0</v>
      </c>
      <c r="FR10" s="196" t="str">
        <f t="shared" si="103"/>
        <v>0</v>
      </c>
      <c r="FS10" s="179">
        <f t="shared" si="40"/>
        <v>0</v>
      </c>
      <c r="FT10" s="179">
        <f t="shared" si="41"/>
        <v>0</v>
      </c>
      <c r="FU10" s="179">
        <f t="shared" si="42"/>
        <v>0</v>
      </c>
      <c r="FV10" s="187">
        <f t="shared" si="42"/>
        <v>0</v>
      </c>
      <c r="FW10" s="179">
        <f t="shared" si="42"/>
        <v>0</v>
      </c>
      <c r="FX10" s="179">
        <f t="shared" si="42"/>
        <v>0</v>
      </c>
      <c r="FY10" s="179">
        <f t="shared" si="42"/>
        <v>0</v>
      </c>
      <c r="FZ10" s="179">
        <f t="shared" si="42"/>
        <v>0</v>
      </c>
      <c r="GA10" s="179">
        <f t="shared" si="42"/>
        <v>0</v>
      </c>
      <c r="GB10" s="179">
        <f t="shared" si="42"/>
        <v>0</v>
      </c>
      <c r="GC10" s="187">
        <f t="shared" si="42"/>
        <v>0</v>
      </c>
      <c r="GD10" s="203" t="str">
        <f t="shared" si="104"/>
        <v>0</v>
      </c>
      <c r="GE10" s="179" t="str">
        <f t="shared" si="104"/>
        <v>0</v>
      </c>
      <c r="GF10" s="179" t="str">
        <f t="shared" si="104"/>
        <v>0</v>
      </c>
      <c r="GG10" s="258">
        <f t="shared" si="104"/>
        <v>0</v>
      </c>
      <c r="GH10" s="179"/>
      <c r="GJ10" s="82"/>
      <c r="GK10" s="24"/>
      <c r="GL10" s="185" t="e">
        <f>(CQ10/CQ37)*(EY38-EX38)</f>
        <v>#DIV/0!</v>
      </c>
      <c r="GM10" s="185" t="e">
        <f>((E38/G38)*(1-(CJ38/(CJ38+CK37))))/((E38/G38)*(1-(CJ38/(CJ38+CK37)))+((1-(E38/G38)))*(CJ38/(CJ38+CK37)))</f>
        <v>#DIV/0!</v>
      </c>
      <c r="GN10" s="24" t="e">
        <f>GK10+(GL10/10)+(GJ10*GM10*(1-(CJ38/(CJ38+CK37))))+(CK10*(1-GM10))</f>
        <v>#DIV/0!</v>
      </c>
      <c r="GO10" s="213" t="e">
        <f>GN10/(DD10*EG38)</f>
        <v>#DIV/0!</v>
      </c>
    </row>
    <row r="11" spans="1:197" x14ac:dyDescent="0.2">
      <c r="A11" s="139"/>
      <c r="B11" s="89" t="s">
        <v>82</v>
      </c>
      <c r="C11" s="41" t="s">
        <v>211</v>
      </c>
      <c r="D11" s="161">
        <v>0</v>
      </c>
      <c r="E11" s="114">
        <f t="shared" si="0"/>
        <v>0</v>
      </c>
      <c r="F11" s="339" t="s">
        <v>52</v>
      </c>
      <c r="G11" s="115">
        <f t="shared" si="1"/>
        <v>0</v>
      </c>
      <c r="H11" s="116" t="s">
        <v>53</v>
      </c>
      <c r="I11" s="339">
        <f t="shared" si="43"/>
        <v>0</v>
      </c>
      <c r="J11" s="115" t="s">
        <v>54</v>
      </c>
      <c r="K11" s="116">
        <f t="shared" si="2"/>
        <v>0</v>
      </c>
      <c r="L11" s="339" t="s">
        <v>52</v>
      </c>
      <c r="M11" s="115">
        <f t="shared" si="3"/>
        <v>0</v>
      </c>
      <c r="N11" s="116" t="s">
        <v>53</v>
      </c>
      <c r="O11" s="339">
        <f t="shared" si="4"/>
        <v>0</v>
      </c>
      <c r="P11" s="115" t="s">
        <v>54</v>
      </c>
      <c r="Q11" s="116">
        <f t="shared" si="5"/>
        <v>0</v>
      </c>
      <c r="R11" s="339" t="s">
        <v>52</v>
      </c>
      <c r="S11" s="115">
        <f t="shared" si="44"/>
        <v>0</v>
      </c>
      <c r="T11" s="116" t="s">
        <v>53</v>
      </c>
      <c r="U11" s="339">
        <f t="shared" si="6"/>
        <v>0</v>
      </c>
      <c r="V11" s="115" t="s">
        <v>54</v>
      </c>
      <c r="W11" s="116">
        <f t="shared" si="7"/>
        <v>0</v>
      </c>
      <c r="X11" s="339" t="s">
        <v>52</v>
      </c>
      <c r="Y11" s="115">
        <f t="shared" si="8"/>
        <v>0</v>
      </c>
      <c r="Z11" s="116" t="s">
        <v>53</v>
      </c>
      <c r="AA11" s="339">
        <f t="shared" si="9"/>
        <v>0</v>
      </c>
      <c r="AB11" s="115" t="s">
        <v>54</v>
      </c>
      <c r="AC11" s="116">
        <f t="shared" si="45"/>
        <v>0</v>
      </c>
      <c r="AD11" s="339" t="s">
        <v>52</v>
      </c>
      <c r="AE11" s="117">
        <f t="shared" si="46"/>
        <v>0</v>
      </c>
      <c r="AF11" s="341"/>
      <c r="AG11" s="114">
        <f t="shared" si="47"/>
        <v>0</v>
      </c>
      <c r="AH11" s="339" t="s">
        <v>52</v>
      </c>
      <c r="AI11" s="115">
        <f t="shared" si="10"/>
        <v>0</v>
      </c>
      <c r="AJ11" s="116" t="s">
        <v>53</v>
      </c>
      <c r="AK11" s="339">
        <f t="shared" si="11"/>
        <v>0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0</v>
      </c>
      <c r="BB11" s="246" t="s">
        <v>53</v>
      </c>
      <c r="BC11" s="244">
        <v>0</v>
      </c>
      <c r="BD11" s="245" t="s">
        <v>54</v>
      </c>
      <c r="BE11" s="116">
        <v>0</v>
      </c>
      <c r="BF11" s="339" t="s">
        <v>52</v>
      </c>
      <c r="BG11" s="117">
        <v>0</v>
      </c>
      <c r="BH11" s="115"/>
      <c r="BI11" s="114">
        <f t="shared" si="12"/>
        <v>0</v>
      </c>
      <c r="BJ11" s="339" t="s">
        <v>52</v>
      </c>
      <c r="BK11" s="115">
        <f t="shared" si="48"/>
        <v>0</v>
      </c>
      <c r="BL11" s="116" t="s">
        <v>53</v>
      </c>
      <c r="BM11" s="339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339" t="s">
        <v>52</v>
      </c>
      <c r="CI11" s="117">
        <v>0</v>
      </c>
      <c r="CJ11" s="140">
        <v>0</v>
      </c>
      <c r="CK11" s="148">
        <f t="shared" si="49"/>
        <v>0</v>
      </c>
      <c r="CL11" s="148">
        <v>0</v>
      </c>
      <c r="CM11" s="148">
        <v>0</v>
      </c>
      <c r="CN11" s="148">
        <f t="shared" si="50"/>
        <v>0</v>
      </c>
      <c r="CO11" s="175">
        <v>0</v>
      </c>
      <c r="CP11" s="140">
        <v>0</v>
      </c>
      <c r="CQ11" s="175">
        <v>0</v>
      </c>
      <c r="CR11" s="148">
        <v>0</v>
      </c>
      <c r="CS11" s="148">
        <v>0</v>
      </c>
      <c r="CT11" s="140">
        <v>0</v>
      </c>
      <c r="CU11" s="140">
        <v>0</v>
      </c>
      <c r="CV11" s="148">
        <f t="shared" si="51"/>
        <v>0</v>
      </c>
      <c r="CW11" s="140"/>
      <c r="CX11" s="140" t="str">
        <f t="shared" si="52"/>
        <v>0</v>
      </c>
      <c r="CY11" s="140" t="str">
        <f t="shared" si="53"/>
        <v>0</v>
      </c>
      <c r="CZ11" s="165" t="str">
        <f t="shared" si="54"/>
        <v>0</v>
      </c>
      <c r="DA11" s="164">
        <f t="shared" si="55"/>
        <v>0</v>
      </c>
      <c r="DB11" s="141"/>
      <c r="DC11" s="141"/>
      <c r="DD11" s="77" t="str">
        <f t="shared" si="56"/>
        <v>0</v>
      </c>
      <c r="DE11" s="37" t="str">
        <f t="shared" si="57"/>
        <v>0</v>
      </c>
      <c r="DF11" s="37" t="str">
        <f t="shared" si="58"/>
        <v>0</v>
      </c>
      <c r="DG11" s="37" t="str">
        <f t="shared" si="59"/>
        <v>0</v>
      </c>
      <c r="DH11" s="37" t="str">
        <f t="shared" si="60"/>
        <v>0</v>
      </c>
      <c r="DI11" s="37" t="str">
        <f t="shared" si="61"/>
        <v>0</v>
      </c>
      <c r="DJ11" s="37" t="str">
        <f t="shared" si="62"/>
        <v>0</v>
      </c>
      <c r="DK11" s="37" t="str">
        <f t="shared" si="63"/>
        <v>0</v>
      </c>
      <c r="DL11" s="37" t="str">
        <f t="shared" si="64"/>
        <v>0</v>
      </c>
      <c r="DM11" s="37" t="str">
        <f t="shared" si="65"/>
        <v>0</v>
      </c>
      <c r="DN11" s="37" t="str">
        <f t="shared" si="66"/>
        <v>0</v>
      </c>
      <c r="DO11" s="37" t="str">
        <f t="shared" si="67"/>
        <v>0</v>
      </c>
      <c r="DP11" s="66" t="str">
        <f t="shared" si="68"/>
        <v>0</v>
      </c>
      <c r="DQ11" s="78" t="str">
        <f t="shared" si="69"/>
        <v>0</v>
      </c>
      <c r="DR11" s="6"/>
      <c r="DS11" s="36"/>
      <c r="DT11" s="75" t="str">
        <f t="shared" si="70"/>
        <v>0</v>
      </c>
      <c r="DU11" s="18" t="str">
        <f t="shared" si="71"/>
        <v>0</v>
      </c>
      <c r="DV11" s="13" t="str">
        <f t="shared" si="72"/>
        <v>0</v>
      </c>
      <c r="DW11" s="14" t="str">
        <f t="shared" si="73"/>
        <v>0</v>
      </c>
      <c r="DX11" s="14" t="str">
        <f t="shared" si="74"/>
        <v>0</v>
      </c>
      <c r="DY11" s="14" t="str">
        <f t="shared" si="75"/>
        <v>0</v>
      </c>
      <c r="DZ11" s="15" t="str">
        <f t="shared" si="76"/>
        <v>0</v>
      </c>
      <c r="EA11" s="14" t="str">
        <f t="shared" si="77"/>
        <v>0</v>
      </c>
      <c r="EB11" s="14" t="str">
        <f t="shared" si="78"/>
        <v>0</v>
      </c>
      <c r="EC11" s="14" t="str">
        <f t="shared" si="79"/>
        <v>0</v>
      </c>
      <c r="ED11" s="14">
        <f t="shared" si="80"/>
        <v>0</v>
      </c>
      <c r="EE11" s="19">
        <f t="shared" si="81"/>
        <v>0</v>
      </c>
      <c r="EF11" s="67" t="str">
        <f t="shared" si="82"/>
        <v>0</v>
      </c>
      <c r="EG11" s="74">
        <f t="shared" si="83"/>
        <v>0</v>
      </c>
      <c r="EH11" s="27" t="str">
        <f t="shared" si="84"/>
        <v>0</v>
      </c>
      <c r="EI11" s="25" t="str">
        <f t="shared" si="85"/>
        <v>0</v>
      </c>
      <c r="EJ11" s="25" t="str">
        <f t="shared" si="86"/>
        <v>0</v>
      </c>
      <c r="EK11" s="26" t="str">
        <f t="shared" si="87"/>
        <v>0</v>
      </c>
      <c r="EL11" s="29" t="str">
        <f t="shared" si="88"/>
        <v>0</v>
      </c>
      <c r="EM11" s="30" t="str">
        <f t="shared" si="89"/>
        <v>0</v>
      </c>
      <c r="EN11" s="30" t="str">
        <f t="shared" si="90"/>
        <v>0</v>
      </c>
      <c r="EO11" s="31">
        <f t="shared" si="91"/>
        <v>0</v>
      </c>
      <c r="EP11" s="31" t="str">
        <f t="shared" si="92"/>
        <v>0</v>
      </c>
      <c r="EQ11" s="31">
        <f t="shared" si="93"/>
        <v>0</v>
      </c>
      <c r="ER11" s="93" t="str">
        <f t="shared" si="94"/>
        <v>0</v>
      </c>
      <c r="ES11" s="109" t="str">
        <f t="shared" si="95"/>
        <v>0</v>
      </c>
      <c r="ET11" s="32" t="str">
        <f t="shared" si="96"/>
        <v>0</v>
      </c>
      <c r="EV11" s="277"/>
      <c r="EW11" s="278"/>
      <c r="EX11" s="37">
        <f t="shared" si="105"/>
        <v>0</v>
      </c>
      <c r="EY11" s="72">
        <f t="shared" si="97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0</v>
      </c>
      <c r="FG11" s="144">
        <f t="shared" si="37"/>
        <v>0</v>
      </c>
      <c r="FH11" s="339" t="s">
        <v>52</v>
      </c>
      <c r="FI11" s="145">
        <f t="shared" si="98"/>
        <v>0</v>
      </c>
      <c r="FJ11" s="194" t="str">
        <f t="shared" si="99"/>
        <v>0</v>
      </c>
      <c r="FK11" s="110">
        <f t="shared" si="38"/>
        <v>0</v>
      </c>
      <c r="FL11" s="339" t="s">
        <v>52</v>
      </c>
      <c r="FM11" s="168">
        <f t="shared" si="39"/>
        <v>0</v>
      </c>
      <c r="FN11" s="194" t="str">
        <f t="shared" si="100"/>
        <v>0</v>
      </c>
      <c r="FO11" s="262">
        <f t="shared" si="101"/>
        <v>0</v>
      </c>
      <c r="FP11" s="339" t="s">
        <v>52</v>
      </c>
      <c r="FQ11" s="274">
        <f t="shared" si="102"/>
        <v>0</v>
      </c>
      <c r="FR11" s="197" t="str">
        <f t="shared" si="103"/>
        <v>0</v>
      </c>
      <c r="FS11" s="140">
        <f t="shared" si="40"/>
        <v>0</v>
      </c>
      <c r="FT11" s="140">
        <f t="shared" si="41"/>
        <v>0</v>
      </c>
      <c r="FU11" s="140">
        <f t="shared" si="42"/>
        <v>0</v>
      </c>
      <c r="FV11" s="175">
        <f t="shared" si="42"/>
        <v>0</v>
      </c>
      <c r="FW11" s="140">
        <f t="shared" si="42"/>
        <v>0</v>
      </c>
      <c r="FX11" s="140">
        <f t="shared" si="42"/>
        <v>0</v>
      </c>
      <c r="FY11" s="140">
        <f t="shared" si="42"/>
        <v>0</v>
      </c>
      <c r="FZ11" s="140">
        <f t="shared" si="42"/>
        <v>0</v>
      </c>
      <c r="GA11" s="140">
        <f t="shared" si="42"/>
        <v>0</v>
      </c>
      <c r="GB11" s="140">
        <f t="shared" si="42"/>
        <v>0</v>
      </c>
      <c r="GC11" s="175">
        <f t="shared" si="42"/>
        <v>0</v>
      </c>
      <c r="GD11" s="202" t="str">
        <f t="shared" si="104"/>
        <v>0</v>
      </c>
      <c r="GE11" s="140" t="str">
        <f t="shared" si="104"/>
        <v>0</v>
      </c>
      <c r="GF11" s="140" t="str">
        <f t="shared" si="104"/>
        <v>0</v>
      </c>
      <c r="GG11" s="259">
        <f t="shared" si="104"/>
        <v>0</v>
      </c>
      <c r="GH11" s="140"/>
      <c r="GJ11" s="82"/>
      <c r="GK11" s="24"/>
      <c r="GL11" s="185" t="e">
        <f>(CQ11/CQ39)*(#REF!-#REF!)</f>
        <v>#DIV/0!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#DIV/0!</v>
      </c>
      <c r="GO11" s="213" t="e">
        <f>GN11/(DD11*#REF!)</f>
        <v>#DIV/0!</v>
      </c>
    </row>
    <row r="12" spans="1:197" x14ac:dyDescent="0.2">
      <c r="A12" s="139"/>
      <c r="B12" s="89" t="s">
        <v>82</v>
      </c>
      <c r="C12" s="41" t="s">
        <v>212</v>
      </c>
      <c r="D12" s="161">
        <v>0</v>
      </c>
      <c r="E12" s="114">
        <f t="shared" si="0"/>
        <v>0</v>
      </c>
      <c r="F12" s="339" t="s">
        <v>52</v>
      </c>
      <c r="G12" s="115">
        <f t="shared" si="1"/>
        <v>0</v>
      </c>
      <c r="H12" s="116" t="s">
        <v>53</v>
      </c>
      <c r="I12" s="339">
        <f t="shared" si="43"/>
        <v>0</v>
      </c>
      <c r="J12" s="115" t="s">
        <v>54</v>
      </c>
      <c r="K12" s="116">
        <f t="shared" si="2"/>
        <v>0</v>
      </c>
      <c r="L12" s="339" t="s">
        <v>52</v>
      </c>
      <c r="M12" s="115">
        <f t="shared" si="3"/>
        <v>0</v>
      </c>
      <c r="N12" s="116" t="s">
        <v>53</v>
      </c>
      <c r="O12" s="339">
        <f t="shared" si="4"/>
        <v>0</v>
      </c>
      <c r="P12" s="115" t="s">
        <v>54</v>
      </c>
      <c r="Q12" s="116">
        <f t="shared" si="5"/>
        <v>0</v>
      </c>
      <c r="R12" s="339" t="s">
        <v>52</v>
      </c>
      <c r="S12" s="115">
        <f t="shared" si="44"/>
        <v>0</v>
      </c>
      <c r="T12" s="116" t="s">
        <v>53</v>
      </c>
      <c r="U12" s="339">
        <f t="shared" si="6"/>
        <v>0</v>
      </c>
      <c r="V12" s="115" t="s">
        <v>54</v>
      </c>
      <c r="W12" s="116">
        <f t="shared" si="7"/>
        <v>0</v>
      </c>
      <c r="X12" s="339" t="s">
        <v>52</v>
      </c>
      <c r="Y12" s="115">
        <f t="shared" si="8"/>
        <v>0</v>
      </c>
      <c r="Z12" s="116" t="s">
        <v>53</v>
      </c>
      <c r="AA12" s="339">
        <f t="shared" si="9"/>
        <v>0</v>
      </c>
      <c r="AB12" s="115" t="s">
        <v>54</v>
      </c>
      <c r="AC12" s="116">
        <f t="shared" si="45"/>
        <v>0</v>
      </c>
      <c r="AD12" s="339" t="s">
        <v>52</v>
      </c>
      <c r="AE12" s="117">
        <f t="shared" si="46"/>
        <v>0</v>
      </c>
      <c r="AF12" s="341"/>
      <c r="AG12" s="114">
        <f t="shared" si="47"/>
        <v>0</v>
      </c>
      <c r="AH12" s="339" t="s">
        <v>52</v>
      </c>
      <c r="AI12" s="115">
        <f t="shared" si="10"/>
        <v>0</v>
      </c>
      <c r="AJ12" s="116" t="s">
        <v>53</v>
      </c>
      <c r="AK12" s="339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0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339" t="s">
        <v>52</v>
      </c>
      <c r="BG12" s="117">
        <v>0</v>
      </c>
      <c r="BH12" s="115"/>
      <c r="BI12" s="114">
        <f t="shared" si="12"/>
        <v>0</v>
      </c>
      <c r="BJ12" s="339" t="s">
        <v>52</v>
      </c>
      <c r="BK12" s="115">
        <f t="shared" si="48"/>
        <v>0</v>
      </c>
      <c r="BL12" s="116" t="s">
        <v>53</v>
      </c>
      <c r="BM12" s="339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0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339" t="s">
        <v>52</v>
      </c>
      <c r="CI12" s="117">
        <v>0</v>
      </c>
      <c r="CJ12" s="140">
        <v>0</v>
      </c>
      <c r="CK12" s="148">
        <f t="shared" si="49"/>
        <v>0</v>
      </c>
      <c r="CL12" s="148">
        <v>0</v>
      </c>
      <c r="CM12" s="148">
        <v>0</v>
      </c>
      <c r="CN12" s="148">
        <f t="shared" si="50"/>
        <v>0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51"/>
        <v>0</v>
      </c>
      <c r="CW12" s="140"/>
      <c r="CX12" s="140" t="str">
        <f t="shared" si="52"/>
        <v>0</v>
      </c>
      <c r="CY12" s="140" t="str">
        <f t="shared" si="53"/>
        <v>0</v>
      </c>
      <c r="CZ12" s="165" t="str">
        <f t="shared" si="54"/>
        <v>0</v>
      </c>
      <c r="DA12" s="164">
        <f t="shared" si="55"/>
        <v>0</v>
      </c>
      <c r="DB12" s="141"/>
      <c r="DC12" s="141"/>
      <c r="DD12" s="77" t="str">
        <f t="shared" si="56"/>
        <v>0</v>
      </c>
      <c r="DE12" s="37" t="str">
        <f t="shared" si="57"/>
        <v>0</v>
      </c>
      <c r="DF12" s="37" t="str">
        <f t="shared" si="58"/>
        <v>0</v>
      </c>
      <c r="DG12" s="37" t="str">
        <f t="shared" si="59"/>
        <v>0</v>
      </c>
      <c r="DH12" s="37" t="str">
        <f t="shared" si="60"/>
        <v>0</v>
      </c>
      <c r="DI12" s="37" t="str">
        <f t="shared" si="61"/>
        <v>0</v>
      </c>
      <c r="DJ12" s="37" t="str">
        <f t="shared" si="62"/>
        <v>0</v>
      </c>
      <c r="DK12" s="37" t="str">
        <f t="shared" si="63"/>
        <v>0</v>
      </c>
      <c r="DL12" s="37" t="str">
        <f t="shared" si="64"/>
        <v>0</v>
      </c>
      <c r="DM12" s="37" t="str">
        <f t="shared" si="65"/>
        <v>0</v>
      </c>
      <c r="DN12" s="37" t="str">
        <f t="shared" si="66"/>
        <v>0</v>
      </c>
      <c r="DO12" s="37" t="str">
        <f t="shared" si="67"/>
        <v>0</v>
      </c>
      <c r="DP12" s="66" t="str">
        <f t="shared" si="68"/>
        <v>0</v>
      </c>
      <c r="DQ12" s="78" t="str">
        <f t="shared" si="69"/>
        <v>0</v>
      </c>
      <c r="DR12" s="6"/>
      <c r="DS12" s="36"/>
      <c r="DT12" s="75" t="str">
        <f t="shared" si="70"/>
        <v>0</v>
      </c>
      <c r="DU12" s="18" t="str">
        <f t="shared" si="71"/>
        <v>0</v>
      </c>
      <c r="DV12" s="13" t="str">
        <f t="shared" si="72"/>
        <v>0</v>
      </c>
      <c r="DW12" s="14" t="str">
        <f t="shared" si="73"/>
        <v>0</v>
      </c>
      <c r="DX12" s="14" t="str">
        <f t="shared" si="74"/>
        <v>0</v>
      </c>
      <c r="DY12" s="14" t="str">
        <f t="shared" si="75"/>
        <v>0</v>
      </c>
      <c r="DZ12" s="15" t="str">
        <f t="shared" si="76"/>
        <v>0</v>
      </c>
      <c r="EA12" s="14" t="str">
        <f t="shared" si="77"/>
        <v>0</v>
      </c>
      <c r="EB12" s="14" t="str">
        <f t="shared" si="78"/>
        <v>0</v>
      </c>
      <c r="EC12" s="14" t="str">
        <f t="shared" si="79"/>
        <v>0</v>
      </c>
      <c r="ED12" s="14">
        <f t="shared" si="80"/>
        <v>0</v>
      </c>
      <c r="EE12" s="19">
        <f t="shared" si="81"/>
        <v>0</v>
      </c>
      <c r="EF12" s="67" t="str">
        <f t="shared" si="82"/>
        <v>0</v>
      </c>
      <c r="EG12" s="74">
        <f t="shared" si="83"/>
        <v>0</v>
      </c>
      <c r="EH12" s="27" t="str">
        <f t="shared" si="84"/>
        <v>0</v>
      </c>
      <c r="EI12" s="25" t="str">
        <f t="shared" si="85"/>
        <v>0</v>
      </c>
      <c r="EJ12" s="25" t="str">
        <f t="shared" si="86"/>
        <v>0</v>
      </c>
      <c r="EK12" s="26" t="str">
        <f t="shared" si="87"/>
        <v>0</v>
      </c>
      <c r="EL12" s="29" t="str">
        <f t="shared" si="88"/>
        <v>0</v>
      </c>
      <c r="EM12" s="30" t="str">
        <f t="shared" si="89"/>
        <v>0</v>
      </c>
      <c r="EN12" s="30" t="str">
        <f t="shared" si="90"/>
        <v>0</v>
      </c>
      <c r="EO12" s="31">
        <f t="shared" si="91"/>
        <v>0</v>
      </c>
      <c r="EP12" s="31" t="str">
        <f t="shared" si="92"/>
        <v>0</v>
      </c>
      <c r="EQ12" s="31">
        <f t="shared" si="93"/>
        <v>0</v>
      </c>
      <c r="ER12" s="93" t="str">
        <f t="shared" si="94"/>
        <v>0</v>
      </c>
      <c r="ES12" s="109" t="str">
        <f t="shared" si="95"/>
        <v>0</v>
      </c>
      <c r="ET12" s="32" t="str">
        <f t="shared" si="96"/>
        <v>0</v>
      </c>
      <c r="EV12" s="277"/>
      <c r="EW12" s="278"/>
      <c r="EX12" s="37">
        <f t="shared" si="105"/>
        <v>0</v>
      </c>
      <c r="EY12" s="72">
        <f t="shared" si="97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0</v>
      </c>
      <c r="FG12" s="182">
        <f t="shared" si="37"/>
        <v>0</v>
      </c>
      <c r="FH12" s="183" t="s">
        <v>52</v>
      </c>
      <c r="FI12" s="184">
        <f t="shared" si="98"/>
        <v>0</v>
      </c>
      <c r="FJ12" s="193" t="str">
        <f t="shared" si="99"/>
        <v>0</v>
      </c>
      <c r="FK12" s="185">
        <f t="shared" si="38"/>
        <v>0</v>
      </c>
      <c r="FL12" s="183" t="s">
        <v>52</v>
      </c>
      <c r="FM12" s="186">
        <f t="shared" si="39"/>
        <v>0</v>
      </c>
      <c r="FN12" s="193" t="str">
        <f t="shared" si="100"/>
        <v>0</v>
      </c>
      <c r="FO12" s="261">
        <f t="shared" si="101"/>
        <v>0</v>
      </c>
      <c r="FP12" s="183" t="s">
        <v>52</v>
      </c>
      <c r="FQ12" s="268">
        <f t="shared" si="102"/>
        <v>0</v>
      </c>
      <c r="FR12" s="196" t="str">
        <f t="shared" si="103"/>
        <v>0</v>
      </c>
      <c r="FS12" s="179">
        <f t="shared" si="40"/>
        <v>0</v>
      </c>
      <c r="FT12" s="179">
        <f t="shared" si="41"/>
        <v>0</v>
      </c>
      <c r="FU12" s="179">
        <f t="shared" si="42"/>
        <v>0</v>
      </c>
      <c r="FV12" s="187">
        <f t="shared" si="42"/>
        <v>0</v>
      </c>
      <c r="FW12" s="179">
        <f t="shared" si="42"/>
        <v>0</v>
      </c>
      <c r="FX12" s="179">
        <f t="shared" si="42"/>
        <v>0</v>
      </c>
      <c r="FY12" s="179">
        <f t="shared" si="42"/>
        <v>0</v>
      </c>
      <c r="FZ12" s="179">
        <f t="shared" si="42"/>
        <v>0</v>
      </c>
      <c r="GA12" s="179">
        <f t="shared" si="42"/>
        <v>0</v>
      </c>
      <c r="GB12" s="179">
        <f t="shared" si="42"/>
        <v>0</v>
      </c>
      <c r="GC12" s="187">
        <f t="shared" si="42"/>
        <v>0</v>
      </c>
      <c r="GD12" s="203" t="str">
        <f t="shared" si="104"/>
        <v>0</v>
      </c>
      <c r="GE12" s="179" t="str">
        <f t="shared" si="104"/>
        <v>0</v>
      </c>
      <c r="GF12" s="179" t="str">
        <f t="shared" si="104"/>
        <v>0</v>
      </c>
      <c r="GG12" s="258">
        <f t="shared" si="104"/>
        <v>0</v>
      </c>
      <c r="GH12" s="179"/>
      <c r="GJ12" s="82"/>
      <c r="GK12" s="24"/>
      <c r="GL12" s="185" t="e">
        <f>(CQ12/CQ40)*(EY41-EX41)</f>
        <v>#DIV/0!</v>
      </c>
      <c r="GM12" s="185" t="e">
        <f>((E41/G41)*(1-(CJ41/(CJ41+CK40))))/((E41/G41)*(1-(CJ41/(CJ41+CK40)))+((1-(E41/G41)))*(CJ41/(CJ41+CK40)))</f>
        <v>#DIV/0!</v>
      </c>
      <c r="GN12" s="24" t="e">
        <f>GK12+(GL12/10)+(GJ12*GM12*(1-(CJ41/(CJ41+CK40))))+(CK12*(1-GM12))</f>
        <v>#DIV/0!</v>
      </c>
      <c r="GO12" s="213" t="e">
        <f>GN12/(DD12*EG41)</f>
        <v>#DIV/0!</v>
      </c>
    </row>
    <row r="13" spans="1:197" x14ac:dyDescent="0.2">
      <c r="A13" s="139"/>
      <c r="B13" s="89" t="s">
        <v>82</v>
      </c>
      <c r="C13" s="41" t="s">
        <v>213</v>
      </c>
      <c r="D13" s="161">
        <v>0</v>
      </c>
      <c r="E13" s="114">
        <f t="shared" si="0"/>
        <v>0</v>
      </c>
      <c r="F13" s="339" t="s">
        <v>52</v>
      </c>
      <c r="G13" s="115">
        <f t="shared" si="1"/>
        <v>0</v>
      </c>
      <c r="H13" s="116" t="s">
        <v>53</v>
      </c>
      <c r="I13" s="339">
        <f t="shared" si="43"/>
        <v>0</v>
      </c>
      <c r="J13" s="115" t="s">
        <v>54</v>
      </c>
      <c r="K13" s="116">
        <f t="shared" si="2"/>
        <v>0</v>
      </c>
      <c r="L13" s="339" t="s">
        <v>52</v>
      </c>
      <c r="M13" s="115">
        <f t="shared" si="3"/>
        <v>0</v>
      </c>
      <c r="N13" s="116" t="s">
        <v>53</v>
      </c>
      <c r="O13" s="339">
        <f t="shared" si="4"/>
        <v>0</v>
      </c>
      <c r="P13" s="115" t="s">
        <v>54</v>
      </c>
      <c r="Q13" s="116">
        <f t="shared" si="5"/>
        <v>0</v>
      </c>
      <c r="R13" s="339" t="s">
        <v>52</v>
      </c>
      <c r="S13" s="115">
        <f t="shared" si="44"/>
        <v>0</v>
      </c>
      <c r="T13" s="116" t="s">
        <v>53</v>
      </c>
      <c r="U13" s="339">
        <f t="shared" si="6"/>
        <v>0</v>
      </c>
      <c r="V13" s="115" t="s">
        <v>54</v>
      </c>
      <c r="W13" s="116">
        <f t="shared" si="7"/>
        <v>0</v>
      </c>
      <c r="X13" s="339" t="s">
        <v>52</v>
      </c>
      <c r="Y13" s="115">
        <f t="shared" si="8"/>
        <v>0</v>
      </c>
      <c r="Z13" s="116" t="s">
        <v>53</v>
      </c>
      <c r="AA13" s="339">
        <f t="shared" si="9"/>
        <v>0</v>
      </c>
      <c r="AB13" s="115" t="s">
        <v>54</v>
      </c>
      <c r="AC13" s="116">
        <f t="shared" si="45"/>
        <v>0</v>
      </c>
      <c r="AD13" s="339" t="s">
        <v>52</v>
      </c>
      <c r="AE13" s="117">
        <f t="shared" si="46"/>
        <v>0</v>
      </c>
      <c r="AF13" s="341"/>
      <c r="AG13" s="114">
        <f t="shared" si="47"/>
        <v>0</v>
      </c>
      <c r="AH13" s="339" t="s">
        <v>52</v>
      </c>
      <c r="AI13" s="115">
        <f t="shared" si="10"/>
        <v>0</v>
      </c>
      <c r="AJ13" s="116" t="s">
        <v>53</v>
      </c>
      <c r="AK13" s="339">
        <f t="shared" si="11"/>
        <v>0</v>
      </c>
      <c r="AL13" s="115" t="s">
        <v>54</v>
      </c>
      <c r="AM13" s="246">
        <v>0</v>
      </c>
      <c r="AN13" s="244" t="s">
        <v>52</v>
      </c>
      <c r="AO13" s="245">
        <v>0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0</v>
      </c>
      <c r="AZ13" s="244" t="s">
        <v>52</v>
      </c>
      <c r="BA13" s="245">
        <v>0</v>
      </c>
      <c r="BB13" s="246" t="s">
        <v>53</v>
      </c>
      <c r="BC13" s="244">
        <v>0</v>
      </c>
      <c r="BD13" s="245" t="s">
        <v>54</v>
      </c>
      <c r="BE13" s="116">
        <v>0</v>
      </c>
      <c r="BF13" s="339" t="s">
        <v>52</v>
      </c>
      <c r="BG13" s="117">
        <v>0</v>
      </c>
      <c r="BH13" s="115"/>
      <c r="BI13" s="114">
        <f t="shared" si="12"/>
        <v>0</v>
      </c>
      <c r="BJ13" s="339" t="s">
        <v>52</v>
      </c>
      <c r="BK13" s="115">
        <f t="shared" si="48"/>
        <v>0</v>
      </c>
      <c r="BL13" s="116" t="s">
        <v>53</v>
      </c>
      <c r="BM13" s="339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0</v>
      </c>
      <c r="CD13" s="246" t="s">
        <v>53</v>
      </c>
      <c r="CE13" s="244">
        <v>0</v>
      </c>
      <c r="CF13" s="245" t="s">
        <v>54</v>
      </c>
      <c r="CG13" s="116">
        <v>0</v>
      </c>
      <c r="CH13" s="339" t="s">
        <v>52</v>
      </c>
      <c r="CI13" s="117">
        <v>0</v>
      </c>
      <c r="CJ13" s="148">
        <v>0</v>
      </c>
      <c r="CK13" s="148">
        <f t="shared" si="49"/>
        <v>0</v>
      </c>
      <c r="CL13" s="148">
        <v>0</v>
      </c>
      <c r="CM13" s="148">
        <v>0</v>
      </c>
      <c r="CN13" s="148">
        <f t="shared" si="50"/>
        <v>0</v>
      </c>
      <c r="CO13" s="175">
        <v>0</v>
      </c>
      <c r="CP13" s="140">
        <v>0</v>
      </c>
      <c r="CQ13" s="175">
        <v>0</v>
      </c>
      <c r="CR13" s="148">
        <v>0</v>
      </c>
      <c r="CS13" s="148">
        <v>0</v>
      </c>
      <c r="CT13" s="140">
        <v>0</v>
      </c>
      <c r="CU13" s="140">
        <v>0</v>
      </c>
      <c r="CV13" s="148">
        <f t="shared" si="51"/>
        <v>0</v>
      </c>
      <c r="CW13" s="140"/>
      <c r="CX13" s="140" t="str">
        <f t="shared" si="52"/>
        <v>0</v>
      </c>
      <c r="CY13" s="140" t="str">
        <f t="shared" si="53"/>
        <v>0</v>
      </c>
      <c r="CZ13" s="165" t="str">
        <f t="shared" si="54"/>
        <v>0</v>
      </c>
      <c r="DA13" s="164">
        <f t="shared" si="55"/>
        <v>0</v>
      </c>
      <c r="DB13" s="141"/>
      <c r="DC13" s="141"/>
      <c r="DD13" s="77" t="str">
        <f t="shared" si="56"/>
        <v>0</v>
      </c>
      <c r="DE13" s="37" t="str">
        <f t="shared" si="57"/>
        <v>0</v>
      </c>
      <c r="DF13" s="37" t="str">
        <f t="shared" si="58"/>
        <v>0</v>
      </c>
      <c r="DG13" s="37" t="str">
        <f t="shared" si="59"/>
        <v>0</v>
      </c>
      <c r="DH13" s="37" t="str">
        <f t="shared" si="60"/>
        <v>0</v>
      </c>
      <c r="DI13" s="37" t="str">
        <f t="shared" si="61"/>
        <v>0</v>
      </c>
      <c r="DJ13" s="37" t="str">
        <f t="shared" si="62"/>
        <v>0</v>
      </c>
      <c r="DK13" s="37" t="str">
        <f t="shared" si="63"/>
        <v>0</v>
      </c>
      <c r="DL13" s="37" t="str">
        <f t="shared" si="64"/>
        <v>0</v>
      </c>
      <c r="DM13" s="37" t="str">
        <f t="shared" si="65"/>
        <v>0</v>
      </c>
      <c r="DN13" s="37" t="str">
        <f t="shared" si="66"/>
        <v>0</v>
      </c>
      <c r="DO13" s="37" t="str">
        <f t="shared" si="67"/>
        <v>0</v>
      </c>
      <c r="DP13" s="66" t="str">
        <f t="shared" si="68"/>
        <v>0</v>
      </c>
      <c r="DQ13" s="78" t="str">
        <f t="shared" si="69"/>
        <v>0</v>
      </c>
      <c r="DR13" s="6"/>
      <c r="DS13" s="36"/>
      <c r="DT13" s="75" t="str">
        <f t="shared" si="70"/>
        <v>0</v>
      </c>
      <c r="DU13" s="18" t="str">
        <f t="shared" si="71"/>
        <v>0</v>
      </c>
      <c r="DV13" s="13" t="str">
        <f t="shared" si="72"/>
        <v>0</v>
      </c>
      <c r="DW13" s="14" t="str">
        <f t="shared" si="73"/>
        <v>0</v>
      </c>
      <c r="DX13" s="14" t="str">
        <f t="shared" si="74"/>
        <v>0</v>
      </c>
      <c r="DY13" s="14" t="str">
        <f t="shared" si="75"/>
        <v>0</v>
      </c>
      <c r="DZ13" s="15" t="str">
        <f t="shared" si="76"/>
        <v>0</v>
      </c>
      <c r="EA13" s="14" t="str">
        <f t="shared" si="77"/>
        <v>0</v>
      </c>
      <c r="EB13" s="14" t="str">
        <f t="shared" si="78"/>
        <v>0</v>
      </c>
      <c r="EC13" s="14" t="str">
        <f t="shared" si="79"/>
        <v>0</v>
      </c>
      <c r="ED13" s="14">
        <f t="shared" si="80"/>
        <v>0</v>
      </c>
      <c r="EE13" s="19">
        <f t="shared" si="81"/>
        <v>0</v>
      </c>
      <c r="EF13" s="67" t="str">
        <f t="shared" si="82"/>
        <v>0</v>
      </c>
      <c r="EG13" s="74">
        <f t="shared" si="83"/>
        <v>0</v>
      </c>
      <c r="EH13" s="27" t="str">
        <f t="shared" si="84"/>
        <v>0</v>
      </c>
      <c r="EI13" s="25" t="str">
        <f t="shared" si="85"/>
        <v>0</v>
      </c>
      <c r="EJ13" s="25" t="str">
        <f t="shared" si="86"/>
        <v>0</v>
      </c>
      <c r="EK13" s="26" t="str">
        <f t="shared" si="87"/>
        <v>0</v>
      </c>
      <c r="EL13" s="29" t="str">
        <f t="shared" si="88"/>
        <v>0</v>
      </c>
      <c r="EM13" s="30" t="str">
        <f t="shared" si="89"/>
        <v>0</v>
      </c>
      <c r="EN13" s="30" t="str">
        <f t="shared" si="90"/>
        <v>0</v>
      </c>
      <c r="EO13" s="31">
        <f t="shared" si="91"/>
        <v>0</v>
      </c>
      <c r="EP13" s="31" t="str">
        <f t="shared" si="92"/>
        <v>0</v>
      </c>
      <c r="EQ13" s="31">
        <f t="shared" si="93"/>
        <v>0</v>
      </c>
      <c r="ER13" s="93" t="str">
        <f t="shared" si="94"/>
        <v>0</v>
      </c>
      <c r="ES13" s="109" t="str">
        <f t="shared" si="95"/>
        <v>0</v>
      </c>
      <c r="ET13" s="32" t="str">
        <f t="shared" si="96"/>
        <v>0</v>
      </c>
      <c r="EV13" s="277"/>
      <c r="EW13" s="278"/>
      <c r="EX13" s="37">
        <f t="shared" si="105"/>
        <v>0</v>
      </c>
      <c r="EY13" s="72">
        <f t="shared" si="97"/>
        <v>0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0</v>
      </c>
      <c r="FG13" s="144">
        <f t="shared" si="37"/>
        <v>0</v>
      </c>
      <c r="FH13" s="339" t="s">
        <v>52</v>
      </c>
      <c r="FI13" s="145">
        <f t="shared" si="98"/>
        <v>0</v>
      </c>
      <c r="FJ13" s="194" t="str">
        <f t="shared" si="99"/>
        <v>0</v>
      </c>
      <c r="FK13" s="110">
        <f t="shared" si="38"/>
        <v>0</v>
      </c>
      <c r="FL13" s="339" t="s">
        <v>52</v>
      </c>
      <c r="FM13" s="168">
        <f t="shared" si="39"/>
        <v>0</v>
      </c>
      <c r="FN13" s="194" t="str">
        <f t="shared" si="100"/>
        <v>0</v>
      </c>
      <c r="FO13" s="262">
        <f t="shared" si="101"/>
        <v>0</v>
      </c>
      <c r="FP13" s="339" t="s">
        <v>52</v>
      </c>
      <c r="FQ13" s="274">
        <f t="shared" si="102"/>
        <v>0</v>
      </c>
      <c r="FR13" s="197" t="str">
        <f t="shared" si="103"/>
        <v>0</v>
      </c>
      <c r="FS13" s="140">
        <f t="shared" si="40"/>
        <v>0</v>
      </c>
      <c r="FT13" s="140">
        <f t="shared" si="41"/>
        <v>0</v>
      </c>
      <c r="FU13" s="140">
        <f t="shared" si="42"/>
        <v>0</v>
      </c>
      <c r="FV13" s="175">
        <f t="shared" si="42"/>
        <v>0</v>
      </c>
      <c r="FW13" s="140">
        <f t="shared" si="42"/>
        <v>0</v>
      </c>
      <c r="FX13" s="140">
        <f t="shared" si="42"/>
        <v>0</v>
      </c>
      <c r="FY13" s="140">
        <f t="shared" si="42"/>
        <v>0</v>
      </c>
      <c r="FZ13" s="140">
        <f t="shared" si="42"/>
        <v>0</v>
      </c>
      <c r="GA13" s="140">
        <f t="shared" si="42"/>
        <v>0</v>
      </c>
      <c r="GB13" s="140">
        <f t="shared" si="42"/>
        <v>0</v>
      </c>
      <c r="GC13" s="175">
        <f t="shared" si="42"/>
        <v>0</v>
      </c>
      <c r="GD13" s="202" t="str">
        <f t="shared" si="104"/>
        <v>0</v>
      </c>
      <c r="GE13" s="140" t="str">
        <f t="shared" si="104"/>
        <v>0</v>
      </c>
      <c r="GF13" s="140" t="str">
        <f t="shared" si="104"/>
        <v>0</v>
      </c>
      <c r="GG13" s="259">
        <f t="shared" si="104"/>
        <v>0</v>
      </c>
      <c r="GH13" s="140"/>
      <c r="GJ13" s="82"/>
      <c r="GK13" s="24"/>
      <c r="GL13" s="185" t="e">
        <f>(CQ13/CQ42)*(EY43-EX43)</f>
        <v>#DIV/0!</v>
      </c>
      <c r="GM13" s="185" t="e">
        <f>((E43/G43)*(1-(CJ43/(CJ43+CK42))))/((E43/G43)*(1-(CJ43/(CJ43+CK42)))+((1-(E43/G43)))*(CJ43/(CJ43+CK42)))</f>
        <v>#DIV/0!</v>
      </c>
      <c r="GN13" s="24" t="e">
        <f>GK13+(GL13/10)+(GJ13*GM13*(1-(CJ43/(CJ43+CK42))))+(CK13*(1-GM13))</f>
        <v>#DIV/0!</v>
      </c>
      <c r="GO13" s="213" t="e">
        <f>GN13/(DD13*EG43)</f>
        <v>#DIV/0!</v>
      </c>
    </row>
    <row r="14" spans="1:197" x14ac:dyDescent="0.2">
      <c r="A14" s="139"/>
      <c r="B14" s="89" t="s">
        <v>82</v>
      </c>
      <c r="C14" s="41" t="s">
        <v>214</v>
      </c>
      <c r="D14" s="161">
        <v>0</v>
      </c>
      <c r="E14" s="114">
        <f t="shared" si="0"/>
        <v>0</v>
      </c>
      <c r="F14" s="339" t="s">
        <v>52</v>
      </c>
      <c r="G14" s="115">
        <f t="shared" si="1"/>
        <v>0</v>
      </c>
      <c r="H14" s="116" t="s">
        <v>53</v>
      </c>
      <c r="I14" s="339">
        <f t="shared" si="43"/>
        <v>0</v>
      </c>
      <c r="J14" s="115" t="s">
        <v>54</v>
      </c>
      <c r="K14" s="116">
        <f t="shared" si="2"/>
        <v>0</v>
      </c>
      <c r="L14" s="339" t="s">
        <v>52</v>
      </c>
      <c r="M14" s="115">
        <f t="shared" si="3"/>
        <v>0</v>
      </c>
      <c r="N14" s="116" t="s">
        <v>53</v>
      </c>
      <c r="O14" s="339">
        <f t="shared" si="4"/>
        <v>0</v>
      </c>
      <c r="P14" s="115" t="s">
        <v>54</v>
      </c>
      <c r="Q14" s="116">
        <f t="shared" si="5"/>
        <v>0</v>
      </c>
      <c r="R14" s="339" t="s">
        <v>52</v>
      </c>
      <c r="S14" s="115">
        <f t="shared" si="44"/>
        <v>0</v>
      </c>
      <c r="T14" s="116" t="s">
        <v>53</v>
      </c>
      <c r="U14" s="339">
        <f t="shared" si="6"/>
        <v>0</v>
      </c>
      <c r="V14" s="115" t="s">
        <v>54</v>
      </c>
      <c r="W14" s="116">
        <f t="shared" si="7"/>
        <v>0</v>
      </c>
      <c r="X14" s="339" t="s">
        <v>52</v>
      </c>
      <c r="Y14" s="115">
        <f t="shared" si="8"/>
        <v>0</v>
      </c>
      <c r="Z14" s="116" t="s">
        <v>53</v>
      </c>
      <c r="AA14" s="339">
        <f t="shared" si="9"/>
        <v>0</v>
      </c>
      <c r="AB14" s="115" t="s">
        <v>54</v>
      </c>
      <c r="AC14" s="116">
        <f t="shared" si="45"/>
        <v>0</v>
      </c>
      <c r="AD14" s="339" t="s">
        <v>52</v>
      </c>
      <c r="AE14" s="117">
        <f t="shared" si="46"/>
        <v>0</v>
      </c>
      <c r="AF14" s="341"/>
      <c r="AG14" s="114">
        <f t="shared" si="47"/>
        <v>0</v>
      </c>
      <c r="AH14" s="339" t="s">
        <v>52</v>
      </c>
      <c r="AI14" s="115">
        <f t="shared" si="10"/>
        <v>0</v>
      </c>
      <c r="AJ14" s="116" t="s">
        <v>53</v>
      </c>
      <c r="AK14" s="339">
        <f t="shared" si="11"/>
        <v>0</v>
      </c>
      <c r="AL14" s="115" t="s">
        <v>54</v>
      </c>
      <c r="AM14" s="246">
        <v>0</v>
      </c>
      <c r="AN14" s="244" t="s">
        <v>52</v>
      </c>
      <c r="AO14" s="245">
        <v>0</v>
      </c>
      <c r="AP14" s="246" t="s">
        <v>53</v>
      </c>
      <c r="AQ14" s="244">
        <v>0</v>
      </c>
      <c r="AR14" s="245" t="s">
        <v>54</v>
      </c>
      <c r="AS14" s="246">
        <v>0</v>
      </c>
      <c r="AT14" s="244" t="s">
        <v>52</v>
      </c>
      <c r="AU14" s="245">
        <v>0</v>
      </c>
      <c r="AV14" s="246" t="s">
        <v>53</v>
      </c>
      <c r="AW14" s="244">
        <v>0</v>
      </c>
      <c r="AX14" s="245" t="s">
        <v>54</v>
      </c>
      <c r="AY14" s="246">
        <v>0</v>
      </c>
      <c r="AZ14" s="244" t="s">
        <v>52</v>
      </c>
      <c r="BA14" s="245">
        <v>0</v>
      </c>
      <c r="BB14" s="246" t="s">
        <v>53</v>
      </c>
      <c r="BC14" s="244">
        <v>0</v>
      </c>
      <c r="BD14" s="245" t="s">
        <v>54</v>
      </c>
      <c r="BE14" s="116">
        <v>0</v>
      </c>
      <c r="BF14" s="339" t="s">
        <v>52</v>
      </c>
      <c r="BG14" s="117">
        <v>0</v>
      </c>
      <c r="BH14" s="115"/>
      <c r="BI14" s="114">
        <f t="shared" si="12"/>
        <v>0</v>
      </c>
      <c r="BJ14" s="339" t="s">
        <v>52</v>
      </c>
      <c r="BK14" s="115">
        <f t="shared" si="48"/>
        <v>0</v>
      </c>
      <c r="BL14" s="116" t="s">
        <v>53</v>
      </c>
      <c r="BM14" s="339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0</v>
      </c>
      <c r="CD14" s="246" t="s">
        <v>53</v>
      </c>
      <c r="CE14" s="244">
        <v>0</v>
      </c>
      <c r="CF14" s="245" t="s">
        <v>54</v>
      </c>
      <c r="CG14" s="116">
        <v>0</v>
      </c>
      <c r="CH14" s="339" t="s">
        <v>52</v>
      </c>
      <c r="CI14" s="117">
        <v>0</v>
      </c>
      <c r="CJ14" s="140">
        <v>0</v>
      </c>
      <c r="CK14" s="148">
        <f t="shared" si="49"/>
        <v>0</v>
      </c>
      <c r="CL14" s="148">
        <v>0</v>
      </c>
      <c r="CM14" s="148">
        <v>0</v>
      </c>
      <c r="CN14" s="148">
        <f t="shared" si="50"/>
        <v>0</v>
      </c>
      <c r="CO14" s="175">
        <v>0</v>
      </c>
      <c r="CP14" s="140">
        <v>0</v>
      </c>
      <c r="CQ14" s="175">
        <v>0</v>
      </c>
      <c r="CR14" s="148">
        <v>0</v>
      </c>
      <c r="CS14" s="148">
        <v>0</v>
      </c>
      <c r="CT14" s="140">
        <v>0</v>
      </c>
      <c r="CU14" s="140">
        <v>0</v>
      </c>
      <c r="CV14" s="148">
        <f t="shared" si="51"/>
        <v>0</v>
      </c>
      <c r="CW14" s="140"/>
      <c r="CX14" s="140" t="str">
        <f t="shared" si="52"/>
        <v>0</v>
      </c>
      <c r="CY14" s="140" t="str">
        <f t="shared" si="53"/>
        <v>0</v>
      </c>
      <c r="CZ14" s="165" t="str">
        <f t="shared" si="54"/>
        <v>0</v>
      </c>
      <c r="DA14" s="164">
        <f t="shared" si="55"/>
        <v>0</v>
      </c>
      <c r="DB14" s="141"/>
      <c r="DC14" s="141"/>
      <c r="DD14" s="77" t="str">
        <f t="shared" si="56"/>
        <v>0</v>
      </c>
      <c r="DE14" s="37" t="str">
        <f t="shared" si="57"/>
        <v>0</v>
      </c>
      <c r="DF14" s="37" t="str">
        <f t="shared" si="58"/>
        <v>0</v>
      </c>
      <c r="DG14" s="37" t="str">
        <f t="shared" si="59"/>
        <v>0</v>
      </c>
      <c r="DH14" s="37" t="str">
        <f t="shared" si="60"/>
        <v>0</v>
      </c>
      <c r="DI14" s="37" t="str">
        <f t="shared" si="61"/>
        <v>0</v>
      </c>
      <c r="DJ14" s="37" t="str">
        <f t="shared" si="62"/>
        <v>0</v>
      </c>
      <c r="DK14" s="37" t="str">
        <f t="shared" si="63"/>
        <v>0</v>
      </c>
      <c r="DL14" s="37" t="str">
        <f t="shared" si="64"/>
        <v>0</v>
      </c>
      <c r="DM14" s="37" t="str">
        <f t="shared" si="65"/>
        <v>0</v>
      </c>
      <c r="DN14" s="37" t="str">
        <f t="shared" si="66"/>
        <v>0</v>
      </c>
      <c r="DO14" s="37" t="str">
        <f t="shared" si="67"/>
        <v>0</v>
      </c>
      <c r="DP14" s="66" t="str">
        <f t="shared" si="68"/>
        <v>0</v>
      </c>
      <c r="DQ14" s="78" t="str">
        <f t="shared" si="69"/>
        <v>0</v>
      </c>
      <c r="DR14" s="6"/>
      <c r="DS14" s="36"/>
      <c r="DT14" s="75" t="str">
        <f t="shared" si="70"/>
        <v>0</v>
      </c>
      <c r="DU14" s="18" t="str">
        <f t="shared" si="71"/>
        <v>0</v>
      </c>
      <c r="DV14" s="13" t="str">
        <f t="shared" si="72"/>
        <v>0</v>
      </c>
      <c r="DW14" s="14" t="str">
        <f t="shared" si="73"/>
        <v>0</v>
      </c>
      <c r="DX14" s="14" t="str">
        <f t="shared" si="74"/>
        <v>0</v>
      </c>
      <c r="DY14" s="14" t="str">
        <f t="shared" si="75"/>
        <v>0</v>
      </c>
      <c r="DZ14" s="15" t="str">
        <f t="shared" si="76"/>
        <v>0</v>
      </c>
      <c r="EA14" s="14" t="str">
        <f t="shared" si="77"/>
        <v>0</v>
      </c>
      <c r="EB14" s="14" t="str">
        <f t="shared" si="78"/>
        <v>0</v>
      </c>
      <c r="EC14" s="14" t="str">
        <f t="shared" si="79"/>
        <v>0</v>
      </c>
      <c r="ED14" s="14">
        <f t="shared" si="80"/>
        <v>0</v>
      </c>
      <c r="EE14" s="19">
        <f t="shared" si="81"/>
        <v>0</v>
      </c>
      <c r="EF14" s="67" t="str">
        <f t="shared" si="82"/>
        <v>0</v>
      </c>
      <c r="EG14" s="74">
        <f t="shared" si="83"/>
        <v>0</v>
      </c>
      <c r="EH14" s="27" t="str">
        <f t="shared" si="84"/>
        <v>0</v>
      </c>
      <c r="EI14" s="25" t="str">
        <f t="shared" si="85"/>
        <v>0</v>
      </c>
      <c r="EJ14" s="25" t="str">
        <f t="shared" si="86"/>
        <v>0</v>
      </c>
      <c r="EK14" s="26" t="str">
        <f t="shared" si="87"/>
        <v>0</v>
      </c>
      <c r="EL14" s="29" t="str">
        <f t="shared" si="88"/>
        <v>0</v>
      </c>
      <c r="EM14" s="30" t="str">
        <f t="shared" si="89"/>
        <v>0</v>
      </c>
      <c r="EN14" s="30" t="str">
        <f t="shared" si="90"/>
        <v>0</v>
      </c>
      <c r="EO14" s="31">
        <f t="shared" si="91"/>
        <v>0</v>
      </c>
      <c r="EP14" s="31" t="str">
        <f t="shared" si="92"/>
        <v>0</v>
      </c>
      <c r="EQ14" s="31">
        <f t="shared" si="93"/>
        <v>0</v>
      </c>
      <c r="ER14" s="93" t="str">
        <f t="shared" si="94"/>
        <v>0</v>
      </c>
      <c r="ES14" s="109" t="str">
        <f t="shared" si="95"/>
        <v>0</v>
      </c>
      <c r="ET14" s="32" t="str">
        <f t="shared" si="96"/>
        <v>0</v>
      </c>
      <c r="EV14" s="277"/>
      <c r="EW14" s="278"/>
      <c r="EX14" s="37">
        <f t="shared" si="105"/>
        <v>0</v>
      </c>
      <c r="EY14" s="72">
        <f t="shared" si="97"/>
        <v>0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0</v>
      </c>
      <c r="FG14" s="182">
        <f t="shared" si="37"/>
        <v>0</v>
      </c>
      <c r="FH14" s="183" t="s">
        <v>52</v>
      </c>
      <c r="FI14" s="184">
        <f t="shared" si="98"/>
        <v>0</v>
      </c>
      <c r="FJ14" s="193" t="str">
        <f t="shared" si="99"/>
        <v>0</v>
      </c>
      <c r="FK14" s="185">
        <f t="shared" si="38"/>
        <v>0</v>
      </c>
      <c r="FL14" s="183" t="s">
        <v>52</v>
      </c>
      <c r="FM14" s="186">
        <f t="shared" si="39"/>
        <v>0</v>
      </c>
      <c r="FN14" s="193" t="str">
        <f t="shared" si="100"/>
        <v>0</v>
      </c>
      <c r="FO14" s="261">
        <f t="shared" si="101"/>
        <v>0</v>
      </c>
      <c r="FP14" s="183" t="s">
        <v>52</v>
      </c>
      <c r="FQ14" s="268">
        <f t="shared" si="102"/>
        <v>0</v>
      </c>
      <c r="FR14" s="196" t="str">
        <f t="shared" si="103"/>
        <v>0</v>
      </c>
      <c r="FS14" s="179">
        <f t="shared" si="40"/>
        <v>0</v>
      </c>
      <c r="FT14" s="179">
        <f t="shared" si="41"/>
        <v>0</v>
      </c>
      <c r="FU14" s="179">
        <f t="shared" si="42"/>
        <v>0</v>
      </c>
      <c r="FV14" s="187">
        <f t="shared" si="42"/>
        <v>0</v>
      </c>
      <c r="FW14" s="179">
        <f t="shared" si="42"/>
        <v>0</v>
      </c>
      <c r="FX14" s="179">
        <f t="shared" si="42"/>
        <v>0</v>
      </c>
      <c r="FY14" s="179">
        <f t="shared" si="42"/>
        <v>0</v>
      </c>
      <c r="FZ14" s="179">
        <f t="shared" si="42"/>
        <v>0</v>
      </c>
      <c r="GA14" s="179">
        <f t="shared" si="42"/>
        <v>0</v>
      </c>
      <c r="GB14" s="179">
        <f t="shared" si="42"/>
        <v>0</v>
      </c>
      <c r="GC14" s="187">
        <f t="shared" si="42"/>
        <v>0</v>
      </c>
      <c r="GD14" s="203" t="str">
        <f t="shared" si="104"/>
        <v>0</v>
      </c>
      <c r="GE14" s="179" t="str">
        <f t="shared" si="104"/>
        <v>0</v>
      </c>
      <c r="GF14" s="179" t="str">
        <f t="shared" si="104"/>
        <v>0</v>
      </c>
      <c r="GG14" s="258">
        <f t="shared" si="104"/>
        <v>0</v>
      </c>
      <c r="GH14" s="179"/>
      <c r="GJ14" s="82"/>
      <c r="GK14" s="24"/>
      <c r="GL14" s="185" t="e">
        <f>(CQ14/CQ46)*(EY47-EX47)</f>
        <v>#DIV/0!</v>
      </c>
      <c r="GM14" s="185" t="e">
        <f>((E47/G47)*(1-(CJ47/(CJ47+CK46))))/((E47/G47)*(1-(CJ47/(CJ47+CK46)))+((1-(E47/G47)))*(CJ47/(CJ47+CK46)))</f>
        <v>#DIV/0!</v>
      </c>
      <c r="GN14" s="24" t="e">
        <f>GK14+(GL14/10)+(GJ14*GM14*(1-(CJ47/(CJ47+CK46))))+(CK14*(1-GM14))</f>
        <v>#DIV/0!</v>
      </c>
      <c r="GO14" s="213" t="e">
        <f>GN14/(DD14*EG47)</f>
        <v>#DIV/0!</v>
      </c>
    </row>
    <row r="15" spans="1:197" x14ac:dyDescent="0.2">
      <c r="A15" s="139"/>
      <c r="B15" s="89" t="s">
        <v>82</v>
      </c>
      <c r="C15" s="41" t="s">
        <v>215</v>
      </c>
      <c r="D15" s="161">
        <v>0</v>
      </c>
      <c r="E15" s="114">
        <f t="shared" si="0"/>
        <v>0</v>
      </c>
      <c r="F15" s="339" t="s">
        <v>52</v>
      </c>
      <c r="G15" s="115">
        <f t="shared" si="1"/>
        <v>0</v>
      </c>
      <c r="H15" s="116" t="s">
        <v>53</v>
      </c>
      <c r="I15" s="339">
        <f t="shared" si="43"/>
        <v>0</v>
      </c>
      <c r="J15" s="115" t="s">
        <v>54</v>
      </c>
      <c r="K15" s="116">
        <f t="shared" si="2"/>
        <v>0</v>
      </c>
      <c r="L15" s="339" t="s">
        <v>52</v>
      </c>
      <c r="M15" s="115">
        <f t="shared" si="3"/>
        <v>0</v>
      </c>
      <c r="N15" s="116" t="s">
        <v>53</v>
      </c>
      <c r="O15" s="339">
        <f t="shared" si="4"/>
        <v>0</v>
      </c>
      <c r="P15" s="115" t="s">
        <v>54</v>
      </c>
      <c r="Q15" s="116">
        <f t="shared" si="5"/>
        <v>0</v>
      </c>
      <c r="R15" s="339" t="s">
        <v>52</v>
      </c>
      <c r="S15" s="115">
        <f t="shared" si="44"/>
        <v>0</v>
      </c>
      <c r="T15" s="116" t="s">
        <v>53</v>
      </c>
      <c r="U15" s="339">
        <f t="shared" si="6"/>
        <v>0</v>
      </c>
      <c r="V15" s="115" t="s">
        <v>54</v>
      </c>
      <c r="W15" s="116">
        <f t="shared" si="7"/>
        <v>0</v>
      </c>
      <c r="X15" s="339" t="s">
        <v>52</v>
      </c>
      <c r="Y15" s="115">
        <f t="shared" si="8"/>
        <v>0</v>
      </c>
      <c r="Z15" s="116" t="s">
        <v>53</v>
      </c>
      <c r="AA15" s="339">
        <f t="shared" si="9"/>
        <v>0</v>
      </c>
      <c r="AB15" s="115" t="s">
        <v>54</v>
      </c>
      <c r="AC15" s="116">
        <f t="shared" si="45"/>
        <v>0</v>
      </c>
      <c r="AD15" s="339" t="s">
        <v>52</v>
      </c>
      <c r="AE15" s="117">
        <f t="shared" si="46"/>
        <v>0</v>
      </c>
      <c r="AF15" s="341"/>
      <c r="AG15" s="114">
        <f t="shared" si="47"/>
        <v>0</v>
      </c>
      <c r="AH15" s="339" t="s">
        <v>52</v>
      </c>
      <c r="AI15" s="115">
        <f t="shared" si="10"/>
        <v>0</v>
      </c>
      <c r="AJ15" s="116" t="s">
        <v>53</v>
      </c>
      <c r="AK15" s="339">
        <f t="shared" si="11"/>
        <v>0</v>
      </c>
      <c r="AL15" s="115" t="s">
        <v>54</v>
      </c>
      <c r="AM15" s="246">
        <v>0</v>
      </c>
      <c r="AN15" s="244" t="s">
        <v>52</v>
      </c>
      <c r="AO15" s="245">
        <v>0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0</v>
      </c>
      <c r="AZ15" s="244" t="s">
        <v>52</v>
      </c>
      <c r="BA15" s="245">
        <v>0</v>
      </c>
      <c r="BB15" s="246" t="s">
        <v>53</v>
      </c>
      <c r="BC15" s="244">
        <v>0</v>
      </c>
      <c r="BD15" s="245" t="s">
        <v>54</v>
      </c>
      <c r="BE15" s="116">
        <v>0</v>
      </c>
      <c r="BF15" s="339" t="s">
        <v>52</v>
      </c>
      <c r="BG15" s="117">
        <v>0</v>
      </c>
      <c r="BH15" s="115"/>
      <c r="BI15" s="114">
        <f t="shared" si="12"/>
        <v>0</v>
      </c>
      <c r="BJ15" s="339" t="s">
        <v>52</v>
      </c>
      <c r="BK15" s="115">
        <f t="shared" si="48"/>
        <v>0</v>
      </c>
      <c r="BL15" s="116" t="s">
        <v>53</v>
      </c>
      <c r="BM15" s="339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339" t="s">
        <v>52</v>
      </c>
      <c r="CI15" s="117">
        <v>0</v>
      </c>
      <c r="CJ15" s="140">
        <v>0</v>
      </c>
      <c r="CK15" s="148">
        <f t="shared" si="49"/>
        <v>0</v>
      </c>
      <c r="CL15" s="148">
        <v>0</v>
      </c>
      <c r="CM15" s="148">
        <v>0</v>
      </c>
      <c r="CN15" s="148">
        <f t="shared" si="50"/>
        <v>0</v>
      </c>
      <c r="CO15" s="175">
        <v>0</v>
      </c>
      <c r="CP15" s="140">
        <v>0</v>
      </c>
      <c r="CQ15" s="175">
        <v>0</v>
      </c>
      <c r="CR15" s="148">
        <v>0</v>
      </c>
      <c r="CS15" s="148">
        <v>0</v>
      </c>
      <c r="CT15" s="140">
        <v>0</v>
      </c>
      <c r="CU15" s="140">
        <v>0</v>
      </c>
      <c r="CV15" s="148">
        <f t="shared" si="51"/>
        <v>0</v>
      </c>
      <c r="CW15" s="140"/>
      <c r="CX15" s="140" t="str">
        <f t="shared" si="52"/>
        <v>0</v>
      </c>
      <c r="CY15" s="140" t="str">
        <f t="shared" si="53"/>
        <v>0</v>
      </c>
      <c r="CZ15" s="165" t="str">
        <f t="shared" si="54"/>
        <v>0</v>
      </c>
      <c r="DA15" s="164">
        <f t="shared" si="55"/>
        <v>0</v>
      </c>
      <c r="DB15" s="141"/>
      <c r="DC15" s="141"/>
      <c r="DD15" s="77" t="str">
        <f t="shared" si="56"/>
        <v>0</v>
      </c>
      <c r="DE15" s="37" t="str">
        <f t="shared" si="57"/>
        <v>0</v>
      </c>
      <c r="DF15" s="37" t="str">
        <f t="shared" si="58"/>
        <v>0</v>
      </c>
      <c r="DG15" s="37" t="str">
        <f t="shared" si="59"/>
        <v>0</v>
      </c>
      <c r="DH15" s="37" t="str">
        <f t="shared" si="60"/>
        <v>0</v>
      </c>
      <c r="DI15" s="37" t="str">
        <f t="shared" si="61"/>
        <v>0</v>
      </c>
      <c r="DJ15" s="37" t="str">
        <f t="shared" si="62"/>
        <v>0</v>
      </c>
      <c r="DK15" s="37" t="str">
        <f t="shared" si="63"/>
        <v>0</v>
      </c>
      <c r="DL15" s="37" t="str">
        <f t="shared" si="64"/>
        <v>0</v>
      </c>
      <c r="DM15" s="37" t="str">
        <f t="shared" si="65"/>
        <v>0</v>
      </c>
      <c r="DN15" s="37" t="str">
        <f t="shared" si="66"/>
        <v>0</v>
      </c>
      <c r="DO15" s="37" t="str">
        <f t="shared" si="67"/>
        <v>0</v>
      </c>
      <c r="DP15" s="66" t="str">
        <f t="shared" si="68"/>
        <v>0</v>
      </c>
      <c r="DQ15" s="78" t="str">
        <f t="shared" si="69"/>
        <v>0</v>
      </c>
      <c r="DR15" s="6"/>
      <c r="DS15" s="36"/>
      <c r="DT15" s="75" t="str">
        <f t="shared" si="70"/>
        <v>0</v>
      </c>
      <c r="DU15" s="18" t="str">
        <f t="shared" si="71"/>
        <v>0</v>
      </c>
      <c r="DV15" s="13" t="str">
        <f t="shared" si="72"/>
        <v>0</v>
      </c>
      <c r="DW15" s="14" t="str">
        <f t="shared" si="73"/>
        <v>0</v>
      </c>
      <c r="DX15" s="14" t="str">
        <f t="shared" si="74"/>
        <v>0</v>
      </c>
      <c r="DY15" s="14" t="str">
        <f t="shared" si="75"/>
        <v>0</v>
      </c>
      <c r="DZ15" s="15" t="str">
        <f t="shared" si="76"/>
        <v>0</v>
      </c>
      <c r="EA15" s="14" t="str">
        <f t="shared" si="77"/>
        <v>0</v>
      </c>
      <c r="EB15" s="14" t="str">
        <f t="shared" si="78"/>
        <v>0</v>
      </c>
      <c r="EC15" s="14" t="str">
        <f t="shared" si="79"/>
        <v>0</v>
      </c>
      <c r="ED15" s="14">
        <f t="shared" si="80"/>
        <v>0</v>
      </c>
      <c r="EE15" s="19">
        <f t="shared" si="81"/>
        <v>0</v>
      </c>
      <c r="EF15" s="67" t="str">
        <f t="shared" si="82"/>
        <v>0</v>
      </c>
      <c r="EG15" s="74">
        <f t="shared" si="83"/>
        <v>0</v>
      </c>
      <c r="EH15" s="27" t="str">
        <f t="shared" si="84"/>
        <v>0</v>
      </c>
      <c r="EI15" s="25" t="str">
        <f t="shared" si="85"/>
        <v>0</v>
      </c>
      <c r="EJ15" s="25" t="str">
        <f t="shared" si="86"/>
        <v>0</v>
      </c>
      <c r="EK15" s="26" t="str">
        <f t="shared" si="87"/>
        <v>0</v>
      </c>
      <c r="EL15" s="29" t="str">
        <f t="shared" si="88"/>
        <v>0</v>
      </c>
      <c r="EM15" s="30" t="str">
        <f t="shared" si="89"/>
        <v>0</v>
      </c>
      <c r="EN15" s="30" t="str">
        <f t="shared" si="90"/>
        <v>0</v>
      </c>
      <c r="EO15" s="31">
        <f t="shared" si="91"/>
        <v>0</v>
      </c>
      <c r="EP15" s="31" t="str">
        <f t="shared" si="92"/>
        <v>0</v>
      </c>
      <c r="EQ15" s="31">
        <f t="shared" si="93"/>
        <v>0</v>
      </c>
      <c r="ER15" s="93" t="str">
        <f t="shared" si="94"/>
        <v>0</v>
      </c>
      <c r="ES15" s="109" t="str">
        <f t="shared" si="95"/>
        <v>0</v>
      </c>
      <c r="ET15" s="32" t="str">
        <f t="shared" si="96"/>
        <v>0</v>
      </c>
      <c r="EV15" s="277"/>
      <c r="EW15" s="278"/>
      <c r="EX15" s="37">
        <f t="shared" si="105"/>
        <v>0</v>
      </c>
      <c r="EY15" s="72">
        <f t="shared" si="97"/>
        <v>0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0</v>
      </c>
      <c r="FG15" s="43">
        <f t="shared" si="37"/>
        <v>0</v>
      </c>
      <c r="FH15" s="42" t="s">
        <v>52</v>
      </c>
      <c r="FI15" s="49">
        <f t="shared" si="98"/>
        <v>0</v>
      </c>
      <c r="FJ15" s="347" t="str">
        <f t="shared" si="99"/>
        <v>0</v>
      </c>
      <c r="FK15" s="325">
        <f t="shared" si="38"/>
        <v>0</v>
      </c>
      <c r="FL15" s="42" t="s">
        <v>52</v>
      </c>
      <c r="FM15" s="348">
        <f t="shared" si="39"/>
        <v>0</v>
      </c>
      <c r="FN15" s="347" t="str">
        <f t="shared" si="100"/>
        <v>0</v>
      </c>
      <c r="FO15" s="349">
        <f t="shared" si="101"/>
        <v>0</v>
      </c>
      <c r="FP15" s="42" t="s">
        <v>52</v>
      </c>
      <c r="FQ15" s="350">
        <f t="shared" si="102"/>
        <v>0</v>
      </c>
      <c r="FR15" s="351" t="str">
        <f t="shared" si="103"/>
        <v>0</v>
      </c>
      <c r="FS15" s="4">
        <f t="shared" si="40"/>
        <v>0</v>
      </c>
      <c r="FT15" s="4">
        <f t="shared" si="41"/>
        <v>0</v>
      </c>
      <c r="FU15" s="4">
        <f t="shared" si="42"/>
        <v>0</v>
      </c>
      <c r="FV15" s="352">
        <f t="shared" si="42"/>
        <v>0</v>
      </c>
      <c r="FW15" s="4">
        <f t="shared" si="42"/>
        <v>0</v>
      </c>
      <c r="FX15" s="4">
        <f t="shared" si="42"/>
        <v>0</v>
      </c>
      <c r="FY15" s="4">
        <f t="shared" si="42"/>
        <v>0</v>
      </c>
      <c r="FZ15" s="4">
        <f t="shared" si="42"/>
        <v>0</v>
      </c>
      <c r="GA15" s="4">
        <f t="shared" si="42"/>
        <v>0</v>
      </c>
      <c r="GB15" s="4">
        <f t="shared" si="42"/>
        <v>0</v>
      </c>
      <c r="GC15" s="352">
        <f t="shared" si="42"/>
        <v>0</v>
      </c>
      <c r="GD15" s="353" t="str">
        <f t="shared" si="104"/>
        <v>0</v>
      </c>
      <c r="GE15" s="4" t="str">
        <f t="shared" si="104"/>
        <v>0</v>
      </c>
      <c r="GF15" s="4" t="str">
        <f t="shared" si="104"/>
        <v>0</v>
      </c>
      <c r="GG15" s="354">
        <f t="shared" si="104"/>
        <v>0</v>
      </c>
      <c r="GH15" s="4"/>
      <c r="GJ15" s="82"/>
      <c r="GK15" s="24"/>
      <c r="GL15" s="185" t="e">
        <f>(CQ15/CQ48)*(EY49-EX49)</f>
        <v>#DIV/0!</v>
      </c>
      <c r="GM15" s="185" t="e">
        <f>((E49/G49)*(1-(CJ49/(CJ49+CK48))))/((E49/G49)*(1-(CJ49/(CJ49+CK48)))+((1-(E49/G49)))*(CJ49/(CJ49+CK48)))</f>
        <v>#DIV/0!</v>
      </c>
      <c r="GN15" s="24" t="e">
        <f>GK15+(GL15/10)+(GJ15*GM15*(1-(CJ49/(CJ49+CK48))))+(CK15*(1-GM15))</f>
        <v>#DIV/0!</v>
      </c>
      <c r="GO15" s="213" t="e">
        <f>GN15/(DD15*EG49)</f>
        <v>#DIV/0!</v>
      </c>
    </row>
    <row r="16" spans="1:197" x14ac:dyDescent="0.2">
      <c r="A16" s="139"/>
      <c r="B16" s="89" t="s">
        <v>82</v>
      </c>
      <c r="C16" s="41" t="s">
        <v>216</v>
      </c>
      <c r="D16" s="161">
        <v>0</v>
      </c>
      <c r="E16" s="114">
        <f t="shared" si="0"/>
        <v>0</v>
      </c>
      <c r="F16" s="339" t="s">
        <v>52</v>
      </c>
      <c r="G16" s="115">
        <f t="shared" si="1"/>
        <v>0</v>
      </c>
      <c r="H16" s="116" t="s">
        <v>53</v>
      </c>
      <c r="I16" s="339">
        <f t="shared" si="43"/>
        <v>0</v>
      </c>
      <c r="J16" s="115" t="s">
        <v>54</v>
      </c>
      <c r="K16" s="116">
        <f t="shared" si="2"/>
        <v>0</v>
      </c>
      <c r="L16" s="339" t="s">
        <v>52</v>
      </c>
      <c r="M16" s="115">
        <f t="shared" si="3"/>
        <v>0</v>
      </c>
      <c r="N16" s="116" t="s">
        <v>53</v>
      </c>
      <c r="O16" s="339">
        <f t="shared" si="4"/>
        <v>0</v>
      </c>
      <c r="P16" s="115" t="s">
        <v>54</v>
      </c>
      <c r="Q16" s="116">
        <f t="shared" si="5"/>
        <v>0</v>
      </c>
      <c r="R16" s="339" t="s">
        <v>52</v>
      </c>
      <c r="S16" s="115">
        <f t="shared" si="44"/>
        <v>0</v>
      </c>
      <c r="T16" s="116" t="s">
        <v>53</v>
      </c>
      <c r="U16" s="339">
        <f t="shared" si="6"/>
        <v>0</v>
      </c>
      <c r="V16" s="115" t="s">
        <v>54</v>
      </c>
      <c r="W16" s="116">
        <f t="shared" si="7"/>
        <v>0</v>
      </c>
      <c r="X16" s="339" t="s">
        <v>52</v>
      </c>
      <c r="Y16" s="115">
        <f t="shared" si="8"/>
        <v>0</v>
      </c>
      <c r="Z16" s="116" t="s">
        <v>53</v>
      </c>
      <c r="AA16" s="339">
        <f t="shared" si="9"/>
        <v>0</v>
      </c>
      <c r="AB16" s="115" t="s">
        <v>54</v>
      </c>
      <c r="AC16" s="116">
        <f t="shared" si="45"/>
        <v>0</v>
      </c>
      <c r="AD16" s="339" t="s">
        <v>52</v>
      </c>
      <c r="AE16" s="117">
        <f t="shared" si="46"/>
        <v>0</v>
      </c>
      <c r="AF16" s="341"/>
      <c r="AG16" s="114">
        <f t="shared" si="47"/>
        <v>0</v>
      </c>
      <c r="AH16" s="339" t="s">
        <v>52</v>
      </c>
      <c r="AI16" s="115">
        <f t="shared" si="10"/>
        <v>0</v>
      </c>
      <c r="AJ16" s="116" t="s">
        <v>53</v>
      </c>
      <c r="AK16" s="339">
        <f t="shared" si="11"/>
        <v>0</v>
      </c>
      <c r="AL16" s="115" t="s">
        <v>54</v>
      </c>
      <c r="AM16" s="246">
        <v>0</v>
      </c>
      <c r="AN16" s="244" t="s">
        <v>52</v>
      </c>
      <c r="AO16" s="245">
        <v>0</v>
      </c>
      <c r="AP16" s="246" t="s">
        <v>53</v>
      </c>
      <c r="AQ16" s="244">
        <v>0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0</v>
      </c>
      <c r="BB16" s="246" t="s">
        <v>53</v>
      </c>
      <c r="BC16" s="244">
        <v>0</v>
      </c>
      <c r="BD16" s="245" t="s">
        <v>54</v>
      </c>
      <c r="BE16" s="116">
        <v>0</v>
      </c>
      <c r="BF16" s="339" t="s">
        <v>52</v>
      </c>
      <c r="BG16" s="117">
        <v>0</v>
      </c>
      <c r="BH16" s="115"/>
      <c r="BI16" s="114">
        <f t="shared" si="12"/>
        <v>0</v>
      </c>
      <c r="BJ16" s="339" t="s">
        <v>52</v>
      </c>
      <c r="BK16" s="115">
        <f t="shared" si="48"/>
        <v>0</v>
      </c>
      <c r="BL16" s="116" t="s">
        <v>53</v>
      </c>
      <c r="BM16" s="339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339" t="s">
        <v>52</v>
      </c>
      <c r="CI16" s="117">
        <v>0</v>
      </c>
      <c r="CJ16" s="140">
        <v>0</v>
      </c>
      <c r="CK16" s="148">
        <f t="shared" si="49"/>
        <v>0</v>
      </c>
      <c r="CL16" s="148">
        <v>0</v>
      </c>
      <c r="CM16" s="148">
        <v>0</v>
      </c>
      <c r="CN16" s="148">
        <f t="shared" si="50"/>
        <v>0</v>
      </c>
      <c r="CO16" s="175">
        <v>0</v>
      </c>
      <c r="CP16" s="140">
        <v>0</v>
      </c>
      <c r="CQ16" s="175">
        <v>0</v>
      </c>
      <c r="CR16" s="148">
        <v>0</v>
      </c>
      <c r="CS16" s="148">
        <v>0</v>
      </c>
      <c r="CT16" s="140">
        <v>0</v>
      </c>
      <c r="CU16" s="140">
        <v>0</v>
      </c>
      <c r="CV16" s="148">
        <f t="shared" si="51"/>
        <v>0</v>
      </c>
      <c r="CW16" s="140"/>
      <c r="CX16" s="140" t="str">
        <f t="shared" si="52"/>
        <v>0</v>
      </c>
      <c r="CY16" s="140" t="str">
        <f t="shared" si="53"/>
        <v>0</v>
      </c>
      <c r="CZ16" s="165" t="str">
        <f t="shared" si="54"/>
        <v>0</v>
      </c>
      <c r="DA16" s="164">
        <f t="shared" si="55"/>
        <v>0</v>
      </c>
      <c r="DB16" s="141"/>
      <c r="DC16" s="141"/>
      <c r="DD16" s="77" t="str">
        <f t="shared" si="56"/>
        <v>0</v>
      </c>
      <c r="DE16" s="37" t="str">
        <f t="shared" si="57"/>
        <v>0</v>
      </c>
      <c r="DF16" s="37" t="str">
        <f t="shared" si="58"/>
        <v>0</v>
      </c>
      <c r="DG16" s="37" t="str">
        <f t="shared" si="59"/>
        <v>0</v>
      </c>
      <c r="DH16" s="37" t="str">
        <f t="shared" si="60"/>
        <v>0</v>
      </c>
      <c r="DI16" s="37" t="str">
        <f t="shared" si="61"/>
        <v>0</v>
      </c>
      <c r="DJ16" s="37" t="str">
        <f t="shared" si="62"/>
        <v>0</v>
      </c>
      <c r="DK16" s="37" t="str">
        <f t="shared" si="63"/>
        <v>0</v>
      </c>
      <c r="DL16" s="37" t="str">
        <f t="shared" si="64"/>
        <v>0</v>
      </c>
      <c r="DM16" s="37" t="str">
        <f t="shared" si="65"/>
        <v>0</v>
      </c>
      <c r="DN16" s="37" t="str">
        <f t="shared" si="66"/>
        <v>0</v>
      </c>
      <c r="DO16" s="37" t="str">
        <f t="shared" si="67"/>
        <v>0</v>
      </c>
      <c r="DP16" s="66" t="str">
        <f t="shared" si="68"/>
        <v>0</v>
      </c>
      <c r="DQ16" s="78" t="str">
        <f t="shared" si="69"/>
        <v>0</v>
      </c>
      <c r="DR16" s="6"/>
      <c r="DS16" s="36"/>
      <c r="DT16" s="75" t="str">
        <f t="shared" si="70"/>
        <v>0</v>
      </c>
      <c r="DU16" s="18" t="str">
        <f t="shared" si="71"/>
        <v>0</v>
      </c>
      <c r="DV16" s="13" t="str">
        <f t="shared" si="72"/>
        <v>0</v>
      </c>
      <c r="DW16" s="14" t="str">
        <f t="shared" si="73"/>
        <v>0</v>
      </c>
      <c r="DX16" s="14" t="str">
        <f t="shared" si="74"/>
        <v>0</v>
      </c>
      <c r="DY16" s="14" t="str">
        <f t="shared" si="75"/>
        <v>0</v>
      </c>
      <c r="DZ16" s="15" t="str">
        <f t="shared" si="76"/>
        <v>0</v>
      </c>
      <c r="EA16" s="14" t="str">
        <f t="shared" si="77"/>
        <v>0</v>
      </c>
      <c r="EB16" s="14" t="str">
        <f t="shared" si="78"/>
        <v>0</v>
      </c>
      <c r="EC16" s="14" t="str">
        <f t="shared" si="79"/>
        <v>0</v>
      </c>
      <c r="ED16" s="14">
        <f t="shared" si="80"/>
        <v>0</v>
      </c>
      <c r="EE16" s="19">
        <f t="shared" si="81"/>
        <v>0</v>
      </c>
      <c r="EF16" s="67" t="str">
        <f t="shared" si="82"/>
        <v>0</v>
      </c>
      <c r="EG16" s="74">
        <f t="shared" si="83"/>
        <v>0</v>
      </c>
      <c r="EH16" s="27" t="str">
        <f t="shared" si="84"/>
        <v>0</v>
      </c>
      <c r="EI16" s="25" t="str">
        <f t="shared" si="85"/>
        <v>0</v>
      </c>
      <c r="EJ16" s="25" t="str">
        <f t="shared" si="86"/>
        <v>0</v>
      </c>
      <c r="EK16" s="26" t="str">
        <f t="shared" si="87"/>
        <v>0</v>
      </c>
      <c r="EL16" s="29" t="str">
        <f t="shared" si="88"/>
        <v>0</v>
      </c>
      <c r="EM16" s="30" t="str">
        <f t="shared" si="89"/>
        <v>0</v>
      </c>
      <c r="EN16" s="30" t="str">
        <f t="shared" si="90"/>
        <v>0</v>
      </c>
      <c r="EO16" s="31">
        <f t="shared" si="91"/>
        <v>0</v>
      </c>
      <c r="EP16" s="31" t="str">
        <f t="shared" si="92"/>
        <v>0</v>
      </c>
      <c r="EQ16" s="31">
        <f t="shared" si="93"/>
        <v>0</v>
      </c>
      <c r="ER16" s="93" t="str">
        <f t="shared" si="94"/>
        <v>0</v>
      </c>
      <c r="ES16" s="109" t="str">
        <f t="shared" si="95"/>
        <v>0</v>
      </c>
      <c r="ET16" s="32" t="str">
        <f t="shared" si="96"/>
        <v>0</v>
      </c>
      <c r="EV16" s="277"/>
      <c r="EW16" s="278"/>
      <c r="EX16" s="37">
        <f t="shared" si="105"/>
        <v>0</v>
      </c>
      <c r="EY16" s="72">
        <f t="shared" si="97"/>
        <v>0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0</v>
      </c>
      <c r="FG16" s="182">
        <f t="shared" si="37"/>
        <v>0</v>
      </c>
      <c r="FH16" s="183" t="s">
        <v>52</v>
      </c>
      <c r="FI16" s="184">
        <f t="shared" si="98"/>
        <v>0</v>
      </c>
      <c r="FJ16" s="193" t="str">
        <f t="shared" si="99"/>
        <v>0</v>
      </c>
      <c r="FK16" s="185">
        <f t="shared" si="38"/>
        <v>0</v>
      </c>
      <c r="FL16" s="183" t="s">
        <v>52</v>
      </c>
      <c r="FM16" s="186">
        <f t="shared" si="39"/>
        <v>0</v>
      </c>
      <c r="FN16" s="193" t="str">
        <f t="shared" si="100"/>
        <v>0</v>
      </c>
      <c r="FO16" s="261">
        <f t="shared" si="101"/>
        <v>0</v>
      </c>
      <c r="FP16" s="183" t="s">
        <v>52</v>
      </c>
      <c r="FQ16" s="268">
        <f t="shared" si="102"/>
        <v>0</v>
      </c>
      <c r="FR16" s="196" t="str">
        <f t="shared" si="103"/>
        <v>0</v>
      </c>
      <c r="FS16" s="179">
        <f t="shared" si="40"/>
        <v>0</v>
      </c>
      <c r="FT16" s="179">
        <f t="shared" si="41"/>
        <v>0</v>
      </c>
      <c r="FU16" s="179">
        <f t="shared" si="42"/>
        <v>0</v>
      </c>
      <c r="FV16" s="187">
        <f t="shared" si="42"/>
        <v>0</v>
      </c>
      <c r="FW16" s="179">
        <f t="shared" si="42"/>
        <v>0</v>
      </c>
      <c r="FX16" s="179">
        <f t="shared" si="42"/>
        <v>0</v>
      </c>
      <c r="FY16" s="179">
        <f t="shared" si="42"/>
        <v>0</v>
      </c>
      <c r="FZ16" s="179">
        <f t="shared" si="42"/>
        <v>0</v>
      </c>
      <c r="GA16" s="179">
        <f t="shared" si="42"/>
        <v>0</v>
      </c>
      <c r="GB16" s="179">
        <f t="shared" si="42"/>
        <v>0</v>
      </c>
      <c r="GC16" s="187">
        <f t="shared" si="42"/>
        <v>0</v>
      </c>
      <c r="GD16" s="203" t="str">
        <f t="shared" si="104"/>
        <v>0</v>
      </c>
      <c r="GE16" s="179" t="str">
        <f t="shared" si="104"/>
        <v>0</v>
      </c>
      <c r="GF16" s="179" t="str">
        <f t="shared" si="104"/>
        <v>0</v>
      </c>
      <c r="GG16" s="258">
        <f t="shared" si="104"/>
        <v>0</v>
      </c>
      <c r="GH16" s="179"/>
      <c r="GJ16" s="82"/>
      <c r="GK16" s="24"/>
      <c r="GL16" s="185" t="e">
        <f>(CQ16/CQ50)*(EY51-EX51)</f>
        <v>#DIV/0!</v>
      </c>
      <c r="GM16" s="185" t="e">
        <f>((E51/G51)*(1-(CJ51/(CJ51+CK50))))/((E51/G51)*(1-(CJ51/(CJ51+CK50)))+((1-(E51/G51)))*(CJ51/(CJ51+CK50)))</f>
        <v>#DIV/0!</v>
      </c>
      <c r="GN16" s="24" t="e">
        <f>GK16+(GL16/10)+(GJ16*GM16*(1-(CJ51/(CJ51+CK50))))+(CK16*(1-GM16))</f>
        <v>#DIV/0!</v>
      </c>
      <c r="GO16" s="213" t="e">
        <f>GN16/(DD16*EG51)</f>
        <v>#DIV/0!</v>
      </c>
    </row>
    <row r="17" spans="1:197" x14ac:dyDescent="0.2">
      <c r="A17" s="139"/>
      <c r="B17" s="89" t="s">
        <v>82</v>
      </c>
      <c r="C17" s="41" t="s">
        <v>217</v>
      </c>
      <c r="D17" s="161">
        <v>0</v>
      </c>
      <c r="E17" s="114">
        <f t="shared" si="0"/>
        <v>0</v>
      </c>
      <c r="F17" s="339" t="s">
        <v>52</v>
      </c>
      <c r="G17" s="115">
        <f t="shared" si="1"/>
        <v>0</v>
      </c>
      <c r="H17" s="116" t="s">
        <v>53</v>
      </c>
      <c r="I17" s="339">
        <f t="shared" si="43"/>
        <v>0</v>
      </c>
      <c r="J17" s="115" t="s">
        <v>54</v>
      </c>
      <c r="K17" s="116">
        <f t="shared" si="2"/>
        <v>0</v>
      </c>
      <c r="L17" s="339" t="s">
        <v>52</v>
      </c>
      <c r="M17" s="115">
        <f t="shared" si="3"/>
        <v>0</v>
      </c>
      <c r="N17" s="116" t="s">
        <v>53</v>
      </c>
      <c r="O17" s="339">
        <f t="shared" si="4"/>
        <v>0</v>
      </c>
      <c r="P17" s="115" t="s">
        <v>54</v>
      </c>
      <c r="Q17" s="116">
        <f t="shared" si="5"/>
        <v>0</v>
      </c>
      <c r="R17" s="339" t="s">
        <v>52</v>
      </c>
      <c r="S17" s="115">
        <f t="shared" si="44"/>
        <v>0</v>
      </c>
      <c r="T17" s="116" t="s">
        <v>53</v>
      </c>
      <c r="U17" s="339">
        <f t="shared" si="6"/>
        <v>0</v>
      </c>
      <c r="V17" s="115" t="s">
        <v>54</v>
      </c>
      <c r="W17" s="116">
        <f t="shared" si="7"/>
        <v>0</v>
      </c>
      <c r="X17" s="339" t="s">
        <v>52</v>
      </c>
      <c r="Y17" s="115">
        <f t="shared" si="8"/>
        <v>0</v>
      </c>
      <c r="Z17" s="116" t="s">
        <v>53</v>
      </c>
      <c r="AA17" s="339">
        <f t="shared" si="9"/>
        <v>0</v>
      </c>
      <c r="AB17" s="115" t="s">
        <v>54</v>
      </c>
      <c r="AC17" s="116">
        <f t="shared" si="45"/>
        <v>0</v>
      </c>
      <c r="AD17" s="339" t="s">
        <v>52</v>
      </c>
      <c r="AE17" s="117">
        <f t="shared" si="46"/>
        <v>0</v>
      </c>
      <c r="AF17" s="341"/>
      <c r="AG17" s="114">
        <f t="shared" si="47"/>
        <v>0</v>
      </c>
      <c r="AH17" s="339" t="s">
        <v>52</v>
      </c>
      <c r="AI17" s="115">
        <f t="shared" si="10"/>
        <v>0</v>
      </c>
      <c r="AJ17" s="116" t="s">
        <v>53</v>
      </c>
      <c r="AK17" s="339">
        <f t="shared" si="11"/>
        <v>0</v>
      </c>
      <c r="AL17" s="115" t="s">
        <v>54</v>
      </c>
      <c r="AM17" s="246">
        <v>0</v>
      </c>
      <c r="AN17" s="244" t="s">
        <v>52</v>
      </c>
      <c r="AO17" s="245">
        <v>0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0</v>
      </c>
      <c r="BB17" s="246" t="s">
        <v>53</v>
      </c>
      <c r="BC17" s="244">
        <v>0</v>
      </c>
      <c r="BD17" s="245" t="s">
        <v>54</v>
      </c>
      <c r="BE17" s="116">
        <v>0</v>
      </c>
      <c r="BF17" s="339" t="s">
        <v>52</v>
      </c>
      <c r="BG17" s="117">
        <v>0</v>
      </c>
      <c r="BH17" s="115"/>
      <c r="BI17" s="114">
        <f t="shared" si="12"/>
        <v>0</v>
      </c>
      <c r="BJ17" s="339" t="s">
        <v>52</v>
      </c>
      <c r="BK17" s="115">
        <f t="shared" si="48"/>
        <v>0</v>
      </c>
      <c r="BL17" s="116" t="s">
        <v>53</v>
      </c>
      <c r="BM17" s="339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339" t="s">
        <v>52</v>
      </c>
      <c r="CI17" s="117">
        <v>0</v>
      </c>
      <c r="CJ17" s="140">
        <v>0</v>
      </c>
      <c r="CK17" s="148">
        <f t="shared" si="49"/>
        <v>0</v>
      </c>
      <c r="CL17" s="148">
        <v>0</v>
      </c>
      <c r="CM17" s="148">
        <v>0</v>
      </c>
      <c r="CN17" s="148">
        <f t="shared" si="50"/>
        <v>0</v>
      </c>
      <c r="CO17" s="175">
        <v>0</v>
      </c>
      <c r="CP17" s="140">
        <v>0</v>
      </c>
      <c r="CQ17" s="175">
        <v>0</v>
      </c>
      <c r="CR17" s="148">
        <v>0</v>
      </c>
      <c r="CS17" s="148">
        <v>0</v>
      </c>
      <c r="CT17" s="140">
        <v>0</v>
      </c>
      <c r="CU17" s="140">
        <v>0</v>
      </c>
      <c r="CV17" s="148">
        <f t="shared" si="51"/>
        <v>0</v>
      </c>
      <c r="CW17" s="140"/>
      <c r="CX17" s="140" t="str">
        <f t="shared" si="52"/>
        <v>0</v>
      </c>
      <c r="CY17" s="140" t="str">
        <f t="shared" si="53"/>
        <v>0</v>
      </c>
      <c r="CZ17" s="165" t="str">
        <f t="shared" si="54"/>
        <v>0</v>
      </c>
      <c r="DA17" s="164">
        <f t="shared" si="55"/>
        <v>0</v>
      </c>
      <c r="DB17" s="141"/>
      <c r="DC17" s="141"/>
      <c r="DD17" s="77" t="str">
        <f t="shared" si="56"/>
        <v>0</v>
      </c>
      <c r="DE17" s="37" t="str">
        <f t="shared" si="57"/>
        <v>0</v>
      </c>
      <c r="DF17" s="37" t="str">
        <f t="shared" si="58"/>
        <v>0</v>
      </c>
      <c r="DG17" s="37" t="str">
        <f t="shared" si="59"/>
        <v>0</v>
      </c>
      <c r="DH17" s="37" t="str">
        <f t="shared" si="60"/>
        <v>0</v>
      </c>
      <c r="DI17" s="37" t="str">
        <f t="shared" si="61"/>
        <v>0</v>
      </c>
      <c r="DJ17" s="37" t="str">
        <f t="shared" si="62"/>
        <v>0</v>
      </c>
      <c r="DK17" s="37" t="str">
        <f t="shared" si="63"/>
        <v>0</v>
      </c>
      <c r="DL17" s="37" t="str">
        <f t="shared" si="64"/>
        <v>0</v>
      </c>
      <c r="DM17" s="37" t="str">
        <f t="shared" si="65"/>
        <v>0</v>
      </c>
      <c r="DN17" s="37" t="str">
        <f t="shared" si="66"/>
        <v>0</v>
      </c>
      <c r="DO17" s="37" t="str">
        <f t="shared" si="67"/>
        <v>0</v>
      </c>
      <c r="DP17" s="66" t="str">
        <f t="shared" si="68"/>
        <v>0</v>
      </c>
      <c r="DQ17" s="78" t="str">
        <f t="shared" si="69"/>
        <v>0</v>
      </c>
      <c r="DR17" s="6"/>
      <c r="DS17" s="36"/>
      <c r="DT17" s="75" t="str">
        <f t="shared" si="70"/>
        <v>0</v>
      </c>
      <c r="DU17" s="18" t="str">
        <f t="shared" si="71"/>
        <v>0</v>
      </c>
      <c r="DV17" s="13" t="str">
        <f t="shared" si="72"/>
        <v>0</v>
      </c>
      <c r="DW17" s="14" t="str">
        <f t="shared" si="73"/>
        <v>0</v>
      </c>
      <c r="DX17" s="14" t="str">
        <f t="shared" si="74"/>
        <v>0</v>
      </c>
      <c r="DY17" s="14" t="str">
        <f t="shared" si="75"/>
        <v>0</v>
      </c>
      <c r="DZ17" s="15" t="str">
        <f t="shared" si="76"/>
        <v>0</v>
      </c>
      <c r="EA17" s="14" t="str">
        <f t="shared" si="77"/>
        <v>0</v>
      </c>
      <c r="EB17" s="14" t="str">
        <f t="shared" si="78"/>
        <v>0</v>
      </c>
      <c r="EC17" s="14" t="str">
        <f t="shared" si="79"/>
        <v>0</v>
      </c>
      <c r="ED17" s="14">
        <f t="shared" si="80"/>
        <v>0</v>
      </c>
      <c r="EE17" s="19">
        <f t="shared" si="81"/>
        <v>0</v>
      </c>
      <c r="EF17" s="67" t="str">
        <f t="shared" si="82"/>
        <v>0</v>
      </c>
      <c r="EG17" s="74">
        <f t="shared" si="83"/>
        <v>0</v>
      </c>
      <c r="EH17" s="27" t="str">
        <f t="shared" si="84"/>
        <v>0</v>
      </c>
      <c r="EI17" s="25" t="str">
        <f t="shared" si="85"/>
        <v>0</v>
      </c>
      <c r="EJ17" s="25" t="str">
        <f t="shared" si="86"/>
        <v>0</v>
      </c>
      <c r="EK17" s="26" t="str">
        <f t="shared" si="87"/>
        <v>0</v>
      </c>
      <c r="EL17" s="29" t="str">
        <f t="shared" si="88"/>
        <v>0</v>
      </c>
      <c r="EM17" s="30" t="str">
        <f t="shared" si="89"/>
        <v>0</v>
      </c>
      <c r="EN17" s="30" t="str">
        <f t="shared" si="90"/>
        <v>0</v>
      </c>
      <c r="EO17" s="31">
        <f t="shared" si="91"/>
        <v>0</v>
      </c>
      <c r="EP17" s="31" t="str">
        <f t="shared" si="92"/>
        <v>0</v>
      </c>
      <c r="EQ17" s="31">
        <f t="shared" si="93"/>
        <v>0</v>
      </c>
      <c r="ER17" s="93" t="str">
        <f t="shared" si="94"/>
        <v>0</v>
      </c>
      <c r="ES17" s="109" t="str">
        <f t="shared" si="95"/>
        <v>0</v>
      </c>
      <c r="ET17" s="32" t="str">
        <f t="shared" si="96"/>
        <v>0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0</v>
      </c>
      <c r="FG17" s="43">
        <f t="shared" si="37"/>
        <v>0</v>
      </c>
      <c r="FH17" s="42"/>
      <c r="FI17" s="49">
        <f t="shared" si="98"/>
        <v>0</v>
      </c>
      <c r="FJ17" s="347" t="str">
        <f t="shared" si="99"/>
        <v>0</v>
      </c>
      <c r="FK17" s="325">
        <f t="shared" si="38"/>
        <v>0</v>
      </c>
      <c r="FL17" s="42"/>
      <c r="FM17" s="348">
        <f t="shared" si="39"/>
        <v>0</v>
      </c>
      <c r="FN17" s="347" t="str">
        <f t="shared" si="100"/>
        <v>0</v>
      </c>
      <c r="FO17" s="349">
        <f t="shared" si="101"/>
        <v>0</v>
      </c>
      <c r="FP17" s="42"/>
      <c r="FQ17" s="350">
        <f t="shared" si="102"/>
        <v>0</v>
      </c>
      <c r="FR17" s="351" t="str">
        <f t="shared" si="103"/>
        <v>0</v>
      </c>
      <c r="FS17" s="4">
        <f t="shared" si="40"/>
        <v>0</v>
      </c>
      <c r="FT17" s="4">
        <f t="shared" si="41"/>
        <v>0</v>
      </c>
      <c r="FU17" s="4">
        <f t="shared" si="42"/>
        <v>0</v>
      </c>
      <c r="FV17" s="352">
        <f t="shared" si="42"/>
        <v>0</v>
      </c>
      <c r="FW17" s="4">
        <f t="shared" si="42"/>
        <v>0</v>
      </c>
      <c r="FX17" s="4">
        <f t="shared" si="42"/>
        <v>0</v>
      </c>
      <c r="FY17" s="4">
        <f t="shared" si="42"/>
        <v>0</v>
      </c>
      <c r="FZ17" s="4">
        <f t="shared" si="42"/>
        <v>0</v>
      </c>
      <c r="GA17" s="4">
        <f t="shared" si="42"/>
        <v>0</v>
      </c>
      <c r="GB17" s="4">
        <f t="shared" si="42"/>
        <v>0</v>
      </c>
      <c r="GC17" s="352">
        <f t="shared" si="42"/>
        <v>0</v>
      </c>
      <c r="GD17" s="353" t="str">
        <f t="shared" si="104"/>
        <v>0</v>
      </c>
      <c r="GE17" s="4" t="str">
        <f t="shared" si="104"/>
        <v>0</v>
      </c>
      <c r="GF17" s="4" t="str">
        <f t="shared" si="104"/>
        <v>0</v>
      </c>
      <c r="GG17" s="354">
        <f t="shared" si="104"/>
        <v>0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82</v>
      </c>
      <c r="C18" s="41" t="s">
        <v>218</v>
      </c>
      <c r="D18" s="161">
        <v>0</v>
      </c>
      <c r="E18" s="114">
        <f t="shared" si="0"/>
        <v>0</v>
      </c>
      <c r="F18" s="339" t="s">
        <v>52</v>
      </c>
      <c r="G18" s="115">
        <f t="shared" si="1"/>
        <v>0</v>
      </c>
      <c r="H18" s="116" t="s">
        <v>53</v>
      </c>
      <c r="I18" s="339">
        <f t="shared" si="43"/>
        <v>0</v>
      </c>
      <c r="J18" s="115" t="s">
        <v>54</v>
      </c>
      <c r="K18" s="116">
        <f t="shared" si="2"/>
        <v>0</v>
      </c>
      <c r="L18" s="339" t="s">
        <v>52</v>
      </c>
      <c r="M18" s="115">
        <f t="shared" si="3"/>
        <v>0</v>
      </c>
      <c r="N18" s="116" t="s">
        <v>53</v>
      </c>
      <c r="O18" s="339">
        <f t="shared" si="4"/>
        <v>0</v>
      </c>
      <c r="P18" s="115" t="s">
        <v>54</v>
      </c>
      <c r="Q18" s="116">
        <f t="shared" si="5"/>
        <v>0</v>
      </c>
      <c r="R18" s="339" t="s">
        <v>52</v>
      </c>
      <c r="S18" s="115">
        <f t="shared" si="44"/>
        <v>0</v>
      </c>
      <c r="T18" s="116" t="s">
        <v>53</v>
      </c>
      <c r="U18" s="339">
        <f t="shared" si="6"/>
        <v>0</v>
      </c>
      <c r="V18" s="115" t="s">
        <v>54</v>
      </c>
      <c r="W18" s="116">
        <f t="shared" si="7"/>
        <v>0</v>
      </c>
      <c r="X18" s="339" t="s">
        <v>52</v>
      </c>
      <c r="Y18" s="115">
        <f t="shared" si="8"/>
        <v>0</v>
      </c>
      <c r="Z18" s="116" t="s">
        <v>53</v>
      </c>
      <c r="AA18" s="339">
        <f t="shared" si="9"/>
        <v>0</v>
      </c>
      <c r="AB18" s="115" t="s">
        <v>54</v>
      </c>
      <c r="AC18" s="116">
        <f t="shared" si="45"/>
        <v>0</v>
      </c>
      <c r="AD18" s="339" t="s">
        <v>52</v>
      </c>
      <c r="AE18" s="117">
        <f t="shared" si="46"/>
        <v>0</v>
      </c>
      <c r="AF18" s="341"/>
      <c r="AG18" s="114">
        <f>IFERROR(AM18+AS18+AY18,"0")</f>
        <v>0</v>
      </c>
      <c r="AH18" s="339" t="s">
        <v>52</v>
      </c>
      <c r="AI18" s="115">
        <f t="shared" si="10"/>
        <v>0</v>
      </c>
      <c r="AJ18" s="116" t="s">
        <v>53</v>
      </c>
      <c r="AK18" s="339">
        <f t="shared" si="11"/>
        <v>0</v>
      </c>
      <c r="AL18" s="115" t="s">
        <v>54</v>
      </c>
      <c r="AM18" s="246">
        <v>0</v>
      </c>
      <c r="AN18" s="244" t="s">
        <v>52</v>
      </c>
      <c r="AO18" s="245">
        <v>0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0</v>
      </c>
      <c r="BB18" s="246" t="s">
        <v>53</v>
      </c>
      <c r="BC18" s="244">
        <v>0</v>
      </c>
      <c r="BD18" s="245" t="s">
        <v>54</v>
      </c>
      <c r="BE18" s="116">
        <v>0</v>
      </c>
      <c r="BF18" s="339" t="s">
        <v>52</v>
      </c>
      <c r="BG18" s="117">
        <v>0</v>
      </c>
      <c r="BH18" s="115"/>
      <c r="BI18" s="114">
        <f t="shared" si="12"/>
        <v>0</v>
      </c>
      <c r="BJ18" s="339" t="s">
        <v>52</v>
      </c>
      <c r="BK18" s="115">
        <f t="shared" si="48"/>
        <v>0</v>
      </c>
      <c r="BL18" s="116" t="s">
        <v>53</v>
      </c>
      <c r="BM18" s="339">
        <f t="shared" si="13"/>
        <v>0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0</v>
      </c>
      <c r="CB18" s="244" t="s">
        <v>52</v>
      </c>
      <c r="CC18" s="245">
        <v>0</v>
      </c>
      <c r="CD18" s="246" t="s">
        <v>53</v>
      </c>
      <c r="CE18" s="244">
        <v>0</v>
      </c>
      <c r="CF18" s="245" t="s">
        <v>54</v>
      </c>
      <c r="CG18" s="116">
        <v>0</v>
      </c>
      <c r="CH18" s="339" t="s">
        <v>52</v>
      </c>
      <c r="CI18" s="117">
        <v>0</v>
      </c>
      <c r="CJ18" s="140">
        <v>0</v>
      </c>
      <c r="CK18" s="148">
        <f t="shared" si="49"/>
        <v>0</v>
      </c>
      <c r="CL18" s="148">
        <v>0</v>
      </c>
      <c r="CM18" s="148">
        <v>0</v>
      </c>
      <c r="CN18" s="148">
        <f t="shared" si="50"/>
        <v>0</v>
      </c>
      <c r="CO18" s="175">
        <v>0</v>
      </c>
      <c r="CP18" s="140">
        <v>0</v>
      </c>
      <c r="CQ18" s="175">
        <v>0</v>
      </c>
      <c r="CR18" s="148">
        <v>0</v>
      </c>
      <c r="CS18" s="148">
        <v>0</v>
      </c>
      <c r="CT18" s="140">
        <v>0</v>
      </c>
      <c r="CU18" s="140">
        <v>0</v>
      </c>
      <c r="CV18" s="148">
        <f t="shared" si="51"/>
        <v>0</v>
      </c>
      <c r="CW18" s="140"/>
      <c r="CX18" s="140" t="str">
        <f t="shared" si="52"/>
        <v>0</v>
      </c>
      <c r="CY18" s="140" t="str">
        <f t="shared" si="53"/>
        <v>0</v>
      </c>
      <c r="CZ18" s="165" t="str">
        <f t="shared" si="54"/>
        <v>0</v>
      </c>
      <c r="DA18" s="164">
        <f t="shared" si="55"/>
        <v>0</v>
      </c>
      <c r="DB18" s="141"/>
      <c r="DC18" s="141"/>
      <c r="DD18" s="77" t="str">
        <f t="shared" si="56"/>
        <v>0</v>
      </c>
      <c r="DE18" s="37" t="str">
        <f t="shared" si="57"/>
        <v>0</v>
      </c>
      <c r="DF18" s="37" t="str">
        <f t="shared" si="58"/>
        <v>0</v>
      </c>
      <c r="DG18" s="37" t="str">
        <f t="shared" si="59"/>
        <v>0</v>
      </c>
      <c r="DH18" s="37" t="str">
        <f t="shared" si="60"/>
        <v>0</v>
      </c>
      <c r="DI18" s="37" t="str">
        <f t="shared" si="61"/>
        <v>0</v>
      </c>
      <c r="DJ18" s="37" t="str">
        <f t="shared" si="62"/>
        <v>0</v>
      </c>
      <c r="DK18" s="37" t="str">
        <f t="shared" si="63"/>
        <v>0</v>
      </c>
      <c r="DL18" s="37" t="str">
        <f t="shared" si="64"/>
        <v>0</v>
      </c>
      <c r="DM18" s="37" t="str">
        <f t="shared" si="65"/>
        <v>0</v>
      </c>
      <c r="DN18" s="37" t="str">
        <f t="shared" si="66"/>
        <v>0</v>
      </c>
      <c r="DO18" s="37" t="str">
        <f t="shared" si="67"/>
        <v>0</v>
      </c>
      <c r="DP18" s="66" t="str">
        <f t="shared" si="68"/>
        <v>0</v>
      </c>
      <c r="DQ18" s="78" t="str">
        <f t="shared" si="69"/>
        <v>0</v>
      </c>
      <c r="DR18" s="6"/>
      <c r="DS18" s="36"/>
      <c r="DT18" s="75" t="str">
        <f t="shared" si="70"/>
        <v>0</v>
      </c>
      <c r="DU18" s="18" t="str">
        <f t="shared" si="71"/>
        <v>0</v>
      </c>
      <c r="DV18" s="13" t="str">
        <f t="shared" si="72"/>
        <v>0</v>
      </c>
      <c r="DW18" s="14" t="str">
        <f t="shared" si="73"/>
        <v>0</v>
      </c>
      <c r="DX18" s="14" t="str">
        <f t="shared" si="74"/>
        <v>0</v>
      </c>
      <c r="DY18" s="14" t="str">
        <f t="shared" si="75"/>
        <v>0</v>
      </c>
      <c r="DZ18" s="15" t="str">
        <f t="shared" si="76"/>
        <v>0</v>
      </c>
      <c r="EA18" s="14" t="str">
        <f t="shared" si="77"/>
        <v>0</v>
      </c>
      <c r="EB18" s="14" t="str">
        <f t="shared" si="78"/>
        <v>0</v>
      </c>
      <c r="EC18" s="14" t="str">
        <f t="shared" si="79"/>
        <v>0</v>
      </c>
      <c r="ED18" s="14">
        <f t="shared" si="80"/>
        <v>0</v>
      </c>
      <c r="EE18" s="19">
        <f t="shared" si="81"/>
        <v>0</v>
      </c>
      <c r="EF18" s="67" t="str">
        <f t="shared" si="82"/>
        <v>0</v>
      </c>
      <c r="EG18" s="74">
        <f t="shared" si="83"/>
        <v>0</v>
      </c>
      <c r="EH18" s="27" t="str">
        <f t="shared" si="84"/>
        <v>0</v>
      </c>
      <c r="EI18" s="25" t="str">
        <f t="shared" si="85"/>
        <v>0</v>
      </c>
      <c r="EJ18" s="25" t="str">
        <f t="shared" si="86"/>
        <v>0</v>
      </c>
      <c r="EK18" s="26" t="str">
        <f t="shared" si="87"/>
        <v>0</v>
      </c>
      <c r="EL18" s="29" t="str">
        <f t="shared" si="88"/>
        <v>0</v>
      </c>
      <c r="EM18" s="30" t="str">
        <f t="shared" si="89"/>
        <v>0</v>
      </c>
      <c r="EN18" s="30" t="str">
        <f t="shared" si="90"/>
        <v>0</v>
      </c>
      <c r="EO18" s="31">
        <f t="shared" si="91"/>
        <v>0</v>
      </c>
      <c r="EP18" s="31" t="str">
        <f t="shared" si="92"/>
        <v>0</v>
      </c>
      <c r="EQ18" s="31">
        <f t="shared" si="93"/>
        <v>0</v>
      </c>
      <c r="ER18" s="93" t="str">
        <f t="shared" si="94"/>
        <v>0</v>
      </c>
      <c r="ES18" s="109" t="str">
        <f t="shared" si="95"/>
        <v>0</v>
      </c>
      <c r="ET18" s="32" t="str">
        <f t="shared" si="96"/>
        <v>0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0</v>
      </c>
      <c r="FG18" s="182">
        <f t="shared" si="37"/>
        <v>0</v>
      </c>
      <c r="FH18" s="183" t="s">
        <v>52</v>
      </c>
      <c r="FI18" s="184">
        <f t="shared" si="98"/>
        <v>0</v>
      </c>
      <c r="FJ18" s="193" t="str">
        <f t="shared" si="99"/>
        <v>0</v>
      </c>
      <c r="FK18" s="185">
        <f t="shared" si="38"/>
        <v>0</v>
      </c>
      <c r="FL18" s="183" t="s">
        <v>52</v>
      </c>
      <c r="FM18" s="186">
        <f t="shared" si="39"/>
        <v>0</v>
      </c>
      <c r="FN18" s="193" t="str">
        <f t="shared" si="100"/>
        <v>0</v>
      </c>
      <c r="FO18" s="261">
        <f t="shared" si="101"/>
        <v>0</v>
      </c>
      <c r="FP18" s="183" t="s">
        <v>52</v>
      </c>
      <c r="FQ18" s="268">
        <f>EW18</f>
        <v>0</v>
      </c>
      <c r="FR18" s="196" t="str">
        <f t="shared" si="103"/>
        <v>0</v>
      </c>
      <c r="FS18" s="179">
        <f t="shared" si="40"/>
        <v>0</v>
      </c>
      <c r="FT18" s="179">
        <f t="shared" si="41"/>
        <v>0</v>
      </c>
      <c r="FU18" s="179">
        <f t="shared" si="42"/>
        <v>0</v>
      </c>
      <c r="FV18" s="187">
        <f t="shared" si="42"/>
        <v>0</v>
      </c>
      <c r="FW18" s="179">
        <f t="shared" si="42"/>
        <v>0</v>
      </c>
      <c r="FX18" s="179">
        <f t="shared" si="42"/>
        <v>0</v>
      </c>
      <c r="FY18" s="179">
        <f t="shared" si="42"/>
        <v>0</v>
      </c>
      <c r="FZ18" s="179">
        <f t="shared" si="42"/>
        <v>0</v>
      </c>
      <c r="GA18" s="179">
        <f t="shared" si="42"/>
        <v>0</v>
      </c>
      <c r="GB18" s="179">
        <f t="shared" si="42"/>
        <v>0</v>
      </c>
      <c r="GC18" s="187">
        <f t="shared" si="42"/>
        <v>0</v>
      </c>
      <c r="GD18" s="203" t="str">
        <f t="shared" si="104"/>
        <v>0</v>
      </c>
      <c r="GE18" s="179" t="str">
        <f t="shared" si="104"/>
        <v>0</v>
      </c>
      <c r="GF18" s="179" t="str">
        <f t="shared" si="104"/>
        <v>0</v>
      </c>
      <c r="GG18" s="258">
        <f t="shared" si="104"/>
        <v>0</v>
      </c>
      <c r="GH18" s="179"/>
      <c r="GJ18" s="82"/>
      <c r="GK18" s="24"/>
      <c r="GL18" s="185" t="e">
        <f>(CQ18/CQ51)*(EY52-EX52)</f>
        <v>#DIV/0!</v>
      </c>
      <c r="GM18" s="185" t="e">
        <f>((E53/G53)*(1-(CJ53/(CJ53+CK52))))/((E53/G53)*(1-(CJ53/(CJ53+CK52)))+((1-(E53/G53)))*(CJ53/(CJ53+CK52)))</f>
        <v>#DIV/0!</v>
      </c>
      <c r="GN18" s="24" t="e">
        <f>GK18+(GL18/10)+(GJ18*GM18*(1-(CJ53/(CJ53+CK52))))+(CK18*(1-GM18))</f>
        <v>#DIV/0!</v>
      </c>
      <c r="GO18" s="213" t="e">
        <f>GN18/(DD18*EG53)</f>
        <v>#DIV/0!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339"/>
      <c r="G19" s="115"/>
      <c r="H19" s="116"/>
      <c r="I19" s="339"/>
      <c r="J19" s="115"/>
      <c r="K19" s="116"/>
      <c r="L19" s="339"/>
      <c r="M19" s="115"/>
      <c r="N19" s="116"/>
      <c r="O19" s="339"/>
      <c r="P19" s="115"/>
      <c r="Q19" s="116"/>
      <c r="R19" s="339"/>
      <c r="S19" s="115"/>
      <c r="T19" s="116"/>
      <c r="U19" s="339"/>
      <c r="V19" s="115"/>
      <c r="W19" s="116"/>
      <c r="X19" s="339"/>
      <c r="Y19" s="115"/>
      <c r="Z19" s="116"/>
      <c r="AA19" s="339"/>
      <c r="AB19" s="115"/>
      <c r="AC19" s="116"/>
      <c r="AD19" s="339"/>
      <c r="AE19" s="117"/>
      <c r="AF19" s="341"/>
      <c r="AG19" s="114"/>
      <c r="AH19" s="339"/>
      <c r="AI19" s="115"/>
      <c r="AJ19" s="116"/>
      <c r="AK19" s="339"/>
      <c r="AL19" s="115"/>
      <c r="AM19" s="116"/>
      <c r="AN19" s="339"/>
      <c r="AO19" s="115"/>
      <c r="AP19" s="116"/>
      <c r="AQ19" s="339"/>
      <c r="AR19" s="115"/>
      <c r="AS19" s="116"/>
      <c r="AT19" s="339"/>
      <c r="AU19" s="115"/>
      <c r="AV19" s="116"/>
      <c r="AW19" s="339"/>
      <c r="AX19" s="115"/>
      <c r="AY19" s="116"/>
      <c r="AZ19" s="339"/>
      <c r="BA19" s="115"/>
      <c r="BB19" s="116"/>
      <c r="BC19" s="339"/>
      <c r="BD19" s="115"/>
      <c r="BE19" s="116"/>
      <c r="BF19" s="339"/>
      <c r="BG19" s="117"/>
      <c r="BH19" s="115"/>
      <c r="BI19" s="114"/>
      <c r="BJ19" s="339"/>
      <c r="BK19" s="115"/>
      <c r="BL19" s="116"/>
      <c r="BM19" s="339"/>
      <c r="BN19" s="115"/>
      <c r="BO19" s="116"/>
      <c r="BP19" s="339"/>
      <c r="BQ19" s="115"/>
      <c r="BR19" s="116"/>
      <c r="BS19" s="339"/>
      <c r="BT19" s="115"/>
      <c r="BU19" s="116"/>
      <c r="BV19" s="339"/>
      <c r="BW19" s="115"/>
      <c r="BX19" s="116"/>
      <c r="BY19" s="339"/>
      <c r="BZ19" s="115"/>
      <c r="CA19" s="116"/>
      <c r="CB19" s="339"/>
      <c r="CC19" s="115"/>
      <c r="CD19" s="116"/>
      <c r="CE19" s="339"/>
      <c r="CF19" s="115"/>
      <c r="CG19" s="116"/>
      <c r="CH19" s="339"/>
      <c r="CI19" s="117"/>
      <c r="CJ19" s="140">
        <v>0</v>
      </c>
      <c r="CK19" s="148">
        <v>0</v>
      </c>
      <c r="CL19" s="148"/>
      <c r="CM19" s="148"/>
      <c r="CN19" s="148">
        <f t="shared" si="50"/>
        <v>0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 t="str">
        <f t="shared" si="71"/>
        <v>0</v>
      </c>
      <c r="DV19" s="13" t="str">
        <f t="shared" si="72"/>
        <v>0</v>
      </c>
      <c r="DW19" s="14" t="str">
        <f t="shared" si="73"/>
        <v>0</v>
      </c>
      <c r="DX19" s="14" t="str">
        <f t="shared" si="74"/>
        <v>0</v>
      </c>
      <c r="DY19" s="14" t="str">
        <f t="shared" si="75"/>
        <v>0</v>
      </c>
      <c r="DZ19" s="15" t="str">
        <f t="shared" si="76"/>
        <v>0</v>
      </c>
      <c r="EA19" s="14" t="str">
        <f t="shared" si="77"/>
        <v>0</v>
      </c>
      <c r="EB19" s="14" t="str">
        <f t="shared" si="78"/>
        <v>0</v>
      </c>
      <c r="EC19" s="14" t="str">
        <f t="shared" si="79"/>
        <v>0</v>
      </c>
      <c r="ED19" s="14">
        <f t="shared" si="80"/>
        <v>0</v>
      </c>
      <c r="EE19" s="19">
        <f t="shared" si="81"/>
        <v>0</v>
      </c>
      <c r="EF19" s="67" t="str">
        <f t="shared" si="82"/>
        <v>0</v>
      </c>
      <c r="EG19" s="74">
        <f t="shared" si="83"/>
        <v>0</v>
      </c>
      <c r="EH19" s="27" t="str">
        <f t="shared" si="84"/>
        <v>0</v>
      </c>
      <c r="EI19" s="25" t="str">
        <f t="shared" si="85"/>
        <v>0</v>
      </c>
      <c r="EJ19" s="25" t="str">
        <f t="shared" si="86"/>
        <v>0</v>
      </c>
      <c r="EK19" s="26" t="str">
        <f t="shared" si="87"/>
        <v>0</v>
      </c>
      <c r="EL19" s="29" t="str">
        <f t="shared" si="88"/>
        <v>0</v>
      </c>
      <c r="EM19" s="30" t="str">
        <f t="shared" si="89"/>
        <v>0</v>
      </c>
      <c r="EN19" s="30" t="str">
        <f t="shared" si="90"/>
        <v>0</v>
      </c>
      <c r="EO19" s="31">
        <f t="shared" si="91"/>
        <v>0</v>
      </c>
      <c r="EP19" s="31" t="str">
        <f t="shared" si="92"/>
        <v>0</v>
      </c>
      <c r="EQ19" s="31">
        <f t="shared" si="93"/>
        <v>0</v>
      </c>
      <c r="ER19" s="93" t="str">
        <f t="shared" si="94"/>
        <v>0</v>
      </c>
      <c r="ES19" s="109" t="str">
        <f t="shared" si="95"/>
        <v>0</v>
      </c>
      <c r="ET19" s="32" t="str">
        <f t="shared" si="96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40"/>
        <v>0</v>
      </c>
      <c r="FT19" s="140">
        <f t="shared" si="41"/>
        <v>0</v>
      </c>
      <c r="FU19" s="140">
        <f t="shared" ref="FU19:FZ23" si="106">CN19</f>
        <v>0</v>
      </c>
      <c r="FV19" s="175"/>
      <c r="FW19" s="140"/>
      <c r="FX19" s="140"/>
      <c r="FY19" s="140"/>
      <c r="FZ19" s="140"/>
      <c r="GA19" s="140">
        <f t="shared" si="42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345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341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50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 t="str">
        <f t="shared" si="71"/>
        <v>0</v>
      </c>
      <c r="DV20" s="13" t="str">
        <f t="shared" si="72"/>
        <v>0</v>
      </c>
      <c r="DW20" s="14" t="str">
        <f t="shared" si="73"/>
        <v>0</v>
      </c>
      <c r="DX20" s="14" t="str">
        <f t="shared" si="74"/>
        <v>0</v>
      </c>
      <c r="DY20" s="14" t="str">
        <f t="shared" si="75"/>
        <v>0</v>
      </c>
      <c r="DZ20" s="15" t="str">
        <f t="shared" si="76"/>
        <v>0</v>
      </c>
      <c r="EA20" s="14" t="str">
        <f t="shared" si="77"/>
        <v>0</v>
      </c>
      <c r="EB20" s="14" t="str">
        <f t="shared" si="78"/>
        <v>0</v>
      </c>
      <c r="EC20" s="14" t="str">
        <f t="shared" si="79"/>
        <v>0</v>
      </c>
      <c r="ED20" s="14">
        <f t="shared" si="80"/>
        <v>0</v>
      </c>
      <c r="EE20" s="19">
        <f t="shared" si="81"/>
        <v>0</v>
      </c>
      <c r="EF20" s="67" t="str">
        <f t="shared" si="82"/>
        <v>0</v>
      </c>
      <c r="EG20" s="74">
        <f t="shared" si="83"/>
        <v>0</v>
      </c>
      <c r="EH20" s="27" t="str">
        <f t="shared" si="84"/>
        <v>0</v>
      </c>
      <c r="EI20" s="25" t="str">
        <f t="shared" si="85"/>
        <v>0</v>
      </c>
      <c r="EJ20" s="25" t="str">
        <f t="shared" si="86"/>
        <v>0</v>
      </c>
      <c r="EK20" s="26" t="str">
        <f t="shared" si="87"/>
        <v>0</v>
      </c>
      <c r="EL20" s="29" t="str">
        <f t="shared" si="88"/>
        <v>0</v>
      </c>
      <c r="EM20" s="30" t="str">
        <f t="shared" si="89"/>
        <v>0</v>
      </c>
      <c r="EN20" s="30" t="str">
        <f t="shared" si="90"/>
        <v>0</v>
      </c>
      <c r="EO20" s="31">
        <f t="shared" si="91"/>
        <v>0</v>
      </c>
      <c r="EP20" s="31" t="str">
        <f t="shared" si="92"/>
        <v>0</v>
      </c>
      <c r="EQ20" s="31">
        <f t="shared" si="93"/>
        <v>0</v>
      </c>
      <c r="ER20" s="93" t="str">
        <f t="shared" si="94"/>
        <v>0</v>
      </c>
      <c r="ES20" s="109" t="str">
        <f t="shared" si="95"/>
        <v>0</v>
      </c>
      <c r="ET20" s="32" t="str">
        <f t="shared" si="96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40"/>
        <v>0</v>
      </c>
      <c r="FT20" s="140">
        <f t="shared" si="41"/>
        <v>0</v>
      </c>
      <c r="FU20" s="140">
        <f t="shared" si="106"/>
        <v>0</v>
      </c>
      <c r="FV20" s="175"/>
      <c r="FW20" s="140"/>
      <c r="FX20" s="140"/>
      <c r="FY20" s="140"/>
      <c r="FZ20" s="140"/>
      <c r="GA20" s="140">
        <f t="shared" ref="GA20:GC23" si="107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0</v>
      </c>
      <c r="E21" s="163">
        <f>IFERROR(SUM(E4:E20),"0")</f>
        <v>0</v>
      </c>
      <c r="F21" s="118" t="s">
        <v>52</v>
      </c>
      <c r="G21" s="145">
        <f>IFERROR(SUM(G4:G20),"0")</f>
        <v>0</v>
      </c>
      <c r="H21" s="143" t="s">
        <v>53</v>
      </c>
      <c r="I21" s="230">
        <f>IFERROR(SUM(I4:I20),"0")</f>
        <v>0</v>
      </c>
      <c r="J21" s="145" t="s">
        <v>54</v>
      </c>
      <c r="K21" s="143">
        <f>IFERROR(SUM(K4:K20),"0")</f>
        <v>0</v>
      </c>
      <c r="L21" s="118" t="s">
        <v>52</v>
      </c>
      <c r="M21" s="145">
        <f>IFERROR(SUM(M4:M20),"0")</f>
        <v>0</v>
      </c>
      <c r="N21" s="143" t="s">
        <v>53</v>
      </c>
      <c r="O21" s="118">
        <f>IFERROR(SUM(O4:O20),"0")</f>
        <v>0</v>
      </c>
      <c r="P21" s="145" t="s">
        <v>54</v>
      </c>
      <c r="Q21" s="111">
        <f>IFERROR(SUM(Q4:Q20),"0")</f>
        <v>0</v>
      </c>
      <c r="R21" s="118" t="s">
        <v>52</v>
      </c>
      <c r="S21" s="145">
        <f>IFERROR(SUM(S4:S20),"0")</f>
        <v>0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0</v>
      </c>
      <c r="X21" s="118" t="s">
        <v>52</v>
      </c>
      <c r="Y21" s="145">
        <f>IFERROR(SUM(Y4:Y18),"0")</f>
        <v>0</v>
      </c>
      <c r="Z21" s="143" t="s">
        <v>53</v>
      </c>
      <c r="AA21" s="118">
        <f>IFERROR(SUM(AA4:AA18),"0")</f>
        <v>0</v>
      </c>
      <c r="AB21" s="111" t="s">
        <v>54</v>
      </c>
      <c r="AC21" s="143">
        <f>IFERROR(SUM(AC4:AC18),"0")</f>
        <v>0</v>
      </c>
      <c r="AD21" s="118" t="s">
        <v>52</v>
      </c>
      <c r="AE21" s="146">
        <f>IFERROR(SUM(AE4:AE18),"0")</f>
        <v>0</v>
      </c>
      <c r="AF21" s="129"/>
      <c r="AG21" s="144">
        <f>IFERROR(SUM(AG4:AG18),"0")</f>
        <v>0</v>
      </c>
      <c r="AH21" s="118" t="s">
        <v>52</v>
      </c>
      <c r="AI21" s="145">
        <f>IFERROR(SUM(AI4:AI18),"0")</f>
        <v>0</v>
      </c>
      <c r="AJ21" s="143" t="s">
        <v>53</v>
      </c>
      <c r="AK21" s="111">
        <f>IFERROR(SUM(AK4:AK18),"0")</f>
        <v>0</v>
      </c>
      <c r="AL21" s="145" t="s">
        <v>54</v>
      </c>
      <c r="AM21" s="143">
        <f>IFERROR(SUM(AM4:AM18),"0")</f>
        <v>0</v>
      </c>
      <c r="AN21" s="118" t="s">
        <v>52</v>
      </c>
      <c r="AO21" s="145">
        <f>IFERROR(SUM(AO4:AO18),"0")</f>
        <v>0</v>
      </c>
      <c r="AP21" s="143" t="s">
        <v>53</v>
      </c>
      <c r="AQ21" s="111">
        <f>IFERROR(SUM(AQ4:AQ18),"0")</f>
        <v>0</v>
      </c>
      <c r="AR21" s="111" t="s">
        <v>54</v>
      </c>
      <c r="AS21" s="143">
        <f>IFERROR(SUM(AS4:AS18),"0")</f>
        <v>0</v>
      </c>
      <c r="AT21" s="118" t="s">
        <v>52</v>
      </c>
      <c r="AU21" s="145">
        <f>IFERROR(SUM(AU4:AU18),"0")</f>
        <v>0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0</v>
      </c>
      <c r="AZ21" s="118" t="s">
        <v>52</v>
      </c>
      <c r="BA21" s="145">
        <f>IFERROR(SUM(BA4:BA18),"0")</f>
        <v>0</v>
      </c>
      <c r="BB21" s="143" t="s">
        <v>53</v>
      </c>
      <c r="BC21" s="118">
        <f>IFERROR(SUM(BC4:BC18),"0")</f>
        <v>0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0</v>
      </c>
      <c r="BJ21" s="118" t="s">
        <v>52</v>
      </c>
      <c r="BK21" s="145">
        <f>IFERROR(SUM(BK4:BK18),"0")</f>
        <v>0</v>
      </c>
      <c r="BL21" s="143" t="s">
        <v>53</v>
      </c>
      <c r="BM21" s="118">
        <f>IFERROR(SUM(BM4:BM18),"0")</f>
        <v>0</v>
      </c>
      <c r="BN21" s="145" t="s">
        <v>54</v>
      </c>
      <c r="BO21" s="143">
        <f>IFERROR(SUM(BO4:BO18),"0")</f>
        <v>0</v>
      </c>
      <c r="BP21" s="118" t="s">
        <v>52</v>
      </c>
      <c r="BQ21" s="145">
        <f>IFERROR(SUM(BQ4:BQ18),"0")</f>
        <v>0</v>
      </c>
      <c r="BR21" s="143" t="s">
        <v>53</v>
      </c>
      <c r="BS21" s="118">
        <f>IFERROR(SUM(BS4:BS18),"0")</f>
        <v>0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0</v>
      </c>
      <c r="CB21" s="118" t="s">
        <v>52</v>
      </c>
      <c r="CC21" s="145">
        <f>IFERROR(SUM(CC4:CC18),"0")</f>
        <v>0</v>
      </c>
      <c r="CD21" s="143" t="s">
        <v>53</v>
      </c>
      <c r="CE21" s="118">
        <f>IFERROR(SUM(CE4:CE18),"0")</f>
        <v>0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108">IFERROR(SUM(CJ4:CJ20),"0")</f>
        <v>0</v>
      </c>
      <c r="CK21" s="129">
        <f>IFERROR(SUM(CK4:CK20),"0")</f>
        <v>0</v>
      </c>
      <c r="CL21" s="129">
        <f>IFERROR(SUM(CL4:CL20),"0")</f>
        <v>0</v>
      </c>
      <c r="CM21" s="129">
        <f t="shared" ref="CM21" si="109">IFERROR(SUM(CM4:CM20),"0")</f>
        <v>0</v>
      </c>
      <c r="CN21" s="129">
        <f t="shared" si="108"/>
        <v>0</v>
      </c>
      <c r="CO21" s="438">
        <f t="shared" si="108"/>
        <v>0</v>
      </c>
      <c r="CP21" s="11">
        <f t="shared" si="108"/>
        <v>0</v>
      </c>
      <c r="CQ21" s="356">
        <f t="shared" si="108"/>
        <v>0</v>
      </c>
      <c r="CR21" s="158">
        <f t="shared" si="108"/>
        <v>0</v>
      </c>
      <c r="CS21" s="129">
        <f t="shared" si="108"/>
        <v>0</v>
      </c>
      <c r="CT21" s="129">
        <f t="shared" si="108"/>
        <v>0</v>
      </c>
      <c r="CU21" s="129">
        <f t="shared" si="108"/>
        <v>0</v>
      </c>
      <c r="CV21" s="209">
        <f t="shared" si="108"/>
        <v>0</v>
      </c>
      <c r="CW21" s="11"/>
      <c r="CX21" s="150" t="str">
        <f>DG21</f>
        <v>0</v>
      </c>
      <c r="CY21" s="151" t="str">
        <f>DN21</f>
        <v>0</v>
      </c>
      <c r="CZ21" s="151" t="str">
        <f>DH21</f>
        <v>0</v>
      </c>
      <c r="DA21" s="156" t="str">
        <f>FA21</f>
        <v>0</v>
      </c>
      <c r="DB21" s="149" t="s">
        <v>219</v>
      </c>
      <c r="DC21" s="123"/>
      <c r="DD21" s="34"/>
      <c r="DE21" s="34"/>
      <c r="DF21" s="35"/>
      <c r="DG21" s="37" t="str">
        <f>IFERROR(((E21-W21)+1.5*W21)/G21,"0")</f>
        <v>0</v>
      </c>
      <c r="DH21" s="37" t="str">
        <f>IFERROR(CJ21/(CJ21+CK21),"0")</f>
        <v>0</v>
      </c>
      <c r="DI21" s="34"/>
      <c r="DJ21" s="35"/>
      <c r="DK21" s="35"/>
      <c r="DL21" s="35"/>
      <c r="DM21" s="35"/>
      <c r="DN21" s="37" t="str">
        <f>IFERROR(CT21/EG21,"0")</f>
        <v>0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IFERROR(SUM(EG4:EG20),"0")</f>
        <v>0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0</v>
      </c>
      <c r="EY21" s="6">
        <f>IFERROR(SUM(EY4:EY18),"0")</f>
        <v>0</v>
      </c>
      <c r="EZ21" s="6" t="str">
        <f>IFERROR(E21+(1-(1-(EX21/EY21))^2)*EY21*0.4,"0")</f>
        <v>0</v>
      </c>
      <c r="FA21" s="6" t="str">
        <f>IFERROR(EY21/G21,"0")</f>
        <v>0</v>
      </c>
      <c r="FC21" s="234"/>
      <c r="FD21" s="235"/>
      <c r="FE21" s="236" t="s">
        <v>219</v>
      </c>
      <c r="FF21" s="237">
        <f t="shared" ref="FF21:FG23" si="110">D21</f>
        <v>0</v>
      </c>
      <c r="FG21" s="206">
        <f t="shared" si="110"/>
        <v>0</v>
      </c>
      <c r="FH21" s="238" t="s">
        <v>52</v>
      </c>
      <c r="FI21" s="210">
        <f t="shared" si="98"/>
        <v>0</v>
      </c>
      <c r="FJ21" s="239" t="str">
        <f t="shared" si="99"/>
        <v>0</v>
      </c>
      <c r="FK21" s="234">
        <f>W21</f>
        <v>0</v>
      </c>
      <c r="FL21" s="238" t="s">
        <v>52</v>
      </c>
      <c r="FM21" s="240">
        <f>Y21</f>
        <v>0</v>
      </c>
      <c r="FN21" s="239" t="str">
        <f t="shared" si="100"/>
        <v>0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103"/>
        <v>0</v>
      </c>
      <c r="FS21" s="235">
        <f t="shared" si="40"/>
        <v>0</v>
      </c>
      <c r="FT21" s="235">
        <f t="shared" si="41"/>
        <v>0</v>
      </c>
      <c r="FU21" s="235">
        <f t="shared" si="106"/>
        <v>0</v>
      </c>
      <c r="FV21" s="241">
        <f t="shared" si="106"/>
        <v>0</v>
      </c>
      <c r="FW21" s="235">
        <f t="shared" si="106"/>
        <v>0</v>
      </c>
      <c r="FX21" s="235">
        <f t="shared" si="106"/>
        <v>0</v>
      </c>
      <c r="FY21" s="235">
        <f t="shared" si="106"/>
        <v>0</v>
      </c>
      <c r="FZ21" s="235">
        <f t="shared" si="106"/>
        <v>0</v>
      </c>
      <c r="GA21" s="235">
        <f t="shared" si="107"/>
        <v>0</v>
      </c>
      <c r="GB21" s="235">
        <f t="shared" si="107"/>
        <v>0</v>
      </c>
      <c r="GC21" s="241">
        <f t="shared" si="107"/>
        <v>0</v>
      </c>
      <c r="GD21" s="204" t="str">
        <f t="shared" ref="GD21:GG23" si="111">CX21</f>
        <v>0</v>
      </c>
      <c r="GE21" s="205" t="str">
        <f t="shared" si="111"/>
        <v>0</v>
      </c>
      <c r="GF21" s="205" t="str">
        <f t="shared" si="111"/>
        <v>0</v>
      </c>
      <c r="GG21" s="152" t="str">
        <f t="shared" si="111"/>
        <v>0</v>
      </c>
      <c r="GH21" s="242"/>
      <c r="GO21" s="345"/>
    </row>
    <row r="22" spans="1:197" x14ac:dyDescent="0.2">
      <c r="A22" s="139"/>
      <c r="B22" s="139"/>
      <c r="C22" s="432" t="s">
        <v>116</v>
      </c>
      <c r="D22" s="121">
        <f>IFERROR(SUMIFS(D4:D20,B4:B20,"R"),"0")</f>
        <v>0</v>
      </c>
      <c r="E22" s="162">
        <f>IFERROR(SUMIFS(E4:E20,B4:B20,"R"),"0")</f>
        <v>0</v>
      </c>
      <c r="F22" s="143" t="s">
        <v>52</v>
      </c>
      <c r="G22" s="145">
        <f>IFERROR(SUMIFS(G4:G20,B4:B20,"R"),"0")</f>
        <v>0</v>
      </c>
      <c r="H22" s="143" t="s">
        <v>53</v>
      </c>
      <c r="I22" s="118">
        <f>IFERROR(SUMIFS(I4:I20,B4:B20,"R"),"0")</f>
        <v>0</v>
      </c>
      <c r="J22" s="145" t="s">
        <v>54</v>
      </c>
      <c r="K22" s="143">
        <f>IFERROR(SUMIFS(K4:K20,B4:B20,"R"),"0")</f>
        <v>0</v>
      </c>
      <c r="L22" s="143" t="s">
        <v>52</v>
      </c>
      <c r="M22" s="145">
        <f>IFERROR(SUMIFS(M4:M20,B4:B20,"R"),"0")</f>
        <v>0</v>
      </c>
      <c r="N22" s="143" t="s">
        <v>53</v>
      </c>
      <c r="O22" s="118">
        <f>IFERROR(SUMIFS(O4:O20,B4:B20,"R"),"0")</f>
        <v>0</v>
      </c>
      <c r="P22" s="145" t="s">
        <v>54</v>
      </c>
      <c r="Q22" s="111">
        <f>IFERROR(SUMIFS(Q4:Q20,B4:B20,"R"),"0")</f>
        <v>0</v>
      </c>
      <c r="R22" s="143" t="s">
        <v>52</v>
      </c>
      <c r="S22" s="145">
        <f>IFERROR(SUMIFS(S4:S20,B4:B20,"R"),"0")</f>
        <v>0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0</v>
      </c>
      <c r="X22" s="143" t="s">
        <v>52</v>
      </c>
      <c r="Y22" s="145">
        <f>IFERROR(SUMIFS(Y4:Y20,B4:B20,"R"),"0")</f>
        <v>0</v>
      </c>
      <c r="Z22" s="143" t="s">
        <v>53</v>
      </c>
      <c r="AA22" s="118">
        <f>IFERROR(SUMIFS(AA4:AA20,B4:B20,"R"),"0")</f>
        <v>0</v>
      </c>
      <c r="AB22" s="111" t="s">
        <v>54</v>
      </c>
      <c r="AC22" s="143">
        <f>IFERROR(SUMIFS(AC4:AC20,B4:B20,"R"),"0")</f>
        <v>0</v>
      </c>
      <c r="AD22" s="143" t="s">
        <v>52</v>
      </c>
      <c r="AE22" s="146">
        <f>IFERROR(SUMIFS(AE4:AE20,B4:B20,"R"),"0")</f>
        <v>0</v>
      </c>
      <c r="AF22" s="143"/>
      <c r="AG22" s="144">
        <f>IFERROR(SUMIFS(AG4:AG20,B4:B20,"R"),"0")</f>
        <v>0</v>
      </c>
      <c r="AH22" s="143" t="s">
        <v>52</v>
      </c>
      <c r="AI22" s="145">
        <f>IFERROR(SUMIFS(AI4:AI20,B4:B20,"R"),"0")</f>
        <v>0</v>
      </c>
      <c r="AJ22" s="143" t="s">
        <v>53</v>
      </c>
      <c r="AK22" s="111">
        <f>IFERROR(SUMIFS(AK4:AK20,B4:B20,"R"),"0")</f>
        <v>0</v>
      </c>
      <c r="AL22" s="145" t="s">
        <v>54</v>
      </c>
      <c r="AM22" s="143">
        <f>IFERROR(SUMIFS(AM4:AM20,B4:B20,"R"),"0")</f>
        <v>0</v>
      </c>
      <c r="AN22" s="143" t="s">
        <v>52</v>
      </c>
      <c r="AO22" s="145">
        <f>IFERROR(SUMIFS(AO4:AO20,B4:B20,"R"),"0")</f>
        <v>0</v>
      </c>
      <c r="AP22" s="143" t="s">
        <v>53</v>
      </c>
      <c r="AQ22" s="111">
        <f>IFERROR(SUMIFS(AQ4:AQ20,B4:B20,"R"),"0")</f>
        <v>0</v>
      </c>
      <c r="AR22" s="111" t="s">
        <v>54</v>
      </c>
      <c r="AS22" s="143">
        <f>IFERROR(SUMIFS(AS4:AS20,B4:B20,"R"),"0")</f>
        <v>0</v>
      </c>
      <c r="AT22" s="143" t="s">
        <v>52</v>
      </c>
      <c r="AU22" s="145">
        <f>IFERROR(SUMIFS(AU4:AU20,B4:B20,"R"),"0")</f>
        <v>0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0</v>
      </c>
      <c r="AZ22" s="143" t="s">
        <v>52</v>
      </c>
      <c r="BA22" s="145">
        <f>IFERROR(SUMIFS(BA4:BA20,B4:B20,"R"),"0")</f>
        <v>0</v>
      </c>
      <c r="BB22" s="143" t="s">
        <v>53</v>
      </c>
      <c r="BC22" s="118">
        <f>IFERROR(SUMIFS(BC4:BC20,B4:B20,"R"),"0")</f>
        <v>0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0</v>
      </c>
      <c r="BJ22" s="143" t="s">
        <v>52</v>
      </c>
      <c r="BK22" s="145">
        <f>IFERROR(SUMIFS(BK4:BK20,B4:B20,"R"),"0")</f>
        <v>0</v>
      </c>
      <c r="BL22" s="143" t="s">
        <v>53</v>
      </c>
      <c r="BM22" s="118">
        <f>IFERROR(SUMIFS(BM4:BM20,B4:B20,"R"),"0")</f>
        <v>0</v>
      </c>
      <c r="BN22" s="145" t="s">
        <v>54</v>
      </c>
      <c r="BO22" s="143">
        <f>IFERROR(SUMIFS(BO4:BO20,B4:B20,"R"),"0")</f>
        <v>0</v>
      </c>
      <c r="BP22" s="143" t="s">
        <v>52</v>
      </c>
      <c r="BQ22" s="145">
        <f>IFERROR(SUMIFS(BQ4:BQ20,B4:B20,"R"),"0")</f>
        <v>0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0</v>
      </c>
      <c r="CB22" s="143" t="s">
        <v>52</v>
      </c>
      <c r="CC22" s="145">
        <f>IFERROR(SUMIFS(CC4:CC20,B4:B20,"R"),"0")</f>
        <v>0</v>
      </c>
      <c r="CD22" s="143" t="s">
        <v>53</v>
      </c>
      <c r="CE22" s="118">
        <f>IFERROR(SUMIFS(CE4:CE20,B4:B20,"R"),"0")</f>
        <v>0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0</v>
      </c>
      <c r="CK22" s="118">
        <f>IFERROR(SUMIFS(CK4:CK20,B4:B20,"R"),"0")</f>
        <v>0</v>
      </c>
      <c r="CL22" s="118">
        <f t="shared" ref="CL22:CM22" si="112">IFERROR(SUMIFS(CL4:CL20,C4:C20,"R"),"0")</f>
        <v>0</v>
      </c>
      <c r="CM22" s="118">
        <f t="shared" si="112"/>
        <v>0</v>
      </c>
      <c r="CN22" s="118">
        <f>IFERROR(SUMIFS(CN4:CN20,B4:B20,"R"),"0")</f>
        <v>0</v>
      </c>
      <c r="CO22" s="175">
        <f>IFERROR(SUMIFS(CO4:CO20,B4:B20,"R"),"0")</f>
        <v>0</v>
      </c>
      <c r="CP22" s="118">
        <f>IFERROR(SUMIFS(CP4:CP20,B4:B20,"R"),"0")</f>
        <v>0</v>
      </c>
      <c r="CQ22" s="175">
        <f>IFERROR(SUMIFS(CQ4:CQ20,B4:B20,"R"),"0")</f>
        <v>0</v>
      </c>
      <c r="CR22" s="118">
        <f>IFERROR(SUMIFS(CR4:CR20,B4:B20,"R"),"0")</f>
        <v>0</v>
      </c>
      <c r="CS22" s="118">
        <f>IFERROR(SUMIFS(CS4:CS20,B4:B20,"R"),"0")</f>
        <v>0</v>
      </c>
      <c r="CT22" s="118">
        <f>IFERROR(SUMIFS(CT4:CT20,B4:B20,"R"),"0")</f>
        <v>0</v>
      </c>
      <c r="CU22" s="118">
        <f>IFERROR(SUMIFS(CU4:CU20,B4:B20,"R"),"0")</f>
        <v>0</v>
      </c>
      <c r="CV22" s="119">
        <f>IFERROR(SUMIFS(CV4:CV20,B4:B20,"R"),"0")</f>
        <v>0</v>
      </c>
      <c r="CW22" s="118"/>
      <c r="CX22" s="134" t="str">
        <f>DG22</f>
        <v>0</v>
      </c>
      <c r="CY22" s="121" t="str">
        <f>DN22</f>
        <v>0</v>
      </c>
      <c r="CZ22" s="121" t="str">
        <f>DH22</f>
        <v>0</v>
      </c>
      <c r="DA22" s="135" t="str">
        <f>FA22</f>
        <v>0</v>
      </c>
      <c r="DB22" s="433" t="s">
        <v>231</v>
      </c>
      <c r="DC22" s="116"/>
      <c r="DD22" s="34"/>
      <c r="DE22" s="34"/>
      <c r="DF22" s="35"/>
      <c r="DG22" s="37" t="str">
        <f>IFERROR(((E22-W22)+1.5*W22)/G22,"0")</f>
        <v>0</v>
      </c>
      <c r="DH22" s="37" t="str">
        <f>IFERROR(CJ22/(CJ22+CK23),"0")</f>
        <v>0</v>
      </c>
      <c r="DI22" s="34"/>
      <c r="DJ22" s="35"/>
      <c r="DK22" s="35"/>
      <c r="DL22" s="35"/>
      <c r="DM22" s="35"/>
      <c r="DN22" s="37" t="str">
        <f>IFERROR(CT22/EG22,"0")</f>
        <v>0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0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0</v>
      </c>
      <c r="EY22" s="6">
        <f>IFERROR(SUMIFS(EY4:EY20,B4:B20,"R"),"0")</f>
        <v>0</v>
      </c>
      <c r="EZ22" s="6" t="str">
        <f>IFERROR(E22+(1-(1-(EX22/EY22))^2)*EY22*0.4,"0")</f>
        <v>0</v>
      </c>
      <c r="FA22" s="6" t="str">
        <f>IFERROR(EY22/G22,"0")</f>
        <v>0</v>
      </c>
      <c r="FC22" s="139"/>
      <c r="FD22" s="139"/>
      <c r="FE22" s="437" t="s">
        <v>232</v>
      </c>
      <c r="FF22" s="121">
        <f t="shared" si="110"/>
        <v>0</v>
      </c>
      <c r="FG22" s="144">
        <f t="shared" si="110"/>
        <v>0</v>
      </c>
      <c r="FH22" s="339" t="s">
        <v>52</v>
      </c>
      <c r="FI22" s="145">
        <f t="shared" si="98"/>
        <v>0</v>
      </c>
      <c r="FJ22" s="194" t="str">
        <f t="shared" si="99"/>
        <v>0</v>
      </c>
      <c r="FK22" s="110">
        <f>W22</f>
        <v>0</v>
      </c>
      <c r="FL22" s="339" t="s">
        <v>52</v>
      </c>
      <c r="FM22" s="168">
        <f>Y22</f>
        <v>0</v>
      </c>
      <c r="FN22" s="194" t="str">
        <f t="shared" si="100"/>
        <v>0</v>
      </c>
      <c r="FO22" s="110">
        <f>IFERROR(SUMIFS(FO4:FO20,B4:B20,"R"),"0")</f>
        <v>0</v>
      </c>
      <c r="FP22" s="339" t="s">
        <v>52</v>
      </c>
      <c r="FQ22" s="131">
        <f>IFERROR(SUMIFS(FQ4:FQ20,B4:B20,"R"),"0")</f>
        <v>0</v>
      </c>
      <c r="FR22" s="197" t="str">
        <f t="shared" si="103"/>
        <v>0</v>
      </c>
      <c r="FS22" s="118">
        <f t="shared" si="40"/>
        <v>0</v>
      </c>
      <c r="FT22" s="118">
        <f t="shared" si="41"/>
        <v>0</v>
      </c>
      <c r="FU22" s="118">
        <f t="shared" si="106"/>
        <v>0</v>
      </c>
      <c r="FV22" s="175">
        <f t="shared" si="106"/>
        <v>0</v>
      </c>
      <c r="FW22" s="118">
        <f t="shared" si="106"/>
        <v>0</v>
      </c>
      <c r="FX22" s="118">
        <f t="shared" si="106"/>
        <v>0</v>
      </c>
      <c r="FY22" s="118">
        <f t="shared" si="106"/>
        <v>0</v>
      </c>
      <c r="FZ22" s="118">
        <f t="shared" si="106"/>
        <v>0</v>
      </c>
      <c r="GA22" s="118">
        <f t="shared" si="107"/>
        <v>0</v>
      </c>
      <c r="GB22" s="118">
        <f t="shared" si="107"/>
        <v>0</v>
      </c>
      <c r="GC22" s="175">
        <f t="shared" si="107"/>
        <v>0</v>
      </c>
      <c r="GD22" s="134" t="str">
        <f t="shared" si="111"/>
        <v>0</v>
      </c>
      <c r="GE22" s="121" t="str">
        <f t="shared" si="111"/>
        <v>0</v>
      </c>
      <c r="GF22" s="121" t="str">
        <f t="shared" si="111"/>
        <v>0</v>
      </c>
      <c r="GG22" s="135" t="str">
        <f t="shared" si="111"/>
        <v>0</v>
      </c>
      <c r="GH22" s="208"/>
      <c r="GO22" s="345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0</v>
      </c>
      <c r="E23" s="162">
        <f>IFERROR(SUMIFS(E4:E20,B4:B20,"W"),"0")</f>
        <v>0</v>
      </c>
      <c r="F23" s="143" t="s">
        <v>52</v>
      </c>
      <c r="G23" s="145">
        <f>IFERROR(SUMIFS(G4:G20,B4:B20,"W"),"0")</f>
        <v>0</v>
      </c>
      <c r="H23" s="143" t="s">
        <v>53</v>
      </c>
      <c r="I23" s="118">
        <f>IFERROR(SUMIFS(I4:I20,B4:B20,"W"),"0")</f>
        <v>0</v>
      </c>
      <c r="J23" s="145" t="s">
        <v>54</v>
      </c>
      <c r="K23" s="143">
        <f>IFERROR(SUMIFS(K4:K20,B4:B20,"W"),"0")</f>
        <v>0</v>
      </c>
      <c r="L23" s="143" t="s">
        <v>52</v>
      </c>
      <c r="M23" s="145">
        <f>IFERROR(SUMIFS(M4:M20,B4:B20,"W"),"0")</f>
        <v>0</v>
      </c>
      <c r="N23" s="143" t="s">
        <v>53</v>
      </c>
      <c r="O23" s="118">
        <f>IFERROR(SUMIFS(O4:O20,B4:B20,"W"),"0")</f>
        <v>0</v>
      </c>
      <c r="P23" s="145" t="s">
        <v>54</v>
      </c>
      <c r="Q23" s="111">
        <f>IFERROR(SUMIFS(Q4:Q20,B4:B20,"W"),"0")</f>
        <v>0</v>
      </c>
      <c r="R23" s="143" t="s">
        <v>52</v>
      </c>
      <c r="S23" s="145">
        <f>IFERROR(SUMIFS(S4:S20,B4:B20,"W"),"0")</f>
        <v>0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0</v>
      </c>
      <c r="X23" s="143" t="s">
        <v>52</v>
      </c>
      <c r="Y23" s="145">
        <f>IFERROR(SUMIFS(Y4:Y20,B4:B20,"W"),"0")</f>
        <v>0</v>
      </c>
      <c r="Z23" s="143" t="s">
        <v>53</v>
      </c>
      <c r="AA23" s="118">
        <f>IFERROR(SUMIFS(AA4:AA20,B4:B20,"W"),"0")</f>
        <v>0</v>
      </c>
      <c r="AB23" s="111" t="s">
        <v>54</v>
      </c>
      <c r="AC23" s="143">
        <f>IFERROR(SUMIFS(AC4:AC20,B4:B20,"W"),"0")</f>
        <v>0</v>
      </c>
      <c r="AD23" s="143" t="s">
        <v>52</v>
      </c>
      <c r="AE23" s="146">
        <f>IFERROR(SUMIFS(AE4:AE20,B4:B20,"W"),"0")</f>
        <v>0</v>
      </c>
      <c r="AF23" s="143"/>
      <c r="AG23" s="144">
        <f>IFERROR(SUMIFS(AG4:AG20,B4:B20,"W"),"0")</f>
        <v>0</v>
      </c>
      <c r="AH23" s="143" t="s">
        <v>52</v>
      </c>
      <c r="AI23" s="145">
        <f>IFERROR(SUMIFS(AI4:AI20,B4:B20,"W"),"0")</f>
        <v>0</v>
      </c>
      <c r="AJ23" s="143" t="s">
        <v>53</v>
      </c>
      <c r="AK23" s="111">
        <f>IFERROR(SUMIFS(AK4:AK20,B4:B20,"W"),"0")</f>
        <v>0</v>
      </c>
      <c r="AL23" s="145" t="s">
        <v>54</v>
      </c>
      <c r="AM23" s="143">
        <f>IFERROR(SUMIFS(AM4:AM20,B4:B20,"W"),"0")</f>
        <v>0</v>
      </c>
      <c r="AN23" s="143" t="s">
        <v>52</v>
      </c>
      <c r="AO23" s="145">
        <f>IFERROR(SUMIFS(AO4:AO20,B4:B20,"W"),"0")</f>
        <v>0</v>
      </c>
      <c r="AP23" s="143" t="s">
        <v>53</v>
      </c>
      <c r="AQ23" s="111">
        <f>IFERROR(SUMIFS(AQ4:AQ20,B4:B20,"W"),"0")</f>
        <v>0</v>
      </c>
      <c r="AR23" s="111" t="s">
        <v>54</v>
      </c>
      <c r="AS23" s="143">
        <f>IFERROR(SUMIFS(AS4:AS20,B4:B20,"W"),"0")</f>
        <v>0</v>
      </c>
      <c r="AT23" s="143" t="s">
        <v>52</v>
      </c>
      <c r="AU23" s="145">
        <f>IFERROR(SUMIFS(AU4:AU20,B4:B20,"W"),"0")</f>
        <v>0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0</v>
      </c>
      <c r="AZ23" s="143" t="s">
        <v>52</v>
      </c>
      <c r="BA23" s="145">
        <f>IFERROR(SUMIFS(BA4:BA20,B4:B20,"W"),"0")</f>
        <v>0</v>
      </c>
      <c r="BB23" s="143" t="s">
        <v>53</v>
      </c>
      <c r="BC23" s="118">
        <f>IFERROR(SUMIFS(BC4:BC20,B4:B20,"W"),"0")</f>
        <v>0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0</v>
      </c>
      <c r="BJ23" s="143" t="s">
        <v>52</v>
      </c>
      <c r="BK23" s="145">
        <f>IFERROR(SUMIFS(BK4:BK20,B4:B20,"W"),"0")</f>
        <v>0</v>
      </c>
      <c r="BL23" s="143" t="s">
        <v>53</v>
      </c>
      <c r="BM23" s="118">
        <f>IFERROR(SUMIFS(BM4:BM20,B4:B20,"W"),"0")</f>
        <v>0</v>
      </c>
      <c r="BN23" s="145" t="s">
        <v>54</v>
      </c>
      <c r="BO23" s="143">
        <f>IFERROR(SUMIFS(BO4:BO20,B4:B20,"W"),"0")</f>
        <v>0</v>
      </c>
      <c r="BP23" s="143" t="s">
        <v>52</v>
      </c>
      <c r="BQ23" s="145">
        <f>IFERROR(SUMIFS(BQ4:BQ20,B4:B20,"W"),"0")</f>
        <v>0</v>
      </c>
      <c r="BR23" s="143" t="s">
        <v>53</v>
      </c>
      <c r="BS23" s="143">
        <f>IFERROR(SUMIFS(BS4:BS20,B4:B20,"W"),"0")</f>
        <v>0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0</v>
      </c>
      <c r="CB23" s="143" t="s">
        <v>52</v>
      </c>
      <c r="CC23" s="145">
        <f>IFERROR(SUMIFS(CC4:CC20,B4:B20,"W"),"0")</f>
        <v>0</v>
      </c>
      <c r="CD23" s="143" t="s">
        <v>53</v>
      </c>
      <c r="CE23" s="118">
        <f>IFERROR(SUMIFS(CE4:CE20,B4:B20,"W"),"0")</f>
        <v>0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0</v>
      </c>
      <c r="CK23" s="118">
        <f>IFERROR(SUMIFS(CK4:CK20,B4:B20,"W"),"0")</f>
        <v>0</v>
      </c>
      <c r="CL23" s="118">
        <f t="shared" ref="CL23:CM23" si="113">IFERROR(SUMIFS(CL4:CL20,C4:C20,"W"),"0")</f>
        <v>0</v>
      </c>
      <c r="CM23" s="118">
        <f t="shared" si="113"/>
        <v>0</v>
      </c>
      <c r="CN23" s="118">
        <f>IFERROR(SUMIFS(CN4:CN20,B4:B20,"W"),"0")</f>
        <v>0</v>
      </c>
      <c r="CO23" s="175">
        <f>IFERROR(SUMIFS(CO4:CO20,B4:B20,"W"),"0")</f>
        <v>0</v>
      </c>
      <c r="CP23" s="118">
        <f>IFERROR(SUMIFS(CP4:CP20,B4:B20,"W"),"0")</f>
        <v>0</v>
      </c>
      <c r="CQ23" s="175">
        <f>IFERROR(SUMIFS(CQ4:CQ20,B4:B20,"W"),"0")</f>
        <v>0</v>
      </c>
      <c r="CR23" s="118">
        <f>IFERROR(SUMIFS(CR4:CR20,B4:B20,"W"),"0")</f>
        <v>0</v>
      </c>
      <c r="CS23" s="119">
        <f>IFERROR(SUMIFS(CS4:CS20,B4:B20,"W"),"0")</f>
        <v>0</v>
      </c>
      <c r="CT23" s="118">
        <f>IFERROR(SUMIFS(CT4:CT20,B4:B20,"W"),"0")</f>
        <v>0</v>
      </c>
      <c r="CU23" s="118">
        <f>IFERROR(SUMIFS(CU4:CU20,B4:B20,"W"),"0")</f>
        <v>0</v>
      </c>
      <c r="CV23" s="119">
        <f>IFERROR(SUMIFS(CV4:CV20,B4:B20,"W"),"0")</f>
        <v>0</v>
      </c>
      <c r="CW23" s="118"/>
      <c r="CX23" s="136" t="str">
        <f>DG23</f>
        <v>0</v>
      </c>
      <c r="CY23" s="137" t="str">
        <f>DN23</f>
        <v>0</v>
      </c>
      <c r="CZ23" s="137" t="str">
        <f>DH23</f>
        <v>0</v>
      </c>
      <c r="DA23" s="138" t="str">
        <f>FA23</f>
        <v>0</v>
      </c>
      <c r="DB23" s="232" t="s">
        <v>84</v>
      </c>
      <c r="DC23" s="116"/>
      <c r="DG23" s="37" t="str">
        <f>IFERROR(((E23-W23)+1.5*W23)/G23,"0")</f>
        <v>0</v>
      </c>
      <c r="DH23" s="37" t="str">
        <f>IFERROR(CJ23/(CJ23+CK22),"0")</f>
        <v>0</v>
      </c>
      <c r="DN23" s="37" t="str">
        <f>IFERROR(CT23/EG23,"0")</f>
        <v>0</v>
      </c>
      <c r="DS23" s="10"/>
      <c r="DT23" s="10"/>
      <c r="EF23" s="233" t="s">
        <v>89</v>
      </c>
      <c r="EG23" s="28">
        <f>IFERROR(SUMIFS(EG4:EG20,B4:B20,"W"),"0")</f>
        <v>0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0</v>
      </c>
      <c r="EY23" s="6">
        <f>IFERROR(SUMIFS(EY4:EY20,B4:B20,"W"),"0")</f>
        <v>0</v>
      </c>
      <c r="EZ23" s="6" t="str">
        <f t="shared" ref="EZ23" si="114">IFERROR(E23+(1-(1-(EX23/EY23))^2)*EY23*0.4,"0")</f>
        <v>0</v>
      </c>
      <c r="FA23" s="6" t="str">
        <f>IFERROR(EY23/G23,"0")</f>
        <v>0</v>
      </c>
      <c r="FC23" s="139"/>
      <c r="FD23" s="139"/>
      <c r="FE23" s="116" t="s">
        <v>89</v>
      </c>
      <c r="FF23" s="121">
        <f t="shared" si="110"/>
        <v>0</v>
      </c>
      <c r="FG23" s="169">
        <f t="shared" si="110"/>
        <v>0</v>
      </c>
      <c r="FH23" s="166" t="s">
        <v>52</v>
      </c>
      <c r="FI23" s="170">
        <f t="shared" si="98"/>
        <v>0</v>
      </c>
      <c r="FJ23" s="195" t="str">
        <f t="shared" si="99"/>
        <v>0</v>
      </c>
      <c r="FK23" s="171">
        <f>W23</f>
        <v>0</v>
      </c>
      <c r="FL23" s="166" t="s">
        <v>52</v>
      </c>
      <c r="FM23" s="172">
        <f>Y23</f>
        <v>0</v>
      </c>
      <c r="FN23" s="195" t="str">
        <f t="shared" si="100"/>
        <v>0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103"/>
        <v>0</v>
      </c>
      <c r="FS23" s="118">
        <f t="shared" si="40"/>
        <v>0</v>
      </c>
      <c r="FT23" s="118">
        <f t="shared" si="41"/>
        <v>0</v>
      </c>
      <c r="FU23" s="118">
        <f t="shared" si="106"/>
        <v>0</v>
      </c>
      <c r="FV23" s="175">
        <f t="shared" si="106"/>
        <v>0</v>
      </c>
      <c r="FW23" s="118">
        <f t="shared" si="106"/>
        <v>0</v>
      </c>
      <c r="FX23" s="118">
        <f t="shared" si="106"/>
        <v>0</v>
      </c>
      <c r="FY23" s="118">
        <f t="shared" si="106"/>
        <v>0</v>
      </c>
      <c r="FZ23" s="118">
        <f t="shared" si="106"/>
        <v>0</v>
      </c>
      <c r="GA23" s="118">
        <f t="shared" si="107"/>
        <v>0</v>
      </c>
      <c r="GB23" s="118">
        <f t="shared" si="107"/>
        <v>0</v>
      </c>
      <c r="GC23" s="175">
        <f t="shared" si="107"/>
        <v>0</v>
      </c>
      <c r="GD23" s="136" t="str">
        <f t="shared" si="111"/>
        <v>0</v>
      </c>
      <c r="GE23" s="137" t="str">
        <f t="shared" si="111"/>
        <v>0</v>
      </c>
      <c r="GF23" s="137" t="str">
        <f t="shared" si="111"/>
        <v>0</v>
      </c>
      <c r="GG23" s="138" t="str">
        <f t="shared" si="111"/>
        <v>0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345"/>
      <c r="EY24" s="345"/>
      <c r="EZ24" s="345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0</v>
      </c>
      <c r="E25" s="86">
        <f>IFERROR(IF(B4="W",$E$23,$E$22),"0")</f>
        <v>0</v>
      </c>
      <c r="F25" s="33" t="s">
        <v>52</v>
      </c>
      <c r="G25" s="49">
        <f>IFERROR(IF(B4="W",$G$23,$G$22),"0")</f>
        <v>0</v>
      </c>
      <c r="H25" s="12" t="s">
        <v>53</v>
      </c>
      <c r="I25" s="33">
        <f>IFERROR(IF(B4="W",I$23,I$22),"0")</f>
        <v>0</v>
      </c>
      <c r="J25" s="49" t="s">
        <v>54</v>
      </c>
      <c r="K25" s="12">
        <f>IFERROR(IF(B4="W",K$23,K$22),"0")</f>
        <v>0</v>
      </c>
      <c r="L25" s="33" t="s">
        <v>52</v>
      </c>
      <c r="M25" s="49">
        <f>IFERROR(IF(B4="W",M$23,M$22),"0")</f>
        <v>0</v>
      </c>
      <c r="N25" s="12" t="s">
        <v>53</v>
      </c>
      <c r="O25" s="33">
        <f>IFERROR(IF(B4="W",O$23,O$22),"0")</f>
        <v>0</v>
      </c>
      <c r="P25" s="49" t="s">
        <v>54</v>
      </c>
      <c r="Q25" s="12">
        <f>IFERROR(IF(B4="W",Q$23,Q$22),"0")</f>
        <v>0</v>
      </c>
      <c r="R25" s="33" t="s">
        <v>52</v>
      </c>
      <c r="S25" s="49">
        <f>IFERROR(IF(B4="W",S$23,S$22),"0")</f>
        <v>0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0</v>
      </c>
      <c r="X25" s="33" t="s">
        <v>52</v>
      </c>
      <c r="Y25" s="49">
        <f>IFERROR(IF(B4="W",Y$23,Y$22),"0")</f>
        <v>0</v>
      </c>
      <c r="Z25" s="12" t="s">
        <v>53</v>
      </c>
      <c r="AA25" s="33">
        <f>IFERROR(IF(B4="W",AA$23,AA$22),"0")</f>
        <v>0</v>
      </c>
      <c r="AB25" s="49" t="s">
        <v>54</v>
      </c>
      <c r="AC25" s="12">
        <f>IFERROR(IF(B4="W",AC$23,AC$22),"0")</f>
        <v>0</v>
      </c>
      <c r="AD25" s="33" t="s">
        <v>52</v>
      </c>
      <c r="AE25" s="53">
        <f>IFERROR(IF(B4="W",AE$23,AE$22),"0")</f>
        <v>0</v>
      </c>
      <c r="AF25" s="12"/>
      <c r="AG25" s="43">
        <f>IFERROR(IF(B4="W",AG$23,AG$22),"0")</f>
        <v>0</v>
      </c>
      <c r="AH25" s="33" t="s">
        <v>52</v>
      </c>
      <c r="AI25" s="49">
        <f>IFERROR(IF(B4="W",AI$23,AI$22),"0")</f>
        <v>0</v>
      </c>
      <c r="AJ25" s="12" t="s">
        <v>53</v>
      </c>
      <c r="AK25" s="33">
        <f>IFERROR(IF(B4="W",AK$23,AK$22),"0")</f>
        <v>0</v>
      </c>
      <c r="AL25" s="49" t="s">
        <v>54</v>
      </c>
      <c r="AM25" s="12">
        <f>IFERROR(IF(B4="W",AM$23,AM$22),"0")</f>
        <v>0</v>
      </c>
      <c r="AN25" s="33" t="s">
        <v>52</v>
      </c>
      <c r="AO25" s="49">
        <f>IFERROR(IF(B4="W",AO$23,AO$22),"0")</f>
        <v>0</v>
      </c>
      <c r="AP25" s="12" t="s">
        <v>53</v>
      </c>
      <c r="AQ25" s="33">
        <f>IFERROR(IF(B4="W",AQ$23,AQ$22),"0")</f>
        <v>0</v>
      </c>
      <c r="AR25" s="49" t="s">
        <v>54</v>
      </c>
      <c r="AS25" s="12">
        <f>IFERROR(IF(B4="W",AS$23,AS$22),"0")</f>
        <v>0</v>
      </c>
      <c r="AT25" s="33" t="s">
        <v>52</v>
      </c>
      <c r="AU25" s="49">
        <f>IFERROR(IF(B4="W",AU$23,AU$22),"0")</f>
        <v>0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0</v>
      </c>
      <c r="AZ25" s="33" t="s">
        <v>52</v>
      </c>
      <c r="BA25" s="49">
        <f>IFERROR(IF(B4="W",BA$23,BA$22),"0")</f>
        <v>0</v>
      </c>
      <c r="BB25" s="12" t="s">
        <v>53</v>
      </c>
      <c r="BC25" s="33">
        <f>IFERROR(IF(B4="W",BC$23,BC$22),"0")</f>
        <v>0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0</v>
      </c>
      <c r="BJ25" s="33" t="s">
        <v>52</v>
      </c>
      <c r="BK25" s="49">
        <f>IFERROR(IF($B$4="W",BK23,BK22),"0")</f>
        <v>0</v>
      </c>
      <c r="BL25" s="12" t="s">
        <v>53</v>
      </c>
      <c r="BM25" s="33">
        <f>IFERROR(IF($B$4="W",BM23,BM22),"0")</f>
        <v>0</v>
      </c>
      <c r="BN25" s="49" t="s">
        <v>54</v>
      </c>
      <c r="BO25" s="12">
        <f>IFERROR(IF($B$4="W",BO23,BO22),"0")</f>
        <v>0</v>
      </c>
      <c r="BP25" s="33" t="s">
        <v>52</v>
      </c>
      <c r="BQ25" s="49">
        <f>IFERROR(IF($B$4="W",BQ23,BQ22),"0")</f>
        <v>0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0</v>
      </c>
      <c r="CB25" s="33" t="s">
        <v>52</v>
      </c>
      <c r="CC25" s="49">
        <f>IFERROR(IF($B$4="W",CC23,CC22),"0")</f>
        <v>0</v>
      </c>
      <c r="CD25" s="12" t="s">
        <v>53</v>
      </c>
      <c r="CE25" s="33">
        <f>IFERROR(IF($B$4="W",CE23,CE22),"0")</f>
        <v>0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115">IFERROR(IF($B$4="W",CI23,CI22),"0")</f>
        <v>0</v>
      </c>
      <c r="CJ25" s="33">
        <f t="shared" si="115"/>
        <v>0</v>
      </c>
      <c r="CK25" s="33">
        <f>IFERROR(IF($B$4="W",CK23,CK22),"0")</f>
        <v>0</v>
      </c>
      <c r="CL25" s="33">
        <f>IFERROR(IF($B$4="W",CL23,CL22),"0")</f>
        <v>0</v>
      </c>
      <c r="CM25" s="33">
        <f t="shared" ref="CM25" si="116">IFERROR(IF($B$4="W",CM23,CM22),"0")</f>
        <v>0</v>
      </c>
      <c r="CN25" s="33">
        <f t="shared" si="115"/>
        <v>0</v>
      </c>
      <c r="CO25" s="33">
        <f t="shared" si="115"/>
        <v>0</v>
      </c>
      <c r="CP25" s="33">
        <f t="shared" si="115"/>
        <v>0</v>
      </c>
      <c r="CQ25" s="33">
        <f t="shared" si="115"/>
        <v>0</v>
      </c>
      <c r="CR25" s="33">
        <f t="shared" si="115"/>
        <v>0</v>
      </c>
      <c r="CS25" s="33">
        <f t="shared" si="115"/>
        <v>0</v>
      </c>
      <c r="CT25" s="33">
        <f t="shared" si="115"/>
        <v>0</v>
      </c>
      <c r="CU25" s="33">
        <f t="shared" si="115"/>
        <v>0</v>
      </c>
      <c r="CV25" s="58">
        <f t="shared" si="115"/>
        <v>0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117">IFERROR(IF(B4="W",$EG$23,$EG$22),"0")</f>
        <v>0</v>
      </c>
      <c r="EW25" s="12" t="s">
        <v>73</v>
      </c>
      <c r="EX25" s="6">
        <f t="shared" ref="EX25:EX39" si="118">IFERROR(IF(B4="W",$EX$23,$EX$22),"0")</f>
        <v>0</v>
      </c>
      <c r="EY25" s="6">
        <f t="shared" ref="EY25:EY39" si="119">IFERROR(IF(B4="W",$EY$23,$EY$22),"0")</f>
        <v>0</v>
      </c>
      <c r="EZ25" s="6" t="str">
        <f>IFERROR(IF(B4="W",$EZ$23,$EZ$22),"0")</f>
        <v>0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0</v>
      </c>
      <c r="E26" s="86">
        <f t="shared" ref="E26:E39" si="120">IFERROR(IF(B5="W",$E$23,$E$22),"0")</f>
        <v>0</v>
      </c>
      <c r="F26" s="33" t="s">
        <v>52</v>
      </c>
      <c r="G26" s="49">
        <f t="shared" ref="G26:G39" si="121">IFERROR(IF(B5="W",$G$23,$G$22),"0")</f>
        <v>0</v>
      </c>
      <c r="H26" s="12" t="s">
        <v>53</v>
      </c>
      <c r="I26" s="33">
        <f t="shared" ref="I26:I39" si="122">IFERROR(IF(B5="W",I$23,I$22),"0")</f>
        <v>0</v>
      </c>
      <c r="J26" s="49" t="s">
        <v>54</v>
      </c>
      <c r="K26" s="12">
        <f t="shared" ref="K26:K39" si="123">IFERROR(IF(B5="W",K$23,K$22),"0")</f>
        <v>0</v>
      </c>
      <c r="L26" s="33" t="s">
        <v>52</v>
      </c>
      <c r="M26" s="49">
        <f t="shared" ref="M26:M39" si="124">IFERROR(IF(B5="W",M$23,M$22),"0")</f>
        <v>0</v>
      </c>
      <c r="N26" s="12" t="s">
        <v>53</v>
      </c>
      <c r="O26" s="33">
        <f t="shared" ref="O26:O39" si="125">IFERROR(IF(B5="W",O$23,O$22),"0")</f>
        <v>0</v>
      </c>
      <c r="P26" s="49" t="s">
        <v>54</v>
      </c>
      <c r="Q26" s="12">
        <f t="shared" ref="Q26:Q39" si="126">IFERROR(IF(B5="W",Q$23,Q$22),"0")</f>
        <v>0</v>
      </c>
      <c r="R26" s="33" t="s">
        <v>52</v>
      </c>
      <c r="S26" s="49">
        <f t="shared" ref="S26:S39" si="127">IFERROR(IF(B5="W",S$23,S$22),"0")</f>
        <v>0</v>
      </c>
      <c r="T26" s="12" t="s">
        <v>53</v>
      </c>
      <c r="U26" s="33">
        <f t="shared" ref="U26:U39" si="128">IFERROR(IF(B5="W",U$23,U$22),"0")</f>
        <v>0</v>
      </c>
      <c r="V26" s="49" t="s">
        <v>54</v>
      </c>
      <c r="W26" s="12">
        <f t="shared" ref="W26:W39" si="129">IFERROR(IF(B5="W",W$23,W$22),"0")</f>
        <v>0</v>
      </c>
      <c r="X26" s="33" t="s">
        <v>52</v>
      </c>
      <c r="Y26" s="49">
        <f t="shared" ref="Y26:Y39" si="130">IFERROR(IF(B5="W",Y$23,Y$22),"0")</f>
        <v>0</v>
      </c>
      <c r="Z26" s="12" t="s">
        <v>53</v>
      </c>
      <c r="AA26" s="33">
        <f t="shared" ref="AA26:AA39" si="131">IFERROR(IF(B5="W",AA$23,AA$22),"0")</f>
        <v>0</v>
      </c>
      <c r="AB26" s="49" t="s">
        <v>54</v>
      </c>
      <c r="AC26" s="12">
        <f t="shared" ref="AC26:AC39" si="132">IFERROR(IF(B5="W",AC$23,AC$22),"0")</f>
        <v>0</v>
      </c>
      <c r="AD26" s="33" t="s">
        <v>52</v>
      </c>
      <c r="AE26" s="53">
        <f t="shared" ref="AE26:AE39" si="133">IFERROR(IF(B5="W",AE$23,AE$22),"0")</f>
        <v>0</v>
      </c>
      <c r="AF26" s="12"/>
      <c r="AG26" s="43">
        <f t="shared" ref="AG26:AG39" si="134">IFERROR(IF(B5="W",AG$23,AG$22),"0")</f>
        <v>0</v>
      </c>
      <c r="AH26" s="33" t="s">
        <v>52</v>
      </c>
      <c r="AI26" s="49">
        <f t="shared" ref="AI26:AI39" si="135">IFERROR(IF(B5="W",AI$23,AI$22),"0")</f>
        <v>0</v>
      </c>
      <c r="AJ26" s="12" t="s">
        <v>53</v>
      </c>
      <c r="AK26" s="33">
        <f t="shared" ref="AK26:AK39" si="136">IFERROR(IF(B5="W",AK$23,AK$22),"0")</f>
        <v>0</v>
      </c>
      <c r="AL26" s="49" t="s">
        <v>54</v>
      </c>
      <c r="AM26" s="12">
        <f t="shared" ref="AM26:AM39" si="137">IFERROR(IF(B5="W",AM$23,AM$22),"0")</f>
        <v>0</v>
      </c>
      <c r="AN26" s="33" t="s">
        <v>52</v>
      </c>
      <c r="AO26" s="49">
        <f t="shared" ref="AO26:AO39" si="138">IFERROR(IF(B5="W",AO$23,AO$22),"0")</f>
        <v>0</v>
      </c>
      <c r="AP26" s="12" t="s">
        <v>53</v>
      </c>
      <c r="AQ26" s="33">
        <f t="shared" ref="AQ26:AQ39" si="139">IFERROR(IF(B5="W",AQ$23,AQ$22),"0")</f>
        <v>0</v>
      </c>
      <c r="AR26" s="49" t="s">
        <v>54</v>
      </c>
      <c r="AS26" s="12">
        <f t="shared" ref="AS26:AS39" si="140">IFERROR(IF(B5="W",AS$23,AS$22),"0")</f>
        <v>0</v>
      </c>
      <c r="AT26" s="33" t="s">
        <v>52</v>
      </c>
      <c r="AU26" s="49">
        <f t="shared" ref="AU26:AU39" si="141">IFERROR(IF(B5="W",AU$23,AU$22),"0")</f>
        <v>0</v>
      </c>
      <c r="AV26" s="12" t="s">
        <v>53</v>
      </c>
      <c r="AW26" s="33">
        <f t="shared" ref="AW26:AW39" si="142">IFERROR(IF(B5="W",AW$23,AW$22),"0")</f>
        <v>0</v>
      </c>
      <c r="AX26" s="49" t="s">
        <v>54</v>
      </c>
      <c r="AY26" s="12">
        <f t="shared" ref="AY26:AY39" si="143">IFERROR(IF(B5="W",AY$23,AY$22),"0")</f>
        <v>0</v>
      </c>
      <c r="AZ26" s="33" t="s">
        <v>52</v>
      </c>
      <c r="BA26" s="49">
        <f t="shared" ref="BA26:BA39" si="144">IFERROR(IF(B5="W",BA$23,BA$22),"0")</f>
        <v>0</v>
      </c>
      <c r="BB26" s="12" t="s">
        <v>53</v>
      </c>
      <c r="BC26" s="33">
        <f t="shared" ref="BC26:BC39" si="145">IFERROR(IF(B5="W",BC$23,BC$22),"0")</f>
        <v>0</v>
      </c>
      <c r="BD26" s="49" t="s">
        <v>54</v>
      </c>
      <c r="BE26" s="12">
        <f t="shared" ref="BE26:BE39" si="146">IFERROR(IF(B5="W",BE$23,BE$22),"0")</f>
        <v>0</v>
      </c>
      <c r="BF26" s="33" t="s">
        <v>52</v>
      </c>
      <c r="BG26" s="53">
        <f t="shared" ref="BG26:BG39" si="147">IFERROR(IF(B5="W",BG$23,BG$22),"0")</f>
        <v>0</v>
      </c>
      <c r="BH26" s="12"/>
      <c r="BI26" s="43">
        <f>IFERROR(IF($B$5="W",BI23,BI22),"0")</f>
        <v>0</v>
      </c>
      <c r="BJ26" s="33" t="s">
        <v>52</v>
      </c>
      <c r="BK26" s="49">
        <f>IFERROR(IF($B$5="W",BK23,BK22),"0")</f>
        <v>0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0</v>
      </c>
      <c r="BP26" s="33" t="s">
        <v>52</v>
      </c>
      <c r="BQ26" s="49">
        <f>IFERROR(IF($B$5="W",BQ23,BQ22),"0")</f>
        <v>0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0</v>
      </c>
      <c r="CB26" s="33" t="s">
        <v>52</v>
      </c>
      <c r="CC26" s="49">
        <f>IFERROR(IF($B$5="W",CC23,CC22),"0")</f>
        <v>0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48">IFERROR(IF($B$5="W",CI23,CI22),"0")</f>
        <v>0</v>
      </c>
      <c r="CJ26" s="33">
        <f t="shared" si="148"/>
        <v>0</v>
      </c>
      <c r="CK26" s="33">
        <f t="shared" si="148"/>
        <v>0</v>
      </c>
      <c r="CL26" s="33">
        <f t="shared" ref="CL26:CM26" si="149">IFERROR(IF($B$5="W",CL23,CL22),"0")</f>
        <v>0</v>
      </c>
      <c r="CM26" s="33">
        <f t="shared" si="149"/>
        <v>0</v>
      </c>
      <c r="CN26" s="33">
        <f t="shared" si="148"/>
        <v>0</v>
      </c>
      <c r="CO26" s="33">
        <f t="shared" si="148"/>
        <v>0</v>
      </c>
      <c r="CP26" s="33">
        <f t="shared" si="148"/>
        <v>0</v>
      </c>
      <c r="CQ26" s="33">
        <f t="shared" si="148"/>
        <v>0</v>
      </c>
      <c r="CR26" s="33">
        <f t="shared" si="148"/>
        <v>0</v>
      </c>
      <c r="CS26" s="33">
        <f t="shared" si="148"/>
        <v>0</v>
      </c>
      <c r="CT26" s="33">
        <f t="shared" si="148"/>
        <v>0</v>
      </c>
      <c r="CU26" s="33">
        <f t="shared" si="148"/>
        <v>0</v>
      </c>
      <c r="CV26" s="58">
        <f t="shared" si="148"/>
        <v>0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117"/>
        <v>0</v>
      </c>
      <c r="EW26" s="228" t="s">
        <v>74</v>
      </c>
      <c r="EX26" s="6">
        <f t="shared" si="118"/>
        <v>0</v>
      </c>
      <c r="EY26" s="6">
        <f t="shared" si="119"/>
        <v>0</v>
      </c>
      <c r="EZ26" s="6" t="str">
        <f t="shared" ref="EZ26:EZ39" si="150">IFERROR(IF(B5="W",$EZ$23,$EZ$22),"0")</f>
        <v>0</v>
      </c>
    </row>
    <row r="27" spans="1:197" x14ac:dyDescent="0.2">
      <c r="C27" s="228" t="s">
        <v>75</v>
      </c>
      <c r="D27" s="28">
        <f>IFERROR(IF(B6="W",D23,D22),"0")</f>
        <v>0</v>
      </c>
      <c r="E27" s="86">
        <f t="shared" si="120"/>
        <v>0</v>
      </c>
      <c r="F27" s="33" t="s">
        <v>52</v>
      </c>
      <c r="G27" s="49">
        <f t="shared" si="121"/>
        <v>0</v>
      </c>
      <c r="H27" s="12" t="s">
        <v>53</v>
      </c>
      <c r="I27" s="33">
        <f t="shared" si="122"/>
        <v>0</v>
      </c>
      <c r="J27" s="49" t="s">
        <v>54</v>
      </c>
      <c r="K27" s="12">
        <f t="shared" si="123"/>
        <v>0</v>
      </c>
      <c r="L27" s="33" t="s">
        <v>52</v>
      </c>
      <c r="M27" s="49">
        <f t="shared" si="124"/>
        <v>0</v>
      </c>
      <c r="N27" s="12" t="s">
        <v>53</v>
      </c>
      <c r="O27" s="33">
        <f t="shared" si="125"/>
        <v>0</v>
      </c>
      <c r="P27" s="49" t="s">
        <v>54</v>
      </c>
      <c r="Q27" s="12">
        <f t="shared" si="126"/>
        <v>0</v>
      </c>
      <c r="R27" s="33" t="s">
        <v>52</v>
      </c>
      <c r="S27" s="49">
        <f t="shared" si="127"/>
        <v>0</v>
      </c>
      <c r="T27" s="12" t="s">
        <v>53</v>
      </c>
      <c r="U27" s="33">
        <f t="shared" si="128"/>
        <v>0</v>
      </c>
      <c r="V27" s="49" t="s">
        <v>54</v>
      </c>
      <c r="W27" s="12">
        <f t="shared" si="129"/>
        <v>0</v>
      </c>
      <c r="X27" s="33" t="s">
        <v>52</v>
      </c>
      <c r="Y27" s="49">
        <f t="shared" si="130"/>
        <v>0</v>
      </c>
      <c r="Z27" s="12" t="s">
        <v>53</v>
      </c>
      <c r="AA27" s="33">
        <f t="shared" si="131"/>
        <v>0</v>
      </c>
      <c r="AB27" s="49" t="s">
        <v>54</v>
      </c>
      <c r="AC27" s="12">
        <f t="shared" si="132"/>
        <v>0</v>
      </c>
      <c r="AD27" s="33" t="s">
        <v>52</v>
      </c>
      <c r="AE27" s="53">
        <f t="shared" si="133"/>
        <v>0</v>
      </c>
      <c r="AF27" s="12"/>
      <c r="AG27" s="43">
        <f t="shared" si="134"/>
        <v>0</v>
      </c>
      <c r="AH27" s="33" t="s">
        <v>52</v>
      </c>
      <c r="AI27" s="49">
        <f t="shared" si="135"/>
        <v>0</v>
      </c>
      <c r="AJ27" s="12" t="s">
        <v>53</v>
      </c>
      <c r="AK27" s="33">
        <f t="shared" si="136"/>
        <v>0</v>
      </c>
      <c r="AL27" s="49" t="s">
        <v>54</v>
      </c>
      <c r="AM27" s="12">
        <f t="shared" si="137"/>
        <v>0</v>
      </c>
      <c r="AN27" s="33" t="s">
        <v>52</v>
      </c>
      <c r="AO27" s="49">
        <f t="shared" si="138"/>
        <v>0</v>
      </c>
      <c r="AP27" s="12" t="s">
        <v>53</v>
      </c>
      <c r="AQ27" s="33">
        <f t="shared" si="139"/>
        <v>0</v>
      </c>
      <c r="AR27" s="49" t="s">
        <v>54</v>
      </c>
      <c r="AS27" s="12">
        <f t="shared" si="140"/>
        <v>0</v>
      </c>
      <c r="AT27" s="33" t="s">
        <v>52</v>
      </c>
      <c r="AU27" s="49">
        <f t="shared" si="141"/>
        <v>0</v>
      </c>
      <c r="AV27" s="12" t="s">
        <v>53</v>
      </c>
      <c r="AW27" s="33">
        <f t="shared" si="142"/>
        <v>0</v>
      </c>
      <c r="AX27" s="49" t="s">
        <v>54</v>
      </c>
      <c r="AY27" s="12">
        <f t="shared" si="143"/>
        <v>0</v>
      </c>
      <c r="AZ27" s="33" t="s">
        <v>52</v>
      </c>
      <c r="BA27" s="49">
        <f t="shared" si="144"/>
        <v>0</v>
      </c>
      <c r="BB27" s="12" t="s">
        <v>53</v>
      </c>
      <c r="BC27" s="33">
        <f t="shared" si="145"/>
        <v>0</v>
      </c>
      <c r="BD27" s="49" t="s">
        <v>54</v>
      </c>
      <c r="BE27" s="12">
        <f t="shared" si="146"/>
        <v>0</v>
      </c>
      <c r="BF27" s="33" t="s">
        <v>52</v>
      </c>
      <c r="BG27" s="53">
        <f t="shared" si="147"/>
        <v>0</v>
      </c>
      <c r="BH27" s="12"/>
      <c r="BI27" s="43">
        <f>IFERROR(IF($B$6="W",BI23,BI22),"0")</f>
        <v>0</v>
      </c>
      <c r="BJ27" s="33" t="s">
        <v>52</v>
      </c>
      <c r="BK27" s="49">
        <f>IFERROR(IF($B$6="W",BK23,BK22),"0")</f>
        <v>0</v>
      </c>
      <c r="BL27" s="12" t="s">
        <v>53</v>
      </c>
      <c r="BM27" s="33">
        <f>IFERROR(IF($B$6="W",BM23,BM22),"0")</f>
        <v>0</v>
      </c>
      <c r="BN27" s="49" t="s">
        <v>54</v>
      </c>
      <c r="BO27" s="12">
        <f>IFERROR(IF($B$6="W",BO23,BO22),"0")</f>
        <v>0</v>
      </c>
      <c r="BP27" s="33" t="s">
        <v>52</v>
      </c>
      <c r="BQ27" s="49">
        <f>IFERROR(IF($B$6="W",BQ23,BQ22),"0")</f>
        <v>0</v>
      </c>
      <c r="BR27" s="12" t="s">
        <v>53</v>
      </c>
      <c r="BS27" s="33">
        <f>IFERROR(IF($B$6="W",BS23,BS22),"0")</f>
        <v>0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0</v>
      </c>
      <c r="CB27" s="33" t="s">
        <v>52</v>
      </c>
      <c r="CC27" s="49">
        <f>IFERROR(IF($B$6="W",CC23,CC22),"0")</f>
        <v>0</v>
      </c>
      <c r="CD27" s="12" t="s">
        <v>53</v>
      </c>
      <c r="CE27" s="33">
        <f>IFERROR(IF($B$6="W",CE23,CE22),"0")</f>
        <v>0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51">IFERROR(IF($B$6="W",CI23,CI22),"0")</f>
        <v>0</v>
      </c>
      <c r="CJ27" s="33">
        <f t="shared" si="151"/>
        <v>0</v>
      </c>
      <c r="CK27" s="33">
        <f t="shared" si="151"/>
        <v>0</v>
      </c>
      <c r="CL27" s="33">
        <f t="shared" ref="CL27:CM27" si="152">IFERROR(IF($B$6="W",CL23,CL22),"0")</f>
        <v>0</v>
      </c>
      <c r="CM27" s="33">
        <f t="shared" si="152"/>
        <v>0</v>
      </c>
      <c r="CN27" s="33">
        <f t="shared" si="151"/>
        <v>0</v>
      </c>
      <c r="CO27" s="33">
        <f t="shared" si="151"/>
        <v>0</v>
      </c>
      <c r="CP27" s="33">
        <f t="shared" si="151"/>
        <v>0</v>
      </c>
      <c r="CQ27" s="33">
        <f t="shared" si="151"/>
        <v>0</v>
      </c>
      <c r="CR27" s="33">
        <f t="shared" si="151"/>
        <v>0</v>
      </c>
      <c r="CS27" s="33">
        <f t="shared" si="151"/>
        <v>0</v>
      </c>
      <c r="CT27" s="33">
        <f t="shared" si="151"/>
        <v>0</v>
      </c>
      <c r="CU27" s="33">
        <f t="shared" si="151"/>
        <v>0</v>
      </c>
      <c r="CV27" s="58">
        <f t="shared" si="151"/>
        <v>0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117"/>
        <v>0</v>
      </c>
      <c r="EW27" s="228" t="s">
        <v>75</v>
      </c>
      <c r="EX27" s="6">
        <f t="shared" si="118"/>
        <v>0</v>
      </c>
      <c r="EY27" s="6">
        <f t="shared" si="119"/>
        <v>0</v>
      </c>
      <c r="EZ27" s="6" t="str">
        <f t="shared" si="150"/>
        <v>0</v>
      </c>
    </row>
    <row r="28" spans="1:197" ht="17" thickBot="1" x14ac:dyDescent="0.25">
      <c r="C28" s="228" t="s">
        <v>76</v>
      </c>
      <c r="D28" s="28">
        <f>IFERROR(IF(B7="W",D23,D22),"0")</f>
        <v>0</v>
      </c>
      <c r="E28" s="86">
        <f t="shared" si="120"/>
        <v>0</v>
      </c>
      <c r="F28" s="33" t="s">
        <v>52</v>
      </c>
      <c r="G28" s="49">
        <f t="shared" si="121"/>
        <v>0</v>
      </c>
      <c r="H28" s="12" t="s">
        <v>53</v>
      </c>
      <c r="I28" s="33">
        <f t="shared" si="122"/>
        <v>0</v>
      </c>
      <c r="J28" s="49" t="s">
        <v>54</v>
      </c>
      <c r="K28" s="12">
        <f t="shared" si="123"/>
        <v>0</v>
      </c>
      <c r="L28" s="33" t="s">
        <v>52</v>
      </c>
      <c r="M28" s="49">
        <f t="shared" si="124"/>
        <v>0</v>
      </c>
      <c r="N28" s="12" t="s">
        <v>53</v>
      </c>
      <c r="O28" s="33">
        <f t="shared" si="125"/>
        <v>0</v>
      </c>
      <c r="P28" s="49" t="s">
        <v>54</v>
      </c>
      <c r="Q28" s="12">
        <f t="shared" si="126"/>
        <v>0</v>
      </c>
      <c r="R28" s="33" t="s">
        <v>52</v>
      </c>
      <c r="S28" s="49">
        <f t="shared" si="127"/>
        <v>0</v>
      </c>
      <c r="T28" s="12" t="s">
        <v>53</v>
      </c>
      <c r="U28" s="33">
        <f t="shared" si="128"/>
        <v>0</v>
      </c>
      <c r="V28" s="49" t="s">
        <v>54</v>
      </c>
      <c r="W28" s="12">
        <f t="shared" si="129"/>
        <v>0</v>
      </c>
      <c r="X28" s="33" t="s">
        <v>52</v>
      </c>
      <c r="Y28" s="49">
        <f t="shared" si="130"/>
        <v>0</v>
      </c>
      <c r="Z28" s="12" t="s">
        <v>53</v>
      </c>
      <c r="AA28" s="33">
        <f t="shared" si="131"/>
        <v>0</v>
      </c>
      <c r="AB28" s="49" t="s">
        <v>54</v>
      </c>
      <c r="AC28" s="12">
        <f t="shared" si="132"/>
        <v>0</v>
      </c>
      <c r="AD28" s="33" t="s">
        <v>52</v>
      </c>
      <c r="AE28" s="53">
        <f t="shared" si="133"/>
        <v>0</v>
      </c>
      <c r="AF28" s="12"/>
      <c r="AG28" s="43">
        <f t="shared" si="134"/>
        <v>0</v>
      </c>
      <c r="AH28" s="33" t="s">
        <v>52</v>
      </c>
      <c r="AI28" s="49">
        <f t="shared" si="135"/>
        <v>0</v>
      </c>
      <c r="AJ28" s="12" t="s">
        <v>53</v>
      </c>
      <c r="AK28" s="33">
        <f t="shared" si="136"/>
        <v>0</v>
      </c>
      <c r="AL28" s="49" t="s">
        <v>54</v>
      </c>
      <c r="AM28" s="12">
        <f t="shared" si="137"/>
        <v>0</v>
      </c>
      <c r="AN28" s="33" t="s">
        <v>52</v>
      </c>
      <c r="AO28" s="49">
        <f t="shared" si="138"/>
        <v>0</v>
      </c>
      <c r="AP28" s="12" t="s">
        <v>53</v>
      </c>
      <c r="AQ28" s="33">
        <f t="shared" si="139"/>
        <v>0</v>
      </c>
      <c r="AR28" s="49" t="s">
        <v>54</v>
      </c>
      <c r="AS28" s="12">
        <f t="shared" si="140"/>
        <v>0</v>
      </c>
      <c r="AT28" s="33" t="s">
        <v>52</v>
      </c>
      <c r="AU28" s="49">
        <f t="shared" si="141"/>
        <v>0</v>
      </c>
      <c r="AV28" s="12" t="s">
        <v>53</v>
      </c>
      <c r="AW28" s="33">
        <f t="shared" si="142"/>
        <v>0</v>
      </c>
      <c r="AX28" s="49" t="s">
        <v>54</v>
      </c>
      <c r="AY28" s="12">
        <f t="shared" si="143"/>
        <v>0</v>
      </c>
      <c r="AZ28" s="33" t="s">
        <v>52</v>
      </c>
      <c r="BA28" s="49">
        <f t="shared" si="144"/>
        <v>0</v>
      </c>
      <c r="BB28" s="12" t="s">
        <v>53</v>
      </c>
      <c r="BC28" s="33">
        <f t="shared" si="145"/>
        <v>0</v>
      </c>
      <c r="BD28" s="49" t="s">
        <v>54</v>
      </c>
      <c r="BE28" s="12">
        <f t="shared" si="146"/>
        <v>0</v>
      </c>
      <c r="BF28" s="33" t="s">
        <v>52</v>
      </c>
      <c r="BG28" s="53">
        <f t="shared" si="147"/>
        <v>0</v>
      </c>
      <c r="BH28" s="12"/>
      <c r="BI28" s="43">
        <f>IFERROR(IF($B$7="W",BI23,BI22),"0")</f>
        <v>0</v>
      </c>
      <c r="BJ28" s="33" t="s">
        <v>52</v>
      </c>
      <c r="BK28" s="49">
        <f>IFERROR(IF($B$7="W",BK23,BK22),"0")</f>
        <v>0</v>
      </c>
      <c r="BL28" s="12" t="s">
        <v>53</v>
      </c>
      <c r="BM28" s="33">
        <f>IFERROR(IF($B$7="W",BM23,BM22),"0")</f>
        <v>0</v>
      </c>
      <c r="BN28" s="49" t="s">
        <v>54</v>
      </c>
      <c r="BO28" s="12">
        <f>IFERROR(IF($B$7="W",BO23,BO22),"0")</f>
        <v>0</v>
      </c>
      <c r="BP28" s="33" t="s">
        <v>52</v>
      </c>
      <c r="BQ28" s="49">
        <f>IFERROR(IF($B$7="W",BQ23,BQ22),"0")</f>
        <v>0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0</v>
      </c>
      <c r="CB28" s="33" t="s">
        <v>52</v>
      </c>
      <c r="CC28" s="49">
        <f>IFERROR(IF($B$7="W",CC23,CC22),"0")</f>
        <v>0</v>
      </c>
      <c r="CD28" s="12" t="s">
        <v>53</v>
      </c>
      <c r="CE28" s="33">
        <f>IFERROR(IF($B$7="W",CE23,CE22),"0")</f>
        <v>0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53">IFERROR(IF($B$7="W",CI23,CI22),"0")</f>
        <v>0</v>
      </c>
      <c r="CJ28" s="33">
        <f t="shared" si="153"/>
        <v>0</v>
      </c>
      <c r="CK28" s="33">
        <f t="shared" si="153"/>
        <v>0</v>
      </c>
      <c r="CL28" s="33">
        <f t="shared" ref="CL28:CM28" si="154">IFERROR(IF($B$7="W",CL23,CL22),"0")</f>
        <v>0</v>
      </c>
      <c r="CM28" s="33">
        <f t="shared" si="154"/>
        <v>0</v>
      </c>
      <c r="CN28" s="33">
        <f t="shared" si="153"/>
        <v>0</v>
      </c>
      <c r="CO28" s="33">
        <f t="shared" si="153"/>
        <v>0</v>
      </c>
      <c r="CP28" s="33">
        <f t="shared" si="153"/>
        <v>0</v>
      </c>
      <c r="CQ28" s="33">
        <f t="shared" si="153"/>
        <v>0</v>
      </c>
      <c r="CR28" s="33">
        <f t="shared" si="153"/>
        <v>0</v>
      </c>
      <c r="CS28" s="33">
        <f t="shared" si="153"/>
        <v>0</v>
      </c>
      <c r="CT28" s="33">
        <f t="shared" si="153"/>
        <v>0</v>
      </c>
      <c r="CU28" s="33">
        <f t="shared" si="153"/>
        <v>0</v>
      </c>
      <c r="CV28" s="58">
        <f t="shared" si="153"/>
        <v>0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117"/>
        <v>0</v>
      </c>
      <c r="EW28" s="228" t="s">
        <v>76</v>
      </c>
      <c r="EX28" s="6">
        <f t="shared" si="118"/>
        <v>0</v>
      </c>
      <c r="EY28" s="6">
        <f t="shared" si="119"/>
        <v>0</v>
      </c>
      <c r="EZ28" s="6" t="str">
        <f t="shared" si="150"/>
        <v>0</v>
      </c>
    </row>
    <row r="29" spans="1:197" x14ac:dyDescent="0.2">
      <c r="C29" s="228" t="s">
        <v>222</v>
      </c>
      <c r="D29" s="28">
        <f>IFERROR(IF(B8="W",D23,D22),"0")</f>
        <v>0</v>
      </c>
      <c r="E29" s="86">
        <f t="shared" si="120"/>
        <v>0</v>
      </c>
      <c r="F29" s="33" t="s">
        <v>52</v>
      </c>
      <c r="G29" s="49">
        <f t="shared" si="121"/>
        <v>0</v>
      </c>
      <c r="H29" s="12" t="s">
        <v>53</v>
      </c>
      <c r="I29" s="33">
        <f t="shared" si="122"/>
        <v>0</v>
      </c>
      <c r="J29" s="49" t="s">
        <v>54</v>
      </c>
      <c r="K29" s="12">
        <f t="shared" si="123"/>
        <v>0</v>
      </c>
      <c r="L29" s="33" t="s">
        <v>52</v>
      </c>
      <c r="M29" s="49">
        <f t="shared" si="124"/>
        <v>0</v>
      </c>
      <c r="N29" s="12" t="s">
        <v>53</v>
      </c>
      <c r="O29" s="33">
        <f t="shared" si="125"/>
        <v>0</v>
      </c>
      <c r="P29" s="49" t="s">
        <v>54</v>
      </c>
      <c r="Q29" s="12">
        <f t="shared" si="126"/>
        <v>0</v>
      </c>
      <c r="R29" s="33" t="s">
        <v>52</v>
      </c>
      <c r="S29" s="49">
        <f t="shared" si="127"/>
        <v>0</v>
      </c>
      <c r="T29" s="12" t="s">
        <v>53</v>
      </c>
      <c r="U29" s="33">
        <f t="shared" si="128"/>
        <v>0</v>
      </c>
      <c r="V29" s="49" t="s">
        <v>54</v>
      </c>
      <c r="W29" s="12">
        <f t="shared" si="129"/>
        <v>0</v>
      </c>
      <c r="X29" s="33" t="s">
        <v>52</v>
      </c>
      <c r="Y29" s="49">
        <f t="shared" si="130"/>
        <v>0</v>
      </c>
      <c r="Z29" s="12" t="s">
        <v>53</v>
      </c>
      <c r="AA29" s="33">
        <f t="shared" si="131"/>
        <v>0</v>
      </c>
      <c r="AB29" s="49" t="s">
        <v>54</v>
      </c>
      <c r="AC29" s="12">
        <f t="shared" si="132"/>
        <v>0</v>
      </c>
      <c r="AD29" s="33" t="s">
        <v>52</v>
      </c>
      <c r="AE29" s="53">
        <f t="shared" si="133"/>
        <v>0</v>
      </c>
      <c r="AF29" s="12"/>
      <c r="AG29" s="43">
        <f t="shared" si="134"/>
        <v>0</v>
      </c>
      <c r="AH29" s="33" t="s">
        <v>52</v>
      </c>
      <c r="AI29" s="49">
        <f t="shared" si="135"/>
        <v>0</v>
      </c>
      <c r="AJ29" s="12" t="s">
        <v>53</v>
      </c>
      <c r="AK29" s="33">
        <f t="shared" si="136"/>
        <v>0</v>
      </c>
      <c r="AL29" s="49" t="s">
        <v>54</v>
      </c>
      <c r="AM29" s="12">
        <f t="shared" si="137"/>
        <v>0</v>
      </c>
      <c r="AN29" s="33" t="s">
        <v>52</v>
      </c>
      <c r="AO29" s="49">
        <f t="shared" si="138"/>
        <v>0</v>
      </c>
      <c r="AP29" s="12" t="s">
        <v>53</v>
      </c>
      <c r="AQ29" s="33">
        <f t="shared" si="139"/>
        <v>0</v>
      </c>
      <c r="AR29" s="49" t="s">
        <v>54</v>
      </c>
      <c r="AS29" s="12">
        <f t="shared" si="140"/>
        <v>0</v>
      </c>
      <c r="AT29" s="33" t="s">
        <v>52</v>
      </c>
      <c r="AU29" s="49">
        <f t="shared" si="141"/>
        <v>0</v>
      </c>
      <c r="AV29" s="12" t="s">
        <v>53</v>
      </c>
      <c r="AW29" s="33">
        <f t="shared" si="142"/>
        <v>0</v>
      </c>
      <c r="AX29" s="49" t="s">
        <v>54</v>
      </c>
      <c r="AY29" s="12">
        <f t="shared" si="143"/>
        <v>0</v>
      </c>
      <c r="AZ29" s="33" t="s">
        <v>52</v>
      </c>
      <c r="BA29" s="49">
        <f t="shared" si="144"/>
        <v>0</v>
      </c>
      <c r="BB29" s="12" t="s">
        <v>53</v>
      </c>
      <c r="BC29" s="33">
        <f t="shared" si="145"/>
        <v>0</v>
      </c>
      <c r="BD29" s="49" t="s">
        <v>54</v>
      </c>
      <c r="BE29" s="12">
        <f t="shared" si="146"/>
        <v>0</v>
      </c>
      <c r="BF29" s="33" t="s">
        <v>52</v>
      </c>
      <c r="BG29" s="53">
        <f t="shared" si="147"/>
        <v>0</v>
      </c>
      <c r="BH29" s="12"/>
      <c r="BI29" s="43">
        <f>IFERROR(IF($B$8="W",BI23,BI22),"0")</f>
        <v>0</v>
      </c>
      <c r="BJ29" s="33" t="s">
        <v>52</v>
      </c>
      <c r="BK29" s="49">
        <f>IFERROR(IF($B$8="W",BK23,BK22),"0")</f>
        <v>0</v>
      </c>
      <c r="BL29" s="12" t="s">
        <v>53</v>
      </c>
      <c r="BM29" s="33">
        <f>IFERROR(IF($B$8="W",BM23,BM22),"0")</f>
        <v>0</v>
      </c>
      <c r="BN29" s="49" t="s">
        <v>54</v>
      </c>
      <c r="BO29" s="12">
        <f>IFERROR(IF($B$8="W",BO23,BO22),"0")</f>
        <v>0</v>
      </c>
      <c r="BP29" s="33" t="s">
        <v>52</v>
      </c>
      <c r="BQ29" s="49">
        <f>IFERROR(IF($B$8="W",BQ23,BQ22),"0")</f>
        <v>0</v>
      </c>
      <c r="BR29" s="12" t="s">
        <v>53</v>
      </c>
      <c r="BS29" s="33">
        <f>IFERROR(IF($B$8="W",BS23,BS22),"0")</f>
        <v>0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0</v>
      </c>
      <c r="CB29" s="33" t="s">
        <v>52</v>
      </c>
      <c r="CC29" s="49">
        <f>IFERROR(IF($B$8="W",CC23,CC22),"0")</f>
        <v>0</v>
      </c>
      <c r="CD29" s="12" t="s">
        <v>53</v>
      </c>
      <c r="CE29" s="33">
        <f>IFERROR(IF($B$8="W",CE23,CE22),"0")</f>
        <v>0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55">IFERROR(IF($B$8="W",CI23,CI22),"0")</f>
        <v>0</v>
      </c>
      <c r="CJ29" s="33">
        <f t="shared" si="155"/>
        <v>0</v>
      </c>
      <c r="CK29" s="33">
        <f t="shared" si="155"/>
        <v>0</v>
      </c>
      <c r="CL29" s="33">
        <f t="shared" ref="CL29:CM29" si="156">IFERROR(IF($B$8="W",CL23,CL22),"0")</f>
        <v>0</v>
      </c>
      <c r="CM29" s="33">
        <f t="shared" si="156"/>
        <v>0</v>
      </c>
      <c r="CN29" s="33">
        <f t="shared" si="155"/>
        <v>0</v>
      </c>
      <c r="CO29" s="33">
        <f t="shared" si="155"/>
        <v>0</v>
      </c>
      <c r="CP29" s="33">
        <f t="shared" si="155"/>
        <v>0</v>
      </c>
      <c r="CQ29" s="33">
        <f t="shared" si="155"/>
        <v>0</v>
      </c>
      <c r="CR29" s="33">
        <f t="shared" si="155"/>
        <v>0</v>
      </c>
      <c r="CS29" s="33">
        <f t="shared" si="155"/>
        <v>0</v>
      </c>
      <c r="CT29" s="33">
        <f t="shared" si="155"/>
        <v>0</v>
      </c>
      <c r="CU29" s="33">
        <f t="shared" si="155"/>
        <v>0</v>
      </c>
      <c r="CV29" s="58">
        <f t="shared" si="155"/>
        <v>0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117"/>
        <v>0</v>
      </c>
      <c r="EW29" s="228" t="s">
        <v>222</v>
      </c>
      <c r="EX29" s="6">
        <f t="shared" si="118"/>
        <v>0</v>
      </c>
      <c r="EY29" s="6">
        <f t="shared" si="119"/>
        <v>0</v>
      </c>
      <c r="EZ29" s="6" t="str">
        <f t="shared" si="150"/>
        <v>0</v>
      </c>
    </row>
    <row r="30" spans="1:197" x14ac:dyDescent="0.2">
      <c r="C30" s="228" t="s">
        <v>77</v>
      </c>
      <c r="D30" s="28">
        <f>IFERROR(IF(B9="W",D23,D22),"0")</f>
        <v>0</v>
      </c>
      <c r="E30" s="86">
        <f t="shared" si="120"/>
        <v>0</v>
      </c>
      <c r="F30" s="33" t="s">
        <v>52</v>
      </c>
      <c r="G30" s="49">
        <f t="shared" si="121"/>
        <v>0</v>
      </c>
      <c r="H30" s="12" t="s">
        <v>53</v>
      </c>
      <c r="I30" s="33">
        <f t="shared" si="122"/>
        <v>0</v>
      </c>
      <c r="J30" s="49" t="s">
        <v>54</v>
      </c>
      <c r="K30" s="12">
        <f t="shared" si="123"/>
        <v>0</v>
      </c>
      <c r="L30" s="33" t="s">
        <v>52</v>
      </c>
      <c r="M30" s="49">
        <f t="shared" si="124"/>
        <v>0</v>
      </c>
      <c r="N30" s="12" t="s">
        <v>53</v>
      </c>
      <c r="O30" s="33">
        <f t="shared" si="125"/>
        <v>0</v>
      </c>
      <c r="P30" s="49" t="s">
        <v>54</v>
      </c>
      <c r="Q30" s="12">
        <f t="shared" si="126"/>
        <v>0</v>
      </c>
      <c r="R30" s="33" t="s">
        <v>52</v>
      </c>
      <c r="S30" s="49">
        <f t="shared" si="127"/>
        <v>0</v>
      </c>
      <c r="T30" s="12" t="s">
        <v>53</v>
      </c>
      <c r="U30" s="33">
        <f t="shared" si="128"/>
        <v>0</v>
      </c>
      <c r="V30" s="49" t="s">
        <v>54</v>
      </c>
      <c r="W30" s="12">
        <f t="shared" si="129"/>
        <v>0</v>
      </c>
      <c r="X30" s="33" t="s">
        <v>52</v>
      </c>
      <c r="Y30" s="49">
        <f t="shared" si="130"/>
        <v>0</v>
      </c>
      <c r="Z30" s="12" t="s">
        <v>53</v>
      </c>
      <c r="AA30" s="33">
        <f t="shared" si="131"/>
        <v>0</v>
      </c>
      <c r="AB30" s="49" t="s">
        <v>54</v>
      </c>
      <c r="AC30" s="12">
        <f t="shared" si="132"/>
        <v>0</v>
      </c>
      <c r="AD30" s="33" t="s">
        <v>52</v>
      </c>
      <c r="AE30" s="53">
        <f t="shared" si="133"/>
        <v>0</v>
      </c>
      <c r="AF30" s="12"/>
      <c r="AG30" s="43">
        <f t="shared" si="134"/>
        <v>0</v>
      </c>
      <c r="AH30" s="33" t="s">
        <v>52</v>
      </c>
      <c r="AI30" s="49">
        <f t="shared" si="135"/>
        <v>0</v>
      </c>
      <c r="AJ30" s="12" t="s">
        <v>53</v>
      </c>
      <c r="AK30" s="33">
        <f t="shared" si="136"/>
        <v>0</v>
      </c>
      <c r="AL30" s="49" t="s">
        <v>54</v>
      </c>
      <c r="AM30" s="12">
        <f t="shared" si="137"/>
        <v>0</v>
      </c>
      <c r="AN30" s="33" t="s">
        <v>52</v>
      </c>
      <c r="AO30" s="49">
        <f t="shared" si="138"/>
        <v>0</v>
      </c>
      <c r="AP30" s="12" t="s">
        <v>53</v>
      </c>
      <c r="AQ30" s="33">
        <f t="shared" si="139"/>
        <v>0</v>
      </c>
      <c r="AR30" s="49" t="s">
        <v>54</v>
      </c>
      <c r="AS30" s="12">
        <f t="shared" si="140"/>
        <v>0</v>
      </c>
      <c r="AT30" s="33" t="s">
        <v>52</v>
      </c>
      <c r="AU30" s="49">
        <f t="shared" si="141"/>
        <v>0</v>
      </c>
      <c r="AV30" s="12" t="s">
        <v>53</v>
      </c>
      <c r="AW30" s="33">
        <f t="shared" si="142"/>
        <v>0</v>
      </c>
      <c r="AX30" s="49" t="s">
        <v>54</v>
      </c>
      <c r="AY30" s="12">
        <f t="shared" si="143"/>
        <v>0</v>
      </c>
      <c r="AZ30" s="33" t="s">
        <v>52</v>
      </c>
      <c r="BA30" s="49">
        <f t="shared" si="144"/>
        <v>0</v>
      </c>
      <c r="BB30" s="12" t="s">
        <v>53</v>
      </c>
      <c r="BC30" s="33">
        <f t="shared" si="145"/>
        <v>0</v>
      </c>
      <c r="BD30" s="49" t="s">
        <v>54</v>
      </c>
      <c r="BE30" s="12">
        <f t="shared" si="146"/>
        <v>0</v>
      </c>
      <c r="BF30" s="33" t="s">
        <v>52</v>
      </c>
      <c r="BG30" s="53">
        <f t="shared" si="147"/>
        <v>0</v>
      </c>
      <c r="BH30" s="12"/>
      <c r="BI30" s="43">
        <f>IFERROR(IF($B$9="W",BI23,BI22),"0")</f>
        <v>0</v>
      </c>
      <c r="BJ30" s="33" t="s">
        <v>52</v>
      </c>
      <c r="BK30" s="49">
        <f>IFERROR(IF($B$9="W",BK23,BK22),"0")</f>
        <v>0</v>
      </c>
      <c r="BL30" s="12" t="s">
        <v>53</v>
      </c>
      <c r="BM30" s="33">
        <f>IFERROR(IF($B$9="W",BM23,BM22),"0")</f>
        <v>0</v>
      </c>
      <c r="BN30" s="49" t="s">
        <v>54</v>
      </c>
      <c r="BO30" s="12">
        <f>IFERROR(IF($B$9="W",BO23,BO22),"0")</f>
        <v>0</v>
      </c>
      <c r="BP30" s="33" t="s">
        <v>52</v>
      </c>
      <c r="BQ30" s="49">
        <f>IFERROR(IF($B$9="W",BQ23,BQ22),"0")</f>
        <v>0</v>
      </c>
      <c r="BR30" s="12" t="s">
        <v>53</v>
      </c>
      <c r="BS30" s="33">
        <f>IFERROR(IF($B$9="W",BS23,BS22),"0")</f>
        <v>0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0</v>
      </c>
      <c r="CB30" s="33" t="s">
        <v>52</v>
      </c>
      <c r="CC30" s="49">
        <f>IFERROR(IF($B$9="W",CC23,CC22),"0")</f>
        <v>0</v>
      </c>
      <c r="CD30" s="12" t="s">
        <v>53</v>
      </c>
      <c r="CE30" s="33">
        <f>IFERROR(IF($B$9="W",CE23,CE22),"0")</f>
        <v>0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57">IFERROR(IF($B$9="W",CI23,CI22),"0")</f>
        <v>0</v>
      </c>
      <c r="CJ30" s="33">
        <f t="shared" si="157"/>
        <v>0</v>
      </c>
      <c r="CK30" s="33">
        <f t="shared" si="157"/>
        <v>0</v>
      </c>
      <c r="CL30" s="33">
        <f t="shared" ref="CL30:CM30" si="158">IFERROR(IF($B$9="W",CL23,CL22),"0")</f>
        <v>0</v>
      </c>
      <c r="CM30" s="33">
        <f t="shared" si="158"/>
        <v>0</v>
      </c>
      <c r="CN30" s="33">
        <f t="shared" si="157"/>
        <v>0</v>
      </c>
      <c r="CO30" s="33">
        <f t="shared" si="157"/>
        <v>0</v>
      </c>
      <c r="CP30" s="33">
        <f t="shared" si="157"/>
        <v>0</v>
      </c>
      <c r="CQ30" s="33">
        <f t="shared" si="157"/>
        <v>0</v>
      </c>
      <c r="CR30" s="33">
        <f t="shared" si="157"/>
        <v>0</v>
      </c>
      <c r="CS30" s="33">
        <f t="shared" si="157"/>
        <v>0</v>
      </c>
      <c r="CT30" s="33">
        <f t="shared" si="157"/>
        <v>0</v>
      </c>
      <c r="CU30" s="33">
        <f t="shared" si="157"/>
        <v>0</v>
      </c>
      <c r="CV30" s="58">
        <f t="shared" si="157"/>
        <v>0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117"/>
        <v>0</v>
      </c>
      <c r="EW30" s="228" t="s">
        <v>77</v>
      </c>
      <c r="EX30" s="6">
        <f t="shared" si="118"/>
        <v>0</v>
      </c>
      <c r="EY30" s="6">
        <f t="shared" si="119"/>
        <v>0</v>
      </c>
      <c r="EZ30" s="6" t="str">
        <f t="shared" si="150"/>
        <v>0</v>
      </c>
    </row>
    <row r="31" spans="1:197" ht="17" thickBot="1" x14ac:dyDescent="0.25">
      <c r="C31" s="228" t="s">
        <v>78</v>
      </c>
      <c r="D31" s="28">
        <f>IFERROR(IF(B10="W",D23,D22),"0")</f>
        <v>0</v>
      </c>
      <c r="E31" s="86">
        <f t="shared" si="120"/>
        <v>0</v>
      </c>
      <c r="F31" s="33" t="s">
        <v>52</v>
      </c>
      <c r="G31" s="49">
        <f t="shared" si="121"/>
        <v>0</v>
      </c>
      <c r="H31" s="12" t="s">
        <v>53</v>
      </c>
      <c r="I31" s="33">
        <f t="shared" si="122"/>
        <v>0</v>
      </c>
      <c r="J31" s="49" t="s">
        <v>54</v>
      </c>
      <c r="K31" s="12">
        <f t="shared" si="123"/>
        <v>0</v>
      </c>
      <c r="L31" s="33" t="s">
        <v>52</v>
      </c>
      <c r="M31" s="49">
        <f t="shared" si="124"/>
        <v>0</v>
      </c>
      <c r="N31" s="12" t="s">
        <v>53</v>
      </c>
      <c r="O31" s="33">
        <f t="shared" si="125"/>
        <v>0</v>
      </c>
      <c r="P31" s="49" t="s">
        <v>54</v>
      </c>
      <c r="Q31" s="12">
        <f t="shared" si="126"/>
        <v>0</v>
      </c>
      <c r="R31" s="33" t="s">
        <v>52</v>
      </c>
      <c r="S31" s="49">
        <f t="shared" si="127"/>
        <v>0</v>
      </c>
      <c r="T31" s="12" t="s">
        <v>53</v>
      </c>
      <c r="U31" s="33">
        <f t="shared" si="128"/>
        <v>0</v>
      </c>
      <c r="V31" s="49" t="s">
        <v>54</v>
      </c>
      <c r="W31" s="12">
        <f t="shared" si="129"/>
        <v>0</v>
      </c>
      <c r="X31" s="33" t="s">
        <v>52</v>
      </c>
      <c r="Y31" s="49">
        <f t="shared" si="130"/>
        <v>0</v>
      </c>
      <c r="Z31" s="12" t="s">
        <v>53</v>
      </c>
      <c r="AA31" s="33">
        <f t="shared" si="131"/>
        <v>0</v>
      </c>
      <c r="AB31" s="49" t="s">
        <v>54</v>
      </c>
      <c r="AC31" s="12">
        <f t="shared" si="132"/>
        <v>0</v>
      </c>
      <c r="AD31" s="33" t="s">
        <v>52</v>
      </c>
      <c r="AE31" s="53">
        <f t="shared" si="133"/>
        <v>0</v>
      </c>
      <c r="AF31" s="12"/>
      <c r="AG31" s="43">
        <f t="shared" si="134"/>
        <v>0</v>
      </c>
      <c r="AH31" s="33" t="s">
        <v>52</v>
      </c>
      <c r="AI31" s="49">
        <f t="shared" si="135"/>
        <v>0</v>
      </c>
      <c r="AJ31" s="12" t="s">
        <v>53</v>
      </c>
      <c r="AK31" s="33">
        <f t="shared" si="136"/>
        <v>0</v>
      </c>
      <c r="AL31" s="49" t="s">
        <v>54</v>
      </c>
      <c r="AM31" s="12">
        <f t="shared" si="137"/>
        <v>0</v>
      </c>
      <c r="AN31" s="33" t="s">
        <v>52</v>
      </c>
      <c r="AO31" s="49">
        <f t="shared" si="138"/>
        <v>0</v>
      </c>
      <c r="AP31" s="12" t="s">
        <v>53</v>
      </c>
      <c r="AQ31" s="33">
        <f t="shared" si="139"/>
        <v>0</v>
      </c>
      <c r="AR31" s="49" t="s">
        <v>54</v>
      </c>
      <c r="AS31" s="12">
        <f t="shared" si="140"/>
        <v>0</v>
      </c>
      <c r="AT31" s="33" t="s">
        <v>52</v>
      </c>
      <c r="AU31" s="49">
        <f t="shared" si="141"/>
        <v>0</v>
      </c>
      <c r="AV31" s="12" t="s">
        <v>53</v>
      </c>
      <c r="AW31" s="33">
        <f t="shared" si="142"/>
        <v>0</v>
      </c>
      <c r="AX31" s="49" t="s">
        <v>54</v>
      </c>
      <c r="AY31" s="12">
        <f t="shared" si="143"/>
        <v>0</v>
      </c>
      <c r="AZ31" s="33" t="s">
        <v>52</v>
      </c>
      <c r="BA31" s="49">
        <f t="shared" si="144"/>
        <v>0</v>
      </c>
      <c r="BB31" s="12" t="s">
        <v>53</v>
      </c>
      <c r="BC31" s="33">
        <f t="shared" si="145"/>
        <v>0</v>
      </c>
      <c r="BD31" s="49" t="s">
        <v>54</v>
      </c>
      <c r="BE31" s="12">
        <f t="shared" si="146"/>
        <v>0</v>
      </c>
      <c r="BF31" s="33" t="s">
        <v>52</v>
      </c>
      <c r="BG31" s="53">
        <f t="shared" si="147"/>
        <v>0</v>
      </c>
      <c r="BH31" s="12"/>
      <c r="BI31" s="43">
        <f>IFERROR(IF($B$10="W",BI23,BI22),"0")</f>
        <v>0</v>
      </c>
      <c r="BJ31" s="33" t="s">
        <v>52</v>
      </c>
      <c r="BK31" s="49">
        <f>IFERROR(IF($B$10="W",BK23,BK22),"0")</f>
        <v>0</v>
      </c>
      <c r="BL31" s="12" t="s">
        <v>53</v>
      </c>
      <c r="BM31" s="33">
        <f>IFERROR(IF($B$10="W",BM23,BM22),"0")</f>
        <v>0</v>
      </c>
      <c r="BN31" s="49" t="s">
        <v>54</v>
      </c>
      <c r="BO31" s="12">
        <f>IFERROR(IF($B$10="W",BO23,BO22),"0")</f>
        <v>0</v>
      </c>
      <c r="BP31" s="33" t="s">
        <v>52</v>
      </c>
      <c r="BQ31" s="49">
        <f>IFERROR(IF($B$10="W",BQ23,BQ22),"0")</f>
        <v>0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0</v>
      </c>
      <c r="CB31" s="33" t="s">
        <v>52</v>
      </c>
      <c r="CC31" s="49">
        <f>IFERROR(IF($B$10="W",CC23,CC22),"0")</f>
        <v>0</v>
      </c>
      <c r="CD31" s="12" t="s">
        <v>53</v>
      </c>
      <c r="CE31" s="33">
        <f>IFERROR(IF($B$10="W",CE23,CE22),"0")</f>
        <v>0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59">IFERROR(IF($B$10="W",CI23,CI22),"0")</f>
        <v>0</v>
      </c>
      <c r="CJ31" s="33">
        <f t="shared" si="159"/>
        <v>0</v>
      </c>
      <c r="CK31" s="33">
        <f t="shared" si="159"/>
        <v>0</v>
      </c>
      <c r="CL31" s="33">
        <f t="shared" ref="CL31:CM31" si="160">IFERROR(IF($B$10="W",CL23,CL22),"0")</f>
        <v>0</v>
      </c>
      <c r="CM31" s="33">
        <f t="shared" si="160"/>
        <v>0</v>
      </c>
      <c r="CN31" s="33">
        <f t="shared" si="159"/>
        <v>0</v>
      </c>
      <c r="CO31" s="33">
        <f t="shared" si="159"/>
        <v>0</v>
      </c>
      <c r="CP31" s="33">
        <f t="shared" si="159"/>
        <v>0</v>
      </c>
      <c r="CQ31" s="33">
        <f t="shared" si="159"/>
        <v>0</v>
      </c>
      <c r="CR31" s="33">
        <f t="shared" si="159"/>
        <v>0</v>
      </c>
      <c r="CS31" s="33">
        <f t="shared" si="159"/>
        <v>0</v>
      </c>
      <c r="CT31" s="33">
        <f t="shared" si="159"/>
        <v>0</v>
      </c>
      <c r="CU31" s="33">
        <f t="shared" si="159"/>
        <v>0</v>
      </c>
      <c r="CV31" s="58">
        <f t="shared" si="159"/>
        <v>0</v>
      </c>
      <c r="CW31" s="33"/>
      <c r="CX31" s="4"/>
      <c r="CY31" s="289">
        <f>(G21-E21)+((SUM(EW4:EW18))-(SUM(EV4:EV18)))</f>
        <v>0</v>
      </c>
      <c r="CZ31" s="290">
        <f>CN21</f>
        <v>0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117"/>
        <v>0</v>
      </c>
      <c r="EW31" s="228" t="s">
        <v>78</v>
      </c>
      <c r="EX31" s="6">
        <f t="shared" si="118"/>
        <v>0</v>
      </c>
      <c r="EY31" s="6">
        <f t="shared" si="119"/>
        <v>0</v>
      </c>
      <c r="EZ31" s="6" t="str">
        <f t="shared" si="150"/>
        <v>0</v>
      </c>
    </row>
    <row r="32" spans="1:197" x14ac:dyDescent="0.2">
      <c r="C32" s="228" t="s">
        <v>79</v>
      </c>
      <c r="D32" s="28">
        <f>IFERROR(IF(B11="W",D23,D22),"0")</f>
        <v>0</v>
      </c>
      <c r="E32" s="86">
        <f t="shared" si="120"/>
        <v>0</v>
      </c>
      <c r="F32" s="33" t="s">
        <v>52</v>
      </c>
      <c r="G32" s="49">
        <f t="shared" si="121"/>
        <v>0</v>
      </c>
      <c r="H32" s="12" t="s">
        <v>53</v>
      </c>
      <c r="I32" s="33">
        <f t="shared" si="122"/>
        <v>0</v>
      </c>
      <c r="J32" s="49" t="s">
        <v>54</v>
      </c>
      <c r="K32" s="12">
        <f t="shared" si="123"/>
        <v>0</v>
      </c>
      <c r="L32" s="33" t="s">
        <v>52</v>
      </c>
      <c r="M32" s="49">
        <f t="shared" si="124"/>
        <v>0</v>
      </c>
      <c r="N32" s="12" t="s">
        <v>53</v>
      </c>
      <c r="O32" s="33">
        <f t="shared" si="125"/>
        <v>0</v>
      </c>
      <c r="P32" s="49" t="s">
        <v>54</v>
      </c>
      <c r="Q32" s="12">
        <f t="shared" si="126"/>
        <v>0</v>
      </c>
      <c r="R32" s="33" t="s">
        <v>52</v>
      </c>
      <c r="S32" s="49">
        <f t="shared" si="127"/>
        <v>0</v>
      </c>
      <c r="T32" s="12" t="s">
        <v>53</v>
      </c>
      <c r="U32" s="33">
        <f t="shared" si="128"/>
        <v>0</v>
      </c>
      <c r="V32" s="49" t="s">
        <v>54</v>
      </c>
      <c r="W32" s="12">
        <f t="shared" si="129"/>
        <v>0</v>
      </c>
      <c r="X32" s="33" t="s">
        <v>52</v>
      </c>
      <c r="Y32" s="49">
        <f t="shared" si="130"/>
        <v>0</v>
      </c>
      <c r="Z32" s="12" t="s">
        <v>53</v>
      </c>
      <c r="AA32" s="33">
        <f t="shared" si="131"/>
        <v>0</v>
      </c>
      <c r="AB32" s="49" t="s">
        <v>54</v>
      </c>
      <c r="AC32" s="12">
        <f t="shared" si="132"/>
        <v>0</v>
      </c>
      <c r="AD32" s="33" t="s">
        <v>52</v>
      </c>
      <c r="AE32" s="53">
        <f t="shared" si="133"/>
        <v>0</v>
      </c>
      <c r="AF32" s="12"/>
      <c r="AG32" s="43">
        <f t="shared" si="134"/>
        <v>0</v>
      </c>
      <c r="AH32" s="33" t="s">
        <v>52</v>
      </c>
      <c r="AI32" s="49">
        <f t="shared" si="135"/>
        <v>0</v>
      </c>
      <c r="AJ32" s="12" t="s">
        <v>53</v>
      </c>
      <c r="AK32" s="33">
        <f t="shared" si="136"/>
        <v>0</v>
      </c>
      <c r="AL32" s="49" t="s">
        <v>54</v>
      </c>
      <c r="AM32" s="12">
        <f t="shared" si="137"/>
        <v>0</v>
      </c>
      <c r="AN32" s="33" t="s">
        <v>52</v>
      </c>
      <c r="AO32" s="49">
        <f t="shared" si="138"/>
        <v>0</v>
      </c>
      <c r="AP32" s="12" t="s">
        <v>53</v>
      </c>
      <c r="AQ32" s="33">
        <f t="shared" si="139"/>
        <v>0</v>
      </c>
      <c r="AR32" s="49" t="s">
        <v>54</v>
      </c>
      <c r="AS32" s="12">
        <f t="shared" si="140"/>
        <v>0</v>
      </c>
      <c r="AT32" s="33" t="s">
        <v>52</v>
      </c>
      <c r="AU32" s="49">
        <f t="shared" si="141"/>
        <v>0</v>
      </c>
      <c r="AV32" s="12" t="s">
        <v>53</v>
      </c>
      <c r="AW32" s="33">
        <f t="shared" si="142"/>
        <v>0</v>
      </c>
      <c r="AX32" s="49" t="s">
        <v>54</v>
      </c>
      <c r="AY32" s="12">
        <f t="shared" si="143"/>
        <v>0</v>
      </c>
      <c r="AZ32" s="33" t="s">
        <v>52</v>
      </c>
      <c r="BA32" s="49">
        <f t="shared" si="144"/>
        <v>0</v>
      </c>
      <c r="BB32" s="12" t="s">
        <v>53</v>
      </c>
      <c r="BC32" s="33">
        <f t="shared" si="145"/>
        <v>0</v>
      </c>
      <c r="BD32" s="49" t="s">
        <v>54</v>
      </c>
      <c r="BE32" s="12">
        <f t="shared" si="146"/>
        <v>0</v>
      </c>
      <c r="BF32" s="33" t="s">
        <v>52</v>
      </c>
      <c r="BG32" s="53">
        <f t="shared" si="147"/>
        <v>0</v>
      </c>
      <c r="BH32" s="12"/>
      <c r="BI32" s="43">
        <f>IFERROR(IF($B$11="W",BI23,BI22),"0")</f>
        <v>0</v>
      </c>
      <c r="BJ32" s="33" t="s">
        <v>52</v>
      </c>
      <c r="BK32" s="49">
        <f>IFERROR(IF($B$11="W",BK23,BK22),"0")</f>
        <v>0</v>
      </c>
      <c r="BL32" s="12" t="s">
        <v>53</v>
      </c>
      <c r="BM32" s="33">
        <f>IFERROR(IF($B$11="W",BM23,BM22),"0")</f>
        <v>0</v>
      </c>
      <c r="BN32" s="49" t="s">
        <v>54</v>
      </c>
      <c r="BO32" s="12">
        <f>IFERROR(IF($B$11="W",BO23,BO22),"0")</f>
        <v>0</v>
      </c>
      <c r="BP32" s="33" t="s">
        <v>52</v>
      </c>
      <c r="BQ32" s="49">
        <f>IFERROR(IF($B$11="W",BQ23,BQ22),"0")</f>
        <v>0</v>
      </c>
      <c r="BR32" s="12" t="s">
        <v>53</v>
      </c>
      <c r="BS32" s="33">
        <f>IFERROR(IF($B$11="W",BS23,BS22),"0")</f>
        <v>0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0</v>
      </c>
      <c r="CB32" s="33" t="s">
        <v>52</v>
      </c>
      <c r="CC32" s="49">
        <f>IFERROR(IF($B$11="W",CC23,CC22),"0")</f>
        <v>0</v>
      </c>
      <c r="CD32" s="12" t="s">
        <v>53</v>
      </c>
      <c r="CE32" s="33">
        <f>IFERROR(IF($B$11="W",CE23,CE22),"0")</f>
        <v>0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61">IFERROR(IF($B$11="W",CI23,CI22),"0")</f>
        <v>0</v>
      </c>
      <c r="CJ32" s="33">
        <f t="shared" si="161"/>
        <v>0</v>
      </c>
      <c r="CK32" s="33">
        <f t="shared" si="161"/>
        <v>0</v>
      </c>
      <c r="CL32" s="33">
        <f t="shared" ref="CL32:CM32" si="162">IFERROR(IF($B$11="W",CL23,CL22),"0")</f>
        <v>0</v>
      </c>
      <c r="CM32" s="33">
        <f t="shared" si="162"/>
        <v>0</v>
      </c>
      <c r="CN32" s="33">
        <f t="shared" si="161"/>
        <v>0</v>
      </c>
      <c r="CO32" s="33">
        <f t="shared" si="161"/>
        <v>0</v>
      </c>
      <c r="CP32" s="33">
        <f t="shared" si="161"/>
        <v>0</v>
      </c>
      <c r="CQ32" s="33">
        <f t="shared" si="161"/>
        <v>0</v>
      </c>
      <c r="CR32" s="33">
        <f t="shared" si="161"/>
        <v>0</v>
      </c>
      <c r="CS32" s="33">
        <f t="shared" si="161"/>
        <v>0</v>
      </c>
      <c r="CT32" s="33">
        <f t="shared" si="161"/>
        <v>0</v>
      </c>
      <c r="CU32" s="33">
        <f t="shared" si="161"/>
        <v>0</v>
      </c>
      <c r="CV32" s="58">
        <f t="shared" si="161"/>
        <v>0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117"/>
        <v>0</v>
      </c>
      <c r="EW32" s="228" t="s">
        <v>79</v>
      </c>
      <c r="EX32" s="6">
        <f t="shared" si="118"/>
        <v>0</v>
      </c>
      <c r="EY32" s="6">
        <f t="shared" si="119"/>
        <v>0</v>
      </c>
      <c r="EZ32" s="6" t="str">
        <f t="shared" si="150"/>
        <v>0</v>
      </c>
    </row>
    <row r="33" spans="3:156" x14ac:dyDescent="0.2">
      <c r="C33" s="228" t="s">
        <v>114</v>
      </c>
      <c r="D33" s="28">
        <f>IFERROR(IF(B12="W",D23,D22),"0")</f>
        <v>0</v>
      </c>
      <c r="E33" s="86">
        <f t="shared" si="120"/>
        <v>0</v>
      </c>
      <c r="F33" s="33" t="s">
        <v>52</v>
      </c>
      <c r="G33" s="49">
        <f t="shared" si="121"/>
        <v>0</v>
      </c>
      <c r="H33" s="12" t="s">
        <v>53</v>
      </c>
      <c r="I33" s="33">
        <f t="shared" si="122"/>
        <v>0</v>
      </c>
      <c r="J33" s="49" t="s">
        <v>54</v>
      </c>
      <c r="K33" s="12">
        <f t="shared" si="123"/>
        <v>0</v>
      </c>
      <c r="L33" s="33" t="s">
        <v>52</v>
      </c>
      <c r="M33" s="49">
        <f t="shared" si="124"/>
        <v>0</v>
      </c>
      <c r="N33" s="12" t="s">
        <v>53</v>
      </c>
      <c r="O33" s="33">
        <f t="shared" si="125"/>
        <v>0</v>
      </c>
      <c r="P33" s="49" t="s">
        <v>54</v>
      </c>
      <c r="Q33" s="12">
        <f t="shared" si="126"/>
        <v>0</v>
      </c>
      <c r="R33" s="33" t="s">
        <v>52</v>
      </c>
      <c r="S33" s="49">
        <f t="shared" si="127"/>
        <v>0</v>
      </c>
      <c r="T33" s="12" t="s">
        <v>53</v>
      </c>
      <c r="U33" s="33">
        <f t="shared" si="128"/>
        <v>0</v>
      </c>
      <c r="V33" s="49" t="s">
        <v>54</v>
      </c>
      <c r="W33" s="12">
        <f t="shared" si="129"/>
        <v>0</v>
      </c>
      <c r="X33" s="33" t="s">
        <v>52</v>
      </c>
      <c r="Y33" s="49">
        <f t="shared" si="130"/>
        <v>0</v>
      </c>
      <c r="Z33" s="12" t="s">
        <v>53</v>
      </c>
      <c r="AA33" s="33">
        <f t="shared" si="131"/>
        <v>0</v>
      </c>
      <c r="AB33" s="49" t="s">
        <v>54</v>
      </c>
      <c r="AC33" s="12">
        <f t="shared" si="132"/>
        <v>0</v>
      </c>
      <c r="AD33" s="33" t="s">
        <v>52</v>
      </c>
      <c r="AE33" s="53">
        <f t="shared" si="133"/>
        <v>0</v>
      </c>
      <c r="AF33" s="12"/>
      <c r="AG33" s="43">
        <f t="shared" si="134"/>
        <v>0</v>
      </c>
      <c r="AH33" s="33" t="s">
        <v>52</v>
      </c>
      <c r="AI33" s="49">
        <f t="shared" si="135"/>
        <v>0</v>
      </c>
      <c r="AJ33" s="12" t="s">
        <v>53</v>
      </c>
      <c r="AK33" s="33">
        <f t="shared" si="136"/>
        <v>0</v>
      </c>
      <c r="AL33" s="49" t="s">
        <v>54</v>
      </c>
      <c r="AM33" s="12">
        <f t="shared" si="137"/>
        <v>0</v>
      </c>
      <c r="AN33" s="33" t="s">
        <v>52</v>
      </c>
      <c r="AO33" s="49">
        <f t="shared" si="138"/>
        <v>0</v>
      </c>
      <c r="AP33" s="12" t="s">
        <v>53</v>
      </c>
      <c r="AQ33" s="33">
        <f t="shared" si="139"/>
        <v>0</v>
      </c>
      <c r="AR33" s="49" t="s">
        <v>54</v>
      </c>
      <c r="AS33" s="12">
        <f t="shared" si="140"/>
        <v>0</v>
      </c>
      <c r="AT33" s="33" t="s">
        <v>52</v>
      </c>
      <c r="AU33" s="49">
        <f t="shared" si="141"/>
        <v>0</v>
      </c>
      <c r="AV33" s="12" t="s">
        <v>53</v>
      </c>
      <c r="AW33" s="33">
        <f t="shared" si="142"/>
        <v>0</v>
      </c>
      <c r="AX33" s="49" t="s">
        <v>54</v>
      </c>
      <c r="AY33" s="12">
        <f t="shared" si="143"/>
        <v>0</v>
      </c>
      <c r="AZ33" s="33" t="s">
        <v>52</v>
      </c>
      <c r="BA33" s="49">
        <f t="shared" si="144"/>
        <v>0</v>
      </c>
      <c r="BB33" s="12" t="s">
        <v>53</v>
      </c>
      <c r="BC33" s="33">
        <f t="shared" si="145"/>
        <v>0</v>
      </c>
      <c r="BD33" s="49" t="s">
        <v>54</v>
      </c>
      <c r="BE33" s="12">
        <f t="shared" si="146"/>
        <v>0</v>
      </c>
      <c r="BF33" s="33" t="s">
        <v>52</v>
      </c>
      <c r="BG33" s="53">
        <f t="shared" si="147"/>
        <v>0</v>
      </c>
      <c r="BH33" s="12"/>
      <c r="BI33" s="43">
        <f>IFERROR(IF($B$12="W",BI23,BI22),"0")</f>
        <v>0</v>
      </c>
      <c r="BJ33" s="33" t="s">
        <v>52</v>
      </c>
      <c r="BK33" s="49">
        <f>IFERROR(IF($B$12="W",BK23,BK22),"0")</f>
        <v>0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0</v>
      </c>
      <c r="BP33" s="33" t="s">
        <v>52</v>
      </c>
      <c r="BQ33" s="49">
        <f>IFERROR(IF($B$12="W",BQ23,BQ22),"0")</f>
        <v>0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0</v>
      </c>
      <c r="CB33" s="33" t="s">
        <v>52</v>
      </c>
      <c r="CC33" s="49">
        <f>IFERROR(IF($B$12="W",CC23,CC22),"0")</f>
        <v>0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63">IFERROR(IF($B$12="W",CI23,CI22),"0")</f>
        <v>0</v>
      </c>
      <c r="CJ33" s="33">
        <f t="shared" si="163"/>
        <v>0</v>
      </c>
      <c r="CK33" s="33">
        <f t="shared" si="163"/>
        <v>0</v>
      </c>
      <c r="CL33" s="33">
        <f t="shared" ref="CL33:CM33" si="164">IFERROR(IF($B$12="W",CL23,CL22),"0")</f>
        <v>0</v>
      </c>
      <c r="CM33" s="33">
        <f t="shared" si="164"/>
        <v>0</v>
      </c>
      <c r="CN33" s="33">
        <f t="shared" si="163"/>
        <v>0</v>
      </c>
      <c r="CO33" s="33">
        <f t="shared" si="163"/>
        <v>0</v>
      </c>
      <c r="CP33" s="33">
        <f t="shared" si="163"/>
        <v>0</v>
      </c>
      <c r="CQ33" s="33">
        <f t="shared" si="163"/>
        <v>0</v>
      </c>
      <c r="CR33" s="33">
        <f t="shared" si="163"/>
        <v>0</v>
      </c>
      <c r="CS33" s="33">
        <f t="shared" si="163"/>
        <v>0</v>
      </c>
      <c r="CT33" s="33">
        <f t="shared" si="163"/>
        <v>0</v>
      </c>
      <c r="CU33" s="33">
        <f t="shared" si="163"/>
        <v>0</v>
      </c>
      <c r="CV33" s="58">
        <f t="shared" si="163"/>
        <v>0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117"/>
        <v>0</v>
      </c>
      <c r="EW33" s="228" t="s">
        <v>114</v>
      </c>
      <c r="EX33" s="6">
        <f t="shared" si="118"/>
        <v>0</v>
      </c>
      <c r="EY33" s="6">
        <f t="shared" si="119"/>
        <v>0</v>
      </c>
      <c r="EZ33" s="6" t="str">
        <f t="shared" si="150"/>
        <v>0</v>
      </c>
    </row>
    <row r="34" spans="3:156" x14ac:dyDescent="0.2">
      <c r="C34" s="228" t="s">
        <v>223</v>
      </c>
      <c r="D34" s="28">
        <f>IFERROR(IF(B13="W",D23,D22),"0")</f>
        <v>0</v>
      </c>
      <c r="E34" s="86">
        <f t="shared" si="120"/>
        <v>0</v>
      </c>
      <c r="F34" s="33" t="s">
        <v>52</v>
      </c>
      <c r="G34" s="49">
        <f t="shared" si="121"/>
        <v>0</v>
      </c>
      <c r="H34" s="12" t="s">
        <v>53</v>
      </c>
      <c r="I34" s="33">
        <f t="shared" si="122"/>
        <v>0</v>
      </c>
      <c r="J34" s="49" t="s">
        <v>54</v>
      </c>
      <c r="K34" s="12">
        <f t="shared" si="123"/>
        <v>0</v>
      </c>
      <c r="L34" s="33" t="s">
        <v>52</v>
      </c>
      <c r="M34" s="49">
        <f t="shared" si="124"/>
        <v>0</v>
      </c>
      <c r="N34" s="12" t="s">
        <v>53</v>
      </c>
      <c r="O34" s="33">
        <f t="shared" si="125"/>
        <v>0</v>
      </c>
      <c r="P34" s="49" t="s">
        <v>54</v>
      </c>
      <c r="Q34" s="12">
        <f t="shared" si="126"/>
        <v>0</v>
      </c>
      <c r="R34" s="33" t="s">
        <v>52</v>
      </c>
      <c r="S34" s="49">
        <f t="shared" si="127"/>
        <v>0</v>
      </c>
      <c r="T34" s="12" t="s">
        <v>53</v>
      </c>
      <c r="U34" s="33">
        <f t="shared" si="128"/>
        <v>0</v>
      </c>
      <c r="V34" s="49" t="s">
        <v>54</v>
      </c>
      <c r="W34" s="12">
        <f t="shared" si="129"/>
        <v>0</v>
      </c>
      <c r="X34" s="33" t="s">
        <v>52</v>
      </c>
      <c r="Y34" s="49">
        <f t="shared" si="130"/>
        <v>0</v>
      </c>
      <c r="Z34" s="12" t="s">
        <v>53</v>
      </c>
      <c r="AA34" s="33">
        <f t="shared" si="131"/>
        <v>0</v>
      </c>
      <c r="AB34" s="49" t="s">
        <v>54</v>
      </c>
      <c r="AC34" s="12">
        <f t="shared" si="132"/>
        <v>0</v>
      </c>
      <c r="AD34" s="33" t="s">
        <v>52</v>
      </c>
      <c r="AE34" s="53">
        <f t="shared" si="133"/>
        <v>0</v>
      </c>
      <c r="AF34" s="12"/>
      <c r="AG34" s="43">
        <f t="shared" si="134"/>
        <v>0</v>
      </c>
      <c r="AH34" s="33" t="s">
        <v>52</v>
      </c>
      <c r="AI34" s="49">
        <f t="shared" si="135"/>
        <v>0</v>
      </c>
      <c r="AJ34" s="12" t="s">
        <v>53</v>
      </c>
      <c r="AK34" s="33">
        <f t="shared" si="136"/>
        <v>0</v>
      </c>
      <c r="AL34" s="49" t="s">
        <v>54</v>
      </c>
      <c r="AM34" s="12">
        <f t="shared" si="137"/>
        <v>0</v>
      </c>
      <c r="AN34" s="33" t="s">
        <v>52</v>
      </c>
      <c r="AO34" s="49">
        <f t="shared" si="138"/>
        <v>0</v>
      </c>
      <c r="AP34" s="12" t="s">
        <v>53</v>
      </c>
      <c r="AQ34" s="33">
        <f t="shared" si="139"/>
        <v>0</v>
      </c>
      <c r="AR34" s="49" t="s">
        <v>54</v>
      </c>
      <c r="AS34" s="12">
        <f t="shared" si="140"/>
        <v>0</v>
      </c>
      <c r="AT34" s="33" t="s">
        <v>52</v>
      </c>
      <c r="AU34" s="49">
        <f t="shared" si="141"/>
        <v>0</v>
      </c>
      <c r="AV34" s="12" t="s">
        <v>53</v>
      </c>
      <c r="AW34" s="33">
        <f t="shared" si="142"/>
        <v>0</v>
      </c>
      <c r="AX34" s="49" t="s">
        <v>54</v>
      </c>
      <c r="AY34" s="12">
        <f t="shared" si="143"/>
        <v>0</v>
      </c>
      <c r="AZ34" s="33" t="s">
        <v>52</v>
      </c>
      <c r="BA34" s="49">
        <f t="shared" si="144"/>
        <v>0</v>
      </c>
      <c r="BB34" s="12" t="s">
        <v>53</v>
      </c>
      <c r="BC34" s="33">
        <f t="shared" si="145"/>
        <v>0</v>
      </c>
      <c r="BD34" s="49" t="s">
        <v>54</v>
      </c>
      <c r="BE34" s="12">
        <f t="shared" si="146"/>
        <v>0</v>
      </c>
      <c r="BF34" s="33" t="s">
        <v>52</v>
      </c>
      <c r="BG34" s="53">
        <f t="shared" si="147"/>
        <v>0</v>
      </c>
      <c r="BH34" s="12"/>
      <c r="BI34" s="43">
        <f>IFERROR(IF($B$13="W",BI23,BI22),"0")</f>
        <v>0</v>
      </c>
      <c r="BJ34" s="33" t="s">
        <v>52</v>
      </c>
      <c r="BK34" s="49">
        <f>IFERROR(IF($B$13="W",BK23,BK22),"0")</f>
        <v>0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0</v>
      </c>
      <c r="BP34" s="33" t="s">
        <v>52</v>
      </c>
      <c r="BQ34" s="49">
        <f>IFERROR(IF($B$13="W",BQ23,BQ22),"0")</f>
        <v>0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0</v>
      </c>
      <c r="CB34" s="33" t="s">
        <v>52</v>
      </c>
      <c r="CC34" s="49">
        <f>IFERROR(IF($B$13="W",CC23,CC22),"0")</f>
        <v>0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65">IFERROR(IF($B$13="W",CI23,CI22),"0")</f>
        <v>0</v>
      </c>
      <c r="CJ34" s="33">
        <f t="shared" si="165"/>
        <v>0</v>
      </c>
      <c r="CK34" s="33">
        <f t="shared" si="165"/>
        <v>0</v>
      </c>
      <c r="CL34" s="33">
        <f t="shared" ref="CL34:CM34" si="166">IFERROR(IF($B$13="W",CL23,CL22),"0")</f>
        <v>0</v>
      </c>
      <c r="CM34" s="33">
        <f t="shared" si="166"/>
        <v>0</v>
      </c>
      <c r="CN34" s="33">
        <f t="shared" si="165"/>
        <v>0</v>
      </c>
      <c r="CO34" s="33">
        <f t="shared" si="165"/>
        <v>0</v>
      </c>
      <c r="CP34" s="33">
        <f t="shared" si="165"/>
        <v>0</v>
      </c>
      <c r="CQ34" s="33">
        <f t="shared" si="165"/>
        <v>0</v>
      </c>
      <c r="CR34" s="33">
        <f t="shared" si="165"/>
        <v>0</v>
      </c>
      <c r="CS34" s="33">
        <f t="shared" si="165"/>
        <v>0</v>
      </c>
      <c r="CT34" s="33">
        <f t="shared" si="165"/>
        <v>0</v>
      </c>
      <c r="CU34" s="33">
        <f t="shared" si="165"/>
        <v>0</v>
      </c>
      <c r="CV34" s="58">
        <f t="shared" si="165"/>
        <v>0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117"/>
        <v>0</v>
      </c>
      <c r="EW34" s="228" t="s">
        <v>223</v>
      </c>
      <c r="EX34" s="6">
        <f t="shared" si="118"/>
        <v>0</v>
      </c>
      <c r="EY34" s="6">
        <f t="shared" si="119"/>
        <v>0</v>
      </c>
      <c r="EZ34" s="6" t="str">
        <f t="shared" si="150"/>
        <v>0</v>
      </c>
    </row>
    <row r="35" spans="3:156" x14ac:dyDescent="0.2">
      <c r="C35" s="228" t="s">
        <v>80</v>
      </c>
      <c r="D35" s="28">
        <f>IFERROR(IF(B14="W",D23,D22),"0")</f>
        <v>0</v>
      </c>
      <c r="E35" s="86">
        <f t="shared" si="120"/>
        <v>0</v>
      </c>
      <c r="F35" s="33" t="s">
        <v>52</v>
      </c>
      <c r="G35" s="49">
        <f t="shared" si="121"/>
        <v>0</v>
      </c>
      <c r="H35" s="12" t="s">
        <v>53</v>
      </c>
      <c r="I35" s="33">
        <f t="shared" si="122"/>
        <v>0</v>
      </c>
      <c r="J35" s="49" t="s">
        <v>54</v>
      </c>
      <c r="K35" s="12">
        <f t="shared" si="123"/>
        <v>0</v>
      </c>
      <c r="L35" s="33" t="s">
        <v>52</v>
      </c>
      <c r="M35" s="49">
        <f t="shared" si="124"/>
        <v>0</v>
      </c>
      <c r="N35" s="12" t="s">
        <v>53</v>
      </c>
      <c r="O35" s="33">
        <f t="shared" si="125"/>
        <v>0</v>
      </c>
      <c r="P35" s="49" t="s">
        <v>54</v>
      </c>
      <c r="Q35" s="12">
        <f t="shared" si="126"/>
        <v>0</v>
      </c>
      <c r="R35" s="33" t="s">
        <v>52</v>
      </c>
      <c r="S35" s="49">
        <f t="shared" si="127"/>
        <v>0</v>
      </c>
      <c r="T35" s="12" t="s">
        <v>53</v>
      </c>
      <c r="U35" s="33">
        <f t="shared" si="128"/>
        <v>0</v>
      </c>
      <c r="V35" s="49" t="s">
        <v>54</v>
      </c>
      <c r="W35" s="12">
        <f t="shared" si="129"/>
        <v>0</v>
      </c>
      <c r="X35" s="33" t="s">
        <v>52</v>
      </c>
      <c r="Y35" s="49">
        <f t="shared" si="130"/>
        <v>0</v>
      </c>
      <c r="Z35" s="12" t="s">
        <v>53</v>
      </c>
      <c r="AA35" s="33">
        <f t="shared" si="131"/>
        <v>0</v>
      </c>
      <c r="AB35" s="49" t="s">
        <v>54</v>
      </c>
      <c r="AC35" s="12">
        <f t="shared" si="132"/>
        <v>0</v>
      </c>
      <c r="AD35" s="33" t="s">
        <v>52</v>
      </c>
      <c r="AE35" s="53">
        <f t="shared" si="133"/>
        <v>0</v>
      </c>
      <c r="AF35" s="12"/>
      <c r="AG35" s="43">
        <f t="shared" si="134"/>
        <v>0</v>
      </c>
      <c r="AH35" s="33" t="s">
        <v>52</v>
      </c>
      <c r="AI35" s="49">
        <f t="shared" si="135"/>
        <v>0</v>
      </c>
      <c r="AJ35" s="12" t="s">
        <v>53</v>
      </c>
      <c r="AK35" s="33">
        <f t="shared" si="136"/>
        <v>0</v>
      </c>
      <c r="AL35" s="49" t="s">
        <v>54</v>
      </c>
      <c r="AM35" s="12">
        <f t="shared" si="137"/>
        <v>0</v>
      </c>
      <c r="AN35" s="33" t="s">
        <v>52</v>
      </c>
      <c r="AO35" s="49">
        <f t="shared" si="138"/>
        <v>0</v>
      </c>
      <c r="AP35" s="12" t="s">
        <v>53</v>
      </c>
      <c r="AQ35" s="33">
        <f t="shared" si="139"/>
        <v>0</v>
      </c>
      <c r="AR35" s="49" t="s">
        <v>54</v>
      </c>
      <c r="AS35" s="12">
        <f t="shared" si="140"/>
        <v>0</v>
      </c>
      <c r="AT35" s="33" t="s">
        <v>52</v>
      </c>
      <c r="AU35" s="49">
        <f t="shared" si="141"/>
        <v>0</v>
      </c>
      <c r="AV35" s="12" t="s">
        <v>53</v>
      </c>
      <c r="AW35" s="33">
        <f t="shared" si="142"/>
        <v>0</v>
      </c>
      <c r="AX35" s="49" t="s">
        <v>54</v>
      </c>
      <c r="AY35" s="12">
        <f t="shared" si="143"/>
        <v>0</v>
      </c>
      <c r="AZ35" s="33" t="s">
        <v>52</v>
      </c>
      <c r="BA35" s="49">
        <f t="shared" si="144"/>
        <v>0</v>
      </c>
      <c r="BB35" s="12" t="s">
        <v>53</v>
      </c>
      <c r="BC35" s="33">
        <f t="shared" si="145"/>
        <v>0</v>
      </c>
      <c r="BD35" s="49" t="s">
        <v>54</v>
      </c>
      <c r="BE35" s="12">
        <f t="shared" si="146"/>
        <v>0</v>
      </c>
      <c r="BF35" s="33" t="s">
        <v>52</v>
      </c>
      <c r="BG35" s="53">
        <f t="shared" si="147"/>
        <v>0</v>
      </c>
      <c r="BH35" s="12"/>
      <c r="BI35" s="43">
        <f>IFERROR(IF($B$14="W",BI23,BI22),"0")</f>
        <v>0</v>
      </c>
      <c r="BJ35" s="12" t="str">
        <f t="shared" ref="BJ35:CI35" si="167">IFERROR(IF($B$14="W",BJ23,BJ22),"0")</f>
        <v>-</v>
      </c>
      <c r="BK35" s="49">
        <f t="shared" si="167"/>
        <v>0</v>
      </c>
      <c r="BL35" s="12" t="str">
        <f t="shared" si="167"/>
        <v>(</v>
      </c>
      <c r="BM35" s="33">
        <f t="shared" si="167"/>
        <v>0</v>
      </c>
      <c r="BN35" s="49" t="str">
        <f t="shared" si="167"/>
        <v>)</v>
      </c>
      <c r="BO35" s="12">
        <f t="shared" si="167"/>
        <v>0</v>
      </c>
      <c r="BP35" s="12" t="str">
        <f t="shared" si="167"/>
        <v>-</v>
      </c>
      <c r="BQ35" s="49">
        <f t="shared" si="167"/>
        <v>0</v>
      </c>
      <c r="BR35" s="12" t="str">
        <f t="shared" si="167"/>
        <v>(</v>
      </c>
      <c r="BS35" s="33">
        <f t="shared" si="167"/>
        <v>0</v>
      </c>
      <c r="BT35" s="49" t="str">
        <f t="shared" si="167"/>
        <v>)</v>
      </c>
      <c r="BU35" s="12">
        <f t="shared" si="167"/>
        <v>0</v>
      </c>
      <c r="BV35" s="12" t="str">
        <f t="shared" si="167"/>
        <v>-</v>
      </c>
      <c r="BW35" s="49">
        <f t="shared" si="167"/>
        <v>0</v>
      </c>
      <c r="BX35" s="12" t="str">
        <f t="shared" si="167"/>
        <v>(</v>
      </c>
      <c r="BY35" s="33">
        <f t="shared" si="167"/>
        <v>0</v>
      </c>
      <c r="BZ35" s="49" t="str">
        <f t="shared" si="167"/>
        <v>)</v>
      </c>
      <c r="CA35" s="12">
        <f t="shared" si="167"/>
        <v>0</v>
      </c>
      <c r="CB35" s="12" t="str">
        <f t="shared" si="167"/>
        <v>-</v>
      </c>
      <c r="CC35" s="49">
        <f t="shared" si="167"/>
        <v>0</v>
      </c>
      <c r="CD35" s="12" t="str">
        <f t="shared" si="167"/>
        <v>(</v>
      </c>
      <c r="CE35" s="33">
        <f t="shared" si="167"/>
        <v>0</v>
      </c>
      <c r="CF35" s="49" t="str">
        <f t="shared" si="167"/>
        <v>)</v>
      </c>
      <c r="CG35" s="12">
        <f t="shared" si="167"/>
        <v>0</v>
      </c>
      <c r="CH35" s="12" t="str">
        <f t="shared" si="167"/>
        <v>-</v>
      </c>
      <c r="CI35" s="53">
        <f t="shared" si="167"/>
        <v>0</v>
      </c>
      <c r="CJ35" s="33">
        <f>IFERROR(IF($B$14="W",CJ23,CJ22),"0")</f>
        <v>0</v>
      </c>
      <c r="CK35" s="33">
        <f t="shared" ref="CK35:CV35" si="168">IFERROR(IF($B$14="W",CK23,CK22),"0")</f>
        <v>0</v>
      </c>
      <c r="CL35" s="33">
        <f t="shared" ref="CL35:CM35" si="169">IFERROR(IF($B$14="W",CL23,CL22),"0")</f>
        <v>0</v>
      </c>
      <c r="CM35" s="33">
        <f t="shared" si="169"/>
        <v>0</v>
      </c>
      <c r="CN35" s="33">
        <f t="shared" si="168"/>
        <v>0</v>
      </c>
      <c r="CO35" s="33">
        <f t="shared" si="168"/>
        <v>0</v>
      </c>
      <c r="CP35" s="33">
        <f t="shared" si="168"/>
        <v>0</v>
      </c>
      <c r="CQ35" s="33">
        <f t="shared" si="168"/>
        <v>0</v>
      </c>
      <c r="CR35" s="33">
        <f t="shared" si="168"/>
        <v>0</v>
      </c>
      <c r="CS35" s="33">
        <f t="shared" si="168"/>
        <v>0</v>
      </c>
      <c r="CT35" s="33">
        <f t="shared" si="168"/>
        <v>0</v>
      </c>
      <c r="CU35" s="33">
        <f t="shared" si="168"/>
        <v>0</v>
      </c>
      <c r="CV35" s="33">
        <f t="shared" si="168"/>
        <v>0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117"/>
        <v>0</v>
      </c>
      <c r="EW35" s="228" t="s">
        <v>80</v>
      </c>
      <c r="EX35" s="6">
        <f t="shared" si="118"/>
        <v>0</v>
      </c>
      <c r="EY35" s="6">
        <f t="shared" si="119"/>
        <v>0</v>
      </c>
      <c r="EZ35" s="6" t="str">
        <f t="shared" si="150"/>
        <v>0</v>
      </c>
    </row>
    <row r="36" spans="3:156" x14ac:dyDescent="0.2">
      <c r="C36" s="228" t="s">
        <v>224</v>
      </c>
      <c r="D36" s="28">
        <f>IFERROR(IF(B15="W",D23,D22),"0")</f>
        <v>0</v>
      </c>
      <c r="E36" s="86">
        <f t="shared" si="120"/>
        <v>0</v>
      </c>
      <c r="F36" s="33" t="s">
        <v>52</v>
      </c>
      <c r="G36" s="49">
        <f t="shared" si="121"/>
        <v>0</v>
      </c>
      <c r="H36" s="12" t="s">
        <v>53</v>
      </c>
      <c r="I36" s="33">
        <f t="shared" si="122"/>
        <v>0</v>
      </c>
      <c r="J36" s="49" t="s">
        <v>54</v>
      </c>
      <c r="K36" s="12">
        <f t="shared" si="123"/>
        <v>0</v>
      </c>
      <c r="L36" s="33" t="s">
        <v>52</v>
      </c>
      <c r="M36" s="49">
        <f t="shared" si="124"/>
        <v>0</v>
      </c>
      <c r="N36" s="12" t="s">
        <v>53</v>
      </c>
      <c r="O36" s="33">
        <f t="shared" si="125"/>
        <v>0</v>
      </c>
      <c r="P36" s="49" t="s">
        <v>54</v>
      </c>
      <c r="Q36" s="12">
        <f t="shared" si="126"/>
        <v>0</v>
      </c>
      <c r="R36" s="33" t="s">
        <v>52</v>
      </c>
      <c r="S36" s="49">
        <f t="shared" si="127"/>
        <v>0</v>
      </c>
      <c r="T36" s="12" t="s">
        <v>53</v>
      </c>
      <c r="U36" s="33">
        <f t="shared" si="128"/>
        <v>0</v>
      </c>
      <c r="V36" s="49" t="s">
        <v>54</v>
      </c>
      <c r="W36" s="12">
        <f t="shared" si="129"/>
        <v>0</v>
      </c>
      <c r="X36" s="33" t="s">
        <v>52</v>
      </c>
      <c r="Y36" s="49">
        <f t="shared" si="130"/>
        <v>0</v>
      </c>
      <c r="Z36" s="12" t="s">
        <v>53</v>
      </c>
      <c r="AA36" s="33">
        <f t="shared" si="131"/>
        <v>0</v>
      </c>
      <c r="AB36" s="49" t="s">
        <v>54</v>
      </c>
      <c r="AC36" s="12">
        <f t="shared" si="132"/>
        <v>0</v>
      </c>
      <c r="AD36" s="33" t="s">
        <v>52</v>
      </c>
      <c r="AE36" s="53">
        <f t="shared" si="133"/>
        <v>0</v>
      </c>
      <c r="AF36" s="12"/>
      <c r="AG36" s="43">
        <f t="shared" si="134"/>
        <v>0</v>
      </c>
      <c r="AH36" s="33" t="s">
        <v>52</v>
      </c>
      <c r="AI36" s="49">
        <f t="shared" si="135"/>
        <v>0</v>
      </c>
      <c r="AJ36" s="12" t="s">
        <v>53</v>
      </c>
      <c r="AK36" s="33">
        <f t="shared" si="136"/>
        <v>0</v>
      </c>
      <c r="AL36" s="49" t="s">
        <v>54</v>
      </c>
      <c r="AM36" s="12">
        <f t="shared" si="137"/>
        <v>0</v>
      </c>
      <c r="AN36" s="33" t="s">
        <v>52</v>
      </c>
      <c r="AO36" s="49">
        <f t="shared" si="138"/>
        <v>0</v>
      </c>
      <c r="AP36" s="12" t="s">
        <v>53</v>
      </c>
      <c r="AQ36" s="33">
        <f t="shared" si="139"/>
        <v>0</v>
      </c>
      <c r="AR36" s="49" t="s">
        <v>54</v>
      </c>
      <c r="AS36" s="12">
        <f t="shared" si="140"/>
        <v>0</v>
      </c>
      <c r="AT36" s="33" t="s">
        <v>52</v>
      </c>
      <c r="AU36" s="49">
        <f t="shared" si="141"/>
        <v>0</v>
      </c>
      <c r="AV36" s="12" t="s">
        <v>53</v>
      </c>
      <c r="AW36" s="33">
        <f t="shared" si="142"/>
        <v>0</v>
      </c>
      <c r="AX36" s="49" t="s">
        <v>54</v>
      </c>
      <c r="AY36" s="12">
        <f t="shared" si="143"/>
        <v>0</v>
      </c>
      <c r="AZ36" s="33" t="s">
        <v>52</v>
      </c>
      <c r="BA36" s="49">
        <f t="shared" si="144"/>
        <v>0</v>
      </c>
      <c r="BB36" s="12" t="s">
        <v>53</v>
      </c>
      <c r="BC36" s="33">
        <f t="shared" si="145"/>
        <v>0</v>
      </c>
      <c r="BD36" s="49" t="s">
        <v>54</v>
      </c>
      <c r="BE36" s="12">
        <f t="shared" si="146"/>
        <v>0</v>
      </c>
      <c r="BF36" s="33" t="s">
        <v>52</v>
      </c>
      <c r="BG36" s="53">
        <f t="shared" si="147"/>
        <v>0</v>
      </c>
      <c r="BH36" s="12"/>
      <c r="BI36" s="43">
        <f>IFERROR(IF($B$15="W",BI23,BI22),"0")</f>
        <v>0</v>
      </c>
      <c r="BJ36" s="12" t="str">
        <f t="shared" ref="BJ36:CI36" si="170">IFERROR(IF($B$15="W",BJ23,BJ22),"0")</f>
        <v>-</v>
      </c>
      <c r="BK36" s="49">
        <f t="shared" si="170"/>
        <v>0</v>
      </c>
      <c r="BL36" s="12" t="str">
        <f t="shared" si="170"/>
        <v>(</v>
      </c>
      <c r="BM36" s="33">
        <f t="shared" si="170"/>
        <v>0</v>
      </c>
      <c r="BN36" s="49" t="str">
        <f t="shared" si="170"/>
        <v>)</v>
      </c>
      <c r="BO36" s="12">
        <f t="shared" si="170"/>
        <v>0</v>
      </c>
      <c r="BP36" s="12" t="str">
        <f t="shared" si="170"/>
        <v>-</v>
      </c>
      <c r="BQ36" s="49">
        <f t="shared" si="170"/>
        <v>0</v>
      </c>
      <c r="BR36" s="12" t="str">
        <f t="shared" si="170"/>
        <v>(</v>
      </c>
      <c r="BS36" s="33">
        <f t="shared" si="170"/>
        <v>0</v>
      </c>
      <c r="BT36" s="49" t="str">
        <f t="shared" si="170"/>
        <v>)</v>
      </c>
      <c r="BU36" s="12">
        <f t="shared" si="170"/>
        <v>0</v>
      </c>
      <c r="BV36" s="12" t="str">
        <f t="shared" si="170"/>
        <v>-</v>
      </c>
      <c r="BW36" s="49">
        <f t="shared" si="170"/>
        <v>0</v>
      </c>
      <c r="BX36" s="12" t="str">
        <f t="shared" si="170"/>
        <v>(</v>
      </c>
      <c r="BY36" s="33">
        <f t="shared" si="170"/>
        <v>0</v>
      </c>
      <c r="BZ36" s="49" t="str">
        <f t="shared" si="170"/>
        <v>)</v>
      </c>
      <c r="CA36" s="12">
        <f t="shared" si="170"/>
        <v>0</v>
      </c>
      <c r="CB36" s="12" t="str">
        <f t="shared" si="170"/>
        <v>-</v>
      </c>
      <c r="CC36" s="49">
        <f t="shared" si="170"/>
        <v>0</v>
      </c>
      <c r="CD36" s="12" t="str">
        <f t="shared" si="170"/>
        <v>(</v>
      </c>
      <c r="CE36" s="33">
        <f t="shared" si="170"/>
        <v>0</v>
      </c>
      <c r="CF36" s="49" t="str">
        <f t="shared" si="170"/>
        <v>)</v>
      </c>
      <c r="CG36" s="12">
        <f t="shared" si="170"/>
        <v>0</v>
      </c>
      <c r="CH36" s="12" t="str">
        <f t="shared" si="170"/>
        <v>-</v>
      </c>
      <c r="CI36" s="53">
        <f t="shared" si="170"/>
        <v>0</v>
      </c>
      <c r="CJ36" s="33">
        <f>IFERROR(IF($B$15="W",CJ23,CJ22),"0")</f>
        <v>0</v>
      </c>
      <c r="CK36" s="33">
        <f t="shared" ref="CK36:CV36" si="171">IFERROR(IF($B$15="W",CK23,CK22),"0")</f>
        <v>0</v>
      </c>
      <c r="CL36" s="33">
        <f t="shared" ref="CL36:CM36" si="172">IFERROR(IF($B$15="W",CL23,CL22),"0")</f>
        <v>0</v>
      </c>
      <c r="CM36" s="33">
        <f t="shared" si="172"/>
        <v>0</v>
      </c>
      <c r="CN36" s="33">
        <f t="shared" si="171"/>
        <v>0</v>
      </c>
      <c r="CO36" s="33">
        <f t="shared" si="171"/>
        <v>0</v>
      </c>
      <c r="CP36" s="33">
        <f t="shared" si="171"/>
        <v>0</v>
      </c>
      <c r="CQ36" s="33">
        <f t="shared" si="171"/>
        <v>0</v>
      </c>
      <c r="CR36" s="33">
        <f t="shared" si="171"/>
        <v>0</v>
      </c>
      <c r="CS36" s="33">
        <f t="shared" si="171"/>
        <v>0</v>
      </c>
      <c r="CT36" s="33">
        <f t="shared" si="171"/>
        <v>0</v>
      </c>
      <c r="CU36" s="33">
        <f t="shared" si="171"/>
        <v>0</v>
      </c>
      <c r="CV36" s="33">
        <f t="shared" si="171"/>
        <v>0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117"/>
        <v>0</v>
      </c>
      <c r="EW36" s="228" t="s">
        <v>224</v>
      </c>
      <c r="EX36" s="6">
        <f t="shared" si="118"/>
        <v>0</v>
      </c>
      <c r="EY36" s="6">
        <f t="shared" si="119"/>
        <v>0</v>
      </c>
      <c r="EZ36" s="6" t="str">
        <f t="shared" si="150"/>
        <v>0</v>
      </c>
    </row>
    <row r="37" spans="3:156" x14ac:dyDescent="0.2">
      <c r="C37" s="228" t="s">
        <v>112</v>
      </c>
      <c r="D37" s="28">
        <f>IFERROR(IF(B16="W",D23,D22),"0")</f>
        <v>0</v>
      </c>
      <c r="E37" s="86">
        <f t="shared" si="120"/>
        <v>0</v>
      </c>
      <c r="F37" s="33" t="s">
        <v>52</v>
      </c>
      <c r="G37" s="49">
        <f t="shared" si="121"/>
        <v>0</v>
      </c>
      <c r="H37" s="12" t="s">
        <v>53</v>
      </c>
      <c r="I37" s="33">
        <f t="shared" si="122"/>
        <v>0</v>
      </c>
      <c r="J37" s="49" t="s">
        <v>54</v>
      </c>
      <c r="K37" s="12">
        <f t="shared" si="123"/>
        <v>0</v>
      </c>
      <c r="L37" s="33" t="s">
        <v>52</v>
      </c>
      <c r="M37" s="49">
        <f t="shared" si="124"/>
        <v>0</v>
      </c>
      <c r="N37" s="12" t="s">
        <v>53</v>
      </c>
      <c r="O37" s="33">
        <f t="shared" si="125"/>
        <v>0</v>
      </c>
      <c r="P37" s="49" t="s">
        <v>54</v>
      </c>
      <c r="Q37" s="12">
        <f t="shared" si="126"/>
        <v>0</v>
      </c>
      <c r="R37" s="33" t="s">
        <v>52</v>
      </c>
      <c r="S37" s="49">
        <f t="shared" si="127"/>
        <v>0</v>
      </c>
      <c r="T37" s="12" t="s">
        <v>53</v>
      </c>
      <c r="U37" s="33">
        <f t="shared" si="128"/>
        <v>0</v>
      </c>
      <c r="V37" s="49" t="s">
        <v>54</v>
      </c>
      <c r="W37" s="12">
        <f t="shared" si="129"/>
        <v>0</v>
      </c>
      <c r="X37" s="33" t="s">
        <v>52</v>
      </c>
      <c r="Y37" s="49">
        <f t="shared" si="130"/>
        <v>0</v>
      </c>
      <c r="Z37" s="12" t="s">
        <v>53</v>
      </c>
      <c r="AA37" s="33">
        <f t="shared" si="131"/>
        <v>0</v>
      </c>
      <c r="AB37" s="49" t="s">
        <v>54</v>
      </c>
      <c r="AC37" s="12">
        <f t="shared" si="132"/>
        <v>0</v>
      </c>
      <c r="AD37" s="33" t="s">
        <v>52</v>
      </c>
      <c r="AE37" s="53">
        <f t="shared" si="133"/>
        <v>0</v>
      </c>
      <c r="AF37" s="12"/>
      <c r="AG37" s="43">
        <f t="shared" si="134"/>
        <v>0</v>
      </c>
      <c r="AH37" s="33" t="s">
        <v>52</v>
      </c>
      <c r="AI37" s="49">
        <f t="shared" si="135"/>
        <v>0</v>
      </c>
      <c r="AJ37" s="12" t="s">
        <v>53</v>
      </c>
      <c r="AK37" s="33">
        <f t="shared" si="136"/>
        <v>0</v>
      </c>
      <c r="AL37" s="49" t="s">
        <v>54</v>
      </c>
      <c r="AM37" s="12">
        <f t="shared" si="137"/>
        <v>0</v>
      </c>
      <c r="AN37" s="33" t="s">
        <v>52</v>
      </c>
      <c r="AO37" s="49">
        <f t="shared" si="138"/>
        <v>0</v>
      </c>
      <c r="AP37" s="12" t="s">
        <v>53</v>
      </c>
      <c r="AQ37" s="33">
        <f t="shared" si="139"/>
        <v>0</v>
      </c>
      <c r="AR37" s="49" t="s">
        <v>54</v>
      </c>
      <c r="AS37" s="12">
        <f t="shared" si="140"/>
        <v>0</v>
      </c>
      <c r="AT37" s="33" t="s">
        <v>52</v>
      </c>
      <c r="AU37" s="49">
        <f t="shared" si="141"/>
        <v>0</v>
      </c>
      <c r="AV37" s="12" t="s">
        <v>53</v>
      </c>
      <c r="AW37" s="33">
        <f t="shared" si="142"/>
        <v>0</v>
      </c>
      <c r="AX37" s="49" t="s">
        <v>54</v>
      </c>
      <c r="AY37" s="12">
        <f t="shared" si="143"/>
        <v>0</v>
      </c>
      <c r="AZ37" s="33" t="s">
        <v>52</v>
      </c>
      <c r="BA37" s="49">
        <f t="shared" si="144"/>
        <v>0</v>
      </c>
      <c r="BB37" s="12" t="s">
        <v>53</v>
      </c>
      <c r="BC37" s="33">
        <f t="shared" si="145"/>
        <v>0</v>
      </c>
      <c r="BD37" s="49" t="s">
        <v>54</v>
      </c>
      <c r="BE37" s="12">
        <f t="shared" si="146"/>
        <v>0</v>
      </c>
      <c r="BF37" s="33" t="s">
        <v>52</v>
      </c>
      <c r="BG37" s="53">
        <f t="shared" si="147"/>
        <v>0</v>
      </c>
      <c r="BH37" s="12"/>
      <c r="BI37" s="43">
        <f>IFERROR(IF($B$16="W",BI23,BI22),"0")</f>
        <v>0</v>
      </c>
      <c r="BJ37" s="12" t="str">
        <f t="shared" ref="BJ37:CI37" si="173">IFERROR(IF($B$16="W",BJ23,BJ22),"0")</f>
        <v>-</v>
      </c>
      <c r="BK37" s="49">
        <f t="shared" si="173"/>
        <v>0</v>
      </c>
      <c r="BL37" s="12" t="str">
        <f t="shared" si="173"/>
        <v>(</v>
      </c>
      <c r="BM37" s="33">
        <f t="shared" si="173"/>
        <v>0</v>
      </c>
      <c r="BN37" s="49" t="str">
        <f t="shared" si="173"/>
        <v>)</v>
      </c>
      <c r="BO37" s="12">
        <f t="shared" si="173"/>
        <v>0</v>
      </c>
      <c r="BP37" s="12" t="str">
        <f t="shared" si="173"/>
        <v>-</v>
      </c>
      <c r="BQ37" s="49">
        <f t="shared" si="173"/>
        <v>0</v>
      </c>
      <c r="BR37" s="12" t="str">
        <f t="shared" si="173"/>
        <v>(</v>
      </c>
      <c r="BS37" s="33">
        <f t="shared" si="173"/>
        <v>0</v>
      </c>
      <c r="BT37" s="49" t="str">
        <f t="shared" si="173"/>
        <v>)</v>
      </c>
      <c r="BU37" s="12">
        <f t="shared" si="173"/>
        <v>0</v>
      </c>
      <c r="BV37" s="12" t="str">
        <f t="shared" si="173"/>
        <v>-</v>
      </c>
      <c r="BW37" s="49">
        <f t="shared" si="173"/>
        <v>0</v>
      </c>
      <c r="BX37" s="12" t="str">
        <f t="shared" si="173"/>
        <v>(</v>
      </c>
      <c r="BY37" s="33">
        <f t="shared" si="173"/>
        <v>0</v>
      </c>
      <c r="BZ37" s="49" t="str">
        <f t="shared" si="173"/>
        <v>)</v>
      </c>
      <c r="CA37" s="12">
        <f t="shared" si="173"/>
        <v>0</v>
      </c>
      <c r="CB37" s="12" t="str">
        <f t="shared" si="173"/>
        <v>-</v>
      </c>
      <c r="CC37" s="49">
        <f t="shared" si="173"/>
        <v>0</v>
      </c>
      <c r="CD37" s="12" t="str">
        <f t="shared" si="173"/>
        <v>(</v>
      </c>
      <c r="CE37" s="33">
        <f t="shared" si="173"/>
        <v>0</v>
      </c>
      <c r="CF37" s="49" t="str">
        <f t="shared" si="173"/>
        <v>)</v>
      </c>
      <c r="CG37" s="12">
        <f t="shared" si="173"/>
        <v>0</v>
      </c>
      <c r="CH37" s="12" t="str">
        <f t="shared" si="173"/>
        <v>-</v>
      </c>
      <c r="CI37" s="53">
        <f t="shared" si="173"/>
        <v>0</v>
      </c>
      <c r="CJ37" s="33">
        <f>IFERROR(IF($B$16="W",CJ23,CJ22),"0")</f>
        <v>0</v>
      </c>
      <c r="CK37" s="33">
        <f t="shared" ref="CK37:CV37" si="174">IFERROR(IF($B$16="W",CK23,CK22),"0")</f>
        <v>0</v>
      </c>
      <c r="CL37" s="33">
        <f t="shared" ref="CL37:CM37" si="175">IFERROR(IF($B$16="W",CL23,CL22),"0")</f>
        <v>0</v>
      </c>
      <c r="CM37" s="33">
        <f t="shared" si="175"/>
        <v>0</v>
      </c>
      <c r="CN37" s="33">
        <f t="shared" si="174"/>
        <v>0</v>
      </c>
      <c r="CO37" s="33">
        <f t="shared" si="174"/>
        <v>0</v>
      </c>
      <c r="CP37" s="33">
        <f t="shared" si="174"/>
        <v>0</v>
      </c>
      <c r="CQ37" s="33">
        <f t="shared" si="174"/>
        <v>0</v>
      </c>
      <c r="CR37" s="33">
        <f t="shared" si="174"/>
        <v>0</v>
      </c>
      <c r="CS37" s="33">
        <f t="shared" si="174"/>
        <v>0</v>
      </c>
      <c r="CT37" s="33">
        <f t="shared" si="174"/>
        <v>0</v>
      </c>
      <c r="CU37" s="33">
        <f t="shared" si="174"/>
        <v>0</v>
      </c>
      <c r="CV37" s="33">
        <f t="shared" si="174"/>
        <v>0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117"/>
        <v>0</v>
      </c>
      <c r="EW37" s="228" t="s">
        <v>112</v>
      </c>
      <c r="EX37" s="6">
        <f t="shared" si="118"/>
        <v>0</v>
      </c>
      <c r="EY37" s="6">
        <f t="shared" si="119"/>
        <v>0</v>
      </c>
      <c r="EZ37" s="6" t="str">
        <f>IFERROR(IF(B16="W",$EZ$23,$EZ$22),"0")</f>
        <v>0</v>
      </c>
    </row>
    <row r="38" spans="3:156" x14ac:dyDescent="0.2">
      <c r="C38" s="229" t="s">
        <v>81</v>
      </c>
      <c r="D38" s="28">
        <f>IFERROR(IF(B17="W",D23,D22),"0")</f>
        <v>0</v>
      </c>
      <c r="E38" s="86">
        <f t="shared" si="120"/>
        <v>0</v>
      </c>
      <c r="F38" s="33" t="s">
        <v>52</v>
      </c>
      <c r="G38" s="49">
        <f t="shared" si="121"/>
        <v>0</v>
      </c>
      <c r="H38" s="12" t="s">
        <v>53</v>
      </c>
      <c r="I38" s="33">
        <f t="shared" si="122"/>
        <v>0</v>
      </c>
      <c r="J38" s="49" t="s">
        <v>54</v>
      </c>
      <c r="K38" s="12">
        <f t="shared" si="123"/>
        <v>0</v>
      </c>
      <c r="L38" s="33" t="s">
        <v>52</v>
      </c>
      <c r="M38" s="49">
        <f t="shared" si="124"/>
        <v>0</v>
      </c>
      <c r="N38" s="12" t="s">
        <v>53</v>
      </c>
      <c r="O38" s="33">
        <f t="shared" si="125"/>
        <v>0</v>
      </c>
      <c r="P38" s="49" t="s">
        <v>54</v>
      </c>
      <c r="Q38" s="12">
        <f t="shared" si="126"/>
        <v>0</v>
      </c>
      <c r="R38" s="33" t="s">
        <v>52</v>
      </c>
      <c r="S38" s="49">
        <f t="shared" si="127"/>
        <v>0</v>
      </c>
      <c r="T38" s="12" t="s">
        <v>53</v>
      </c>
      <c r="U38" s="33">
        <f t="shared" si="128"/>
        <v>0</v>
      </c>
      <c r="V38" s="49" t="s">
        <v>54</v>
      </c>
      <c r="W38" s="12">
        <f t="shared" si="129"/>
        <v>0</v>
      </c>
      <c r="X38" s="33" t="s">
        <v>52</v>
      </c>
      <c r="Y38" s="49">
        <f t="shared" si="130"/>
        <v>0</v>
      </c>
      <c r="Z38" s="12" t="s">
        <v>53</v>
      </c>
      <c r="AA38" s="33">
        <f t="shared" si="131"/>
        <v>0</v>
      </c>
      <c r="AB38" s="49" t="s">
        <v>54</v>
      </c>
      <c r="AC38" s="12">
        <f t="shared" si="132"/>
        <v>0</v>
      </c>
      <c r="AD38" s="33" t="s">
        <v>52</v>
      </c>
      <c r="AE38" s="53">
        <f t="shared" si="133"/>
        <v>0</v>
      </c>
      <c r="AF38" s="12"/>
      <c r="AG38" s="43">
        <f t="shared" si="134"/>
        <v>0</v>
      </c>
      <c r="AH38" s="33" t="s">
        <v>52</v>
      </c>
      <c r="AI38" s="49">
        <f t="shared" si="135"/>
        <v>0</v>
      </c>
      <c r="AJ38" s="12" t="s">
        <v>53</v>
      </c>
      <c r="AK38" s="33">
        <f t="shared" si="136"/>
        <v>0</v>
      </c>
      <c r="AL38" s="49" t="s">
        <v>54</v>
      </c>
      <c r="AM38" s="12">
        <f t="shared" si="137"/>
        <v>0</v>
      </c>
      <c r="AN38" s="33" t="s">
        <v>52</v>
      </c>
      <c r="AO38" s="49">
        <f t="shared" si="138"/>
        <v>0</v>
      </c>
      <c r="AP38" s="12" t="s">
        <v>53</v>
      </c>
      <c r="AQ38" s="33">
        <f t="shared" si="139"/>
        <v>0</v>
      </c>
      <c r="AR38" s="49" t="s">
        <v>54</v>
      </c>
      <c r="AS38" s="12">
        <f t="shared" si="140"/>
        <v>0</v>
      </c>
      <c r="AT38" s="33" t="s">
        <v>52</v>
      </c>
      <c r="AU38" s="49">
        <f t="shared" si="141"/>
        <v>0</v>
      </c>
      <c r="AV38" s="12" t="s">
        <v>53</v>
      </c>
      <c r="AW38" s="33">
        <f t="shared" si="142"/>
        <v>0</v>
      </c>
      <c r="AX38" s="49" t="s">
        <v>54</v>
      </c>
      <c r="AY38" s="12">
        <f t="shared" si="143"/>
        <v>0</v>
      </c>
      <c r="AZ38" s="33" t="s">
        <v>52</v>
      </c>
      <c r="BA38" s="49">
        <f t="shared" si="144"/>
        <v>0</v>
      </c>
      <c r="BB38" s="12" t="s">
        <v>53</v>
      </c>
      <c r="BC38" s="33">
        <f t="shared" si="145"/>
        <v>0</v>
      </c>
      <c r="BD38" s="49" t="s">
        <v>54</v>
      </c>
      <c r="BE38" s="12">
        <f t="shared" si="146"/>
        <v>0</v>
      </c>
      <c r="BF38" s="33" t="s">
        <v>52</v>
      </c>
      <c r="BG38" s="53">
        <f t="shared" si="147"/>
        <v>0</v>
      </c>
      <c r="BH38" s="12"/>
      <c r="BI38" s="43">
        <f>IFERROR(IF($B$17="W",BI23,BI22),"0")</f>
        <v>0</v>
      </c>
      <c r="BJ38" s="12" t="str">
        <f t="shared" ref="BJ38:CI38" si="176">IFERROR(IF($B$17="W",BJ23,BJ22),"0")</f>
        <v>-</v>
      </c>
      <c r="BK38" s="49">
        <f t="shared" si="176"/>
        <v>0</v>
      </c>
      <c r="BL38" s="12" t="str">
        <f t="shared" si="176"/>
        <v>(</v>
      </c>
      <c r="BM38" s="33">
        <f t="shared" si="176"/>
        <v>0</v>
      </c>
      <c r="BN38" s="49" t="str">
        <f t="shared" si="176"/>
        <v>)</v>
      </c>
      <c r="BO38" s="12">
        <f t="shared" si="176"/>
        <v>0</v>
      </c>
      <c r="BP38" s="12" t="str">
        <f t="shared" si="176"/>
        <v>-</v>
      </c>
      <c r="BQ38" s="49">
        <f t="shared" si="176"/>
        <v>0</v>
      </c>
      <c r="BR38" s="12" t="str">
        <f t="shared" si="176"/>
        <v>(</v>
      </c>
      <c r="BS38" s="33">
        <f t="shared" si="176"/>
        <v>0</v>
      </c>
      <c r="BT38" s="49" t="str">
        <f t="shared" si="176"/>
        <v>)</v>
      </c>
      <c r="BU38" s="12">
        <f t="shared" si="176"/>
        <v>0</v>
      </c>
      <c r="BV38" s="12" t="str">
        <f t="shared" si="176"/>
        <v>-</v>
      </c>
      <c r="BW38" s="49">
        <f t="shared" si="176"/>
        <v>0</v>
      </c>
      <c r="BX38" s="12" t="str">
        <f t="shared" si="176"/>
        <v>(</v>
      </c>
      <c r="BY38" s="33">
        <f t="shared" si="176"/>
        <v>0</v>
      </c>
      <c r="BZ38" s="49" t="str">
        <f t="shared" si="176"/>
        <v>)</v>
      </c>
      <c r="CA38" s="12">
        <f t="shared" si="176"/>
        <v>0</v>
      </c>
      <c r="CB38" s="12" t="str">
        <f t="shared" si="176"/>
        <v>-</v>
      </c>
      <c r="CC38" s="49">
        <f t="shared" si="176"/>
        <v>0</v>
      </c>
      <c r="CD38" s="12" t="str">
        <f t="shared" si="176"/>
        <v>(</v>
      </c>
      <c r="CE38" s="33">
        <f t="shared" si="176"/>
        <v>0</v>
      </c>
      <c r="CF38" s="49" t="str">
        <f t="shared" si="176"/>
        <v>)</v>
      </c>
      <c r="CG38" s="12">
        <f t="shared" si="176"/>
        <v>0</v>
      </c>
      <c r="CH38" s="12" t="str">
        <f t="shared" si="176"/>
        <v>-</v>
      </c>
      <c r="CI38" s="53">
        <f t="shared" si="176"/>
        <v>0</v>
      </c>
      <c r="CJ38" s="33">
        <f>IFERROR(IF($B$17="W",CJ23,CJ22),"0")</f>
        <v>0</v>
      </c>
      <c r="CK38" s="33">
        <f t="shared" ref="CK38:CV38" si="177">IFERROR(IF($B$17="W",CK23,CK22),"0")</f>
        <v>0</v>
      </c>
      <c r="CL38" s="33">
        <f t="shared" ref="CL38:CM38" si="178">IFERROR(IF($B$17="W",CL23,CL22),"0")</f>
        <v>0</v>
      </c>
      <c r="CM38" s="33">
        <f t="shared" si="178"/>
        <v>0</v>
      </c>
      <c r="CN38" s="33">
        <f t="shared" si="177"/>
        <v>0</v>
      </c>
      <c r="CO38" s="33">
        <f t="shared" si="177"/>
        <v>0</v>
      </c>
      <c r="CP38" s="33">
        <f t="shared" si="177"/>
        <v>0</v>
      </c>
      <c r="CQ38" s="33">
        <f t="shared" si="177"/>
        <v>0</v>
      </c>
      <c r="CR38" s="33">
        <f t="shared" si="177"/>
        <v>0</v>
      </c>
      <c r="CS38" s="33">
        <f t="shared" si="177"/>
        <v>0</v>
      </c>
      <c r="CT38" s="33">
        <f t="shared" si="177"/>
        <v>0</v>
      </c>
      <c r="CU38" s="33">
        <f t="shared" si="177"/>
        <v>0</v>
      </c>
      <c r="CV38" s="33">
        <f t="shared" si="177"/>
        <v>0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117"/>
        <v>0</v>
      </c>
      <c r="EW38" s="229" t="s">
        <v>81</v>
      </c>
      <c r="EX38" s="6">
        <f t="shared" si="118"/>
        <v>0</v>
      </c>
      <c r="EY38" s="6">
        <f t="shared" si="119"/>
        <v>0</v>
      </c>
      <c r="EZ38" s="6" t="str">
        <f t="shared" si="150"/>
        <v>0</v>
      </c>
    </row>
    <row r="39" spans="3:156" x14ac:dyDescent="0.2">
      <c r="C39" s="229" t="s">
        <v>225</v>
      </c>
      <c r="D39" s="28">
        <f>IFERROR(IF(B18="W",D23,D22),"0")</f>
        <v>0</v>
      </c>
      <c r="E39" s="86">
        <f t="shared" si="120"/>
        <v>0</v>
      </c>
      <c r="F39" s="33" t="s">
        <v>52</v>
      </c>
      <c r="G39" s="49">
        <f t="shared" si="121"/>
        <v>0</v>
      </c>
      <c r="H39" s="12" t="s">
        <v>53</v>
      </c>
      <c r="I39" s="33">
        <f t="shared" si="122"/>
        <v>0</v>
      </c>
      <c r="J39" s="49" t="s">
        <v>54</v>
      </c>
      <c r="K39" s="12">
        <f t="shared" si="123"/>
        <v>0</v>
      </c>
      <c r="L39" s="33" t="s">
        <v>52</v>
      </c>
      <c r="M39" s="49">
        <f t="shared" si="124"/>
        <v>0</v>
      </c>
      <c r="N39" s="12" t="s">
        <v>53</v>
      </c>
      <c r="O39" s="33">
        <f t="shared" si="125"/>
        <v>0</v>
      </c>
      <c r="P39" s="49" t="s">
        <v>54</v>
      </c>
      <c r="Q39" s="12">
        <f t="shared" si="126"/>
        <v>0</v>
      </c>
      <c r="R39" s="33" t="s">
        <v>52</v>
      </c>
      <c r="S39" s="49">
        <f t="shared" si="127"/>
        <v>0</v>
      </c>
      <c r="T39" s="12" t="s">
        <v>53</v>
      </c>
      <c r="U39" s="33">
        <f t="shared" si="128"/>
        <v>0</v>
      </c>
      <c r="V39" s="49" t="s">
        <v>54</v>
      </c>
      <c r="W39" s="12">
        <f t="shared" si="129"/>
        <v>0</v>
      </c>
      <c r="X39" s="33" t="s">
        <v>52</v>
      </c>
      <c r="Y39" s="49">
        <f t="shared" si="130"/>
        <v>0</v>
      </c>
      <c r="Z39" s="12" t="s">
        <v>53</v>
      </c>
      <c r="AA39" s="33">
        <f t="shared" si="131"/>
        <v>0</v>
      </c>
      <c r="AB39" s="49" t="s">
        <v>54</v>
      </c>
      <c r="AC39" s="12">
        <f t="shared" si="132"/>
        <v>0</v>
      </c>
      <c r="AD39" s="33" t="s">
        <v>52</v>
      </c>
      <c r="AE39" s="53">
        <f t="shared" si="133"/>
        <v>0</v>
      </c>
      <c r="AF39" s="12"/>
      <c r="AG39" s="43">
        <f t="shared" si="134"/>
        <v>0</v>
      </c>
      <c r="AH39" s="33" t="s">
        <v>52</v>
      </c>
      <c r="AI39" s="49">
        <f t="shared" si="135"/>
        <v>0</v>
      </c>
      <c r="AJ39" s="12" t="s">
        <v>53</v>
      </c>
      <c r="AK39" s="33">
        <f t="shared" si="136"/>
        <v>0</v>
      </c>
      <c r="AL39" s="49" t="s">
        <v>54</v>
      </c>
      <c r="AM39" s="12">
        <f t="shared" si="137"/>
        <v>0</v>
      </c>
      <c r="AN39" s="33" t="s">
        <v>52</v>
      </c>
      <c r="AO39" s="49">
        <f t="shared" si="138"/>
        <v>0</v>
      </c>
      <c r="AP39" s="12" t="s">
        <v>53</v>
      </c>
      <c r="AQ39" s="33">
        <f t="shared" si="139"/>
        <v>0</v>
      </c>
      <c r="AR39" s="49" t="s">
        <v>54</v>
      </c>
      <c r="AS39" s="12">
        <f t="shared" si="140"/>
        <v>0</v>
      </c>
      <c r="AT39" s="33" t="s">
        <v>52</v>
      </c>
      <c r="AU39" s="49">
        <f t="shared" si="141"/>
        <v>0</v>
      </c>
      <c r="AV39" s="12" t="s">
        <v>53</v>
      </c>
      <c r="AW39" s="33">
        <f t="shared" si="142"/>
        <v>0</v>
      </c>
      <c r="AX39" s="49" t="s">
        <v>54</v>
      </c>
      <c r="AY39" s="12">
        <f t="shared" si="143"/>
        <v>0</v>
      </c>
      <c r="AZ39" s="33" t="s">
        <v>52</v>
      </c>
      <c r="BA39" s="49">
        <f t="shared" si="144"/>
        <v>0</v>
      </c>
      <c r="BB39" s="12" t="s">
        <v>53</v>
      </c>
      <c r="BC39" s="33">
        <f t="shared" si="145"/>
        <v>0</v>
      </c>
      <c r="BD39" s="49" t="s">
        <v>54</v>
      </c>
      <c r="BE39" s="12">
        <f t="shared" si="146"/>
        <v>0</v>
      </c>
      <c r="BF39" s="33" t="s">
        <v>52</v>
      </c>
      <c r="BG39" s="53">
        <f t="shared" si="147"/>
        <v>0</v>
      </c>
      <c r="BH39" s="12"/>
      <c r="BI39" s="43">
        <f>IFERROR(IF($B$18="W",BI23,BI22),"0")</f>
        <v>0</v>
      </c>
      <c r="BJ39" s="12" t="str">
        <f t="shared" ref="BJ39:CI39" si="179">IFERROR(IF($B$18="W",BJ23,BJ22),"0")</f>
        <v>-</v>
      </c>
      <c r="BK39" s="49">
        <f t="shared" si="179"/>
        <v>0</v>
      </c>
      <c r="BL39" s="12" t="str">
        <f t="shared" si="179"/>
        <v>(</v>
      </c>
      <c r="BM39" s="33">
        <f t="shared" si="179"/>
        <v>0</v>
      </c>
      <c r="BN39" s="49" t="str">
        <f t="shared" si="179"/>
        <v>)</v>
      </c>
      <c r="BO39" s="12">
        <f t="shared" si="179"/>
        <v>0</v>
      </c>
      <c r="BP39" s="12" t="str">
        <f t="shared" si="179"/>
        <v>-</v>
      </c>
      <c r="BQ39" s="49">
        <f t="shared" si="179"/>
        <v>0</v>
      </c>
      <c r="BR39" s="12" t="str">
        <f t="shared" si="179"/>
        <v>(</v>
      </c>
      <c r="BS39" s="33">
        <f t="shared" si="179"/>
        <v>0</v>
      </c>
      <c r="BT39" s="49" t="str">
        <f t="shared" si="179"/>
        <v>)</v>
      </c>
      <c r="BU39" s="12">
        <f t="shared" si="179"/>
        <v>0</v>
      </c>
      <c r="BV39" s="12" t="str">
        <f t="shared" si="179"/>
        <v>-</v>
      </c>
      <c r="BW39" s="49">
        <f t="shared" si="179"/>
        <v>0</v>
      </c>
      <c r="BX39" s="12" t="str">
        <f t="shared" si="179"/>
        <v>(</v>
      </c>
      <c r="BY39" s="33">
        <f t="shared" si="179"/>
        <v>0</v>
      </c>
      <c r="BZ39" s="49" t="str">
        <f t="shared" si="179"/>
        <v>)</v>
      </c>
      <c r="CA39" s="12">
        <f t="shared" si="179"/>
        <v>0</v>
      </c>
      <c r="CB39" s="12" t="str">
        <f t="shared" si="179"/>
        <v>-</v>
      </c>
      <c r="CC39" s="49">
        <f t="shared" si="179"/>
        <v>0</v>
      </c>
      <c r="CD39" s="12" t="str">
        <f t="shared" si="179"/>
        <v>(</v>
      </c>
      <c r="CE39" s="33">
        <f t="shared" si="179"/>
        <v>0</v>
      </c>
      <c r="CF39" s="49" t="str">
        <f t="shared" si="179"/>
        <v>)</v>
      </c>
      <c r="CG39" s="12">
        <f t="shared" si="179"/>
        <v>0</v>
      </c>
      <c r="CH39" s="12" t="str">
        <f t="shared" si="179"/>
        <v>-</v>
      </c>
      <c r="CI39" s="53">
        <f t="shared" si="179"/>
        <v>0</v>
      </c>
      <c r="CJ39" s="33">
        <f>IFERROR(IF($B$18="W",CJ23,CJ22),"0")</f>
        <v>0</v>
      </c>
      <c r="CK39" s="33">
        <f t="shared" ref="CK39:CV39" si="180">IFERROR(IF($B$18="W",CK23,CK22),"0")</f>
        <v>0</v>
      </c>
      <c r="CL39" s="33">
        <f t="shared" ref="CL39:CM39" si="181">IFERROR(IF($B$18="W",CL23,CL22),"0")</f>
        <v>0</v>
      </c>
      <c r="CM39" s="33">
        <f t="shared" si="181"/>
        <v>0</v>
      </c>
      <c r="CN39" s="33">
        <f t="shared" si="180"/>
        <v>0</v>
      </c>
      <c r="CO39" s="33">
        <f t="shared" si="180"/>
        <v>0</v>
      </c>
      <c r="CP39" s="33">
        <f t="shared" si="180"/>
        <v>0</v>
      </c>
      <c r="CQ39" s="33">
        <f t="shared" si="180"/>
        <v>0</v>
      </c>
      <c r="CR39" s="33">
        <f t="shared" si="180"/>
        <v>0</v>
      </c>
      <c r="CS39" s="33">
        <f t="shared" si="180"/>
        <v>0</v>
      </c>
      <c r="CT39" s="33">
        <f t="shared" si="180"/>
        <v>0</v>
      </c>
      <c r="CU39" s="33">
        <f t="shared" si="180"/>
        <v>0</v>
      </c>
      <c r="CV39" s="33">
        <f t="shared" si="180"/>
        <v>0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117"/>
        <v>0</v>
      </c>
      <c r="EW39" s="229" t="s">
        <v>225</v>
      </c>
      <c r="EX39" s="6">
        <f t="shared" si="118"/>
        <v>0</v>
      </c>
      <c r="EY39" s="6">
        <f t="shared" si="119"/>
        <v>0</v>
      </c>
      <c r="EZ39" s="6" t="str">
        <f t="shared" si="150"/>
        <v>0</v>
      </c>
    </row>
    <row r="40" spans="3:156" x14ac:dyDescent="0.2">
      <c r="C40" s="38" t="s">
        <v>42</v>
      </c>
      <c r="D40" s="28">
        <f t="shared" ref="D40:D54" si="182">IFERROR(IF(B4="W",D$22,D$23),"0")</f>
        <v>0</v>
      </c>
      <c r="E40" s="86">
        <f>IFERROR(IF(B4="W",$E$22,$E$23),"0")</f>
        <v>0</v>
      </c>
      <c r="F40" s="33" t="s">
        <v>52</v>
      </c>
      <c r="G40" s="49">
        <f>IFERROR(IF(B4="W",$G$22,$G$23),"0")</f>
        <v>0</v>
      </c>
      <c r="H40" s="12" t="s">
        <v>53</v>
      </c>
      <c r="I40" s="33">
        <f>IFERROR(IF(B4="W",I$22,I$23),"0")</f>
        <v>0</v>
      </c>
      <c r="J40" s="49" t="s">
        <v>54</v>
      </c>
      <c r="K40" s="12">
        <f>IFERROR(IF(B4="W",K$22,K$23),"0")</f>
        <v>0</v>
      </c>
      <c r="L40" s="33" t="s">
        <v>52</v>
      </c>
      <c r="M40" s="49">
        <f>IFERROR(IF(B4="W",M$22,M$23),"0")</f>
        <v>0</v>
      </c>
      <c r="N40" s="12" t="s">
        <v>53</v>
      </c>
      <c r="O40" s="33">
        <f>IFERROR(IF(B4="W",O$22,O$23),"0")</f>
        <v>0</v>
      </c>
      <c r="P40" s="49" t="s">
        <v>54</v>
      </c>
      <c r="Q40" s="12">
        <f>IFERROR(IF(B4="W",Q$22,Q$23),"0")</f>
        <v>0</v>
      </c>
      <c r="R40" s="33" t="s">
        <v>52</v>
      </c>
      <c r="S40" s="49">
        <f>IFERROR(IF(B4="W",S$22,S$23),"0")</f>
        <v>0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0</v>
      </c>
      <c r="X40" s="33" t="s">
        <v>52</v>
      </c>
      <c r="Y40" s="49">
        <f>IFERROR(IF(B4="W",Y$22,Y$23),"0")</f>
        <v>0</v>
      </c>
      <c r="Z40" s="12" t="s">
        <v>53</v>
      </c>
      <c r="AA40" s="33">
        <f>IFERROR(IF(B4="W",AA$22,AA$23),"0")</f>
        <v>0</v>
      </c>
      <c r="AB40" s="49" t="s">
        <v>54</v>
      </c>
      <c r="AC40" s="12">
        <f>IFERROR(IF(B4="W",AC$22,AC$23),"0")</f>
        <v>0</v>
      </c>
      <c r="AD40" s="33" t="s">
        <v>52</v>
      </c>
      <c r="AE40" s="53">
        <f>IFERROR(IF(B4="W",AE$22,AE$23),"0")</f>
        <v>0</v>
      </c>
      <c r="AF40" s="12"/>
      <c r="AG40" s="43">
        <f>IFERROR(IF(B4="W",AG$22,AG$23),"0")</f>
        <v>0</v>
      </c>
      <c r="AH40" s="33" t="s">
        <v>52</v>
      </c>
      <c r="AI40" s="49">
        <f>IFERROR(IF(B4="W",AI$22,AI$23),"0")</f>
        <v>0</v>
      </c>
      <c r="AJ40" s="12" t="s">
        <v>53</v>
      </c>
      <c r="AK40" s="33">
        <f>IFERROR(IF(B4="W",AK$22,AK$23),"0")</f>
        <v>0</v>
      </c>
      <c r="AL40" s="49" t="s">
        <v>54</v>
      </c>
      <c r="AM40" s="12">
        <f>IFERROR(IF(B4="W",AM$22,AM$23),"0")</f>
        <v>0</v>
      </c>
      <c r="AN40" s="33" t="s">
        <v>52</v>
      </c>
      <c r="AO40" s="49">
        <f>IFERROR(IF(B4="W",AO$22,AO$23),"0")</f>
        <v>0</v>
      </c>
      <c r="AP40" s="12" t="s">
        <v>53</v>
      </c>
      <c r="AQ40" s="33">
        <f>IFERROR(IF(B4="W",AQ$22,AQ$23),"0")</f>
        <v>0</v>
      </c>
      <c r="AR40" s="49" t="s">
        <v>54</v>
      </c>
      <c r="AS40" s="12">
        <f>IFERROR(IF(B4="W",AS$22,AS$23),"0")</f>
        <v>0</v>
      </c>
      <c r="AT40" s="33" t="s">
        <v>52</v>
      </c>
      <c r="AU40" s="49">
        <f>IFERROR(IF(B4="W",AU$22,AU$23),"0")</f>
        <v>0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0</v>
      </c>
      <c r="AZ40" s="33" t="s">
        <v>52</v>
      </c>
      <c r="BA40" s="49">
        <f>IFERROR(IF(B4="W",BA$22,BA$23),"0")</f>
        <v>0</v>
      </c>
      <c r="BB40" s="12" t="s">
        <v>53</v>
      </c>
      <c r="BC40" s="33">
        <f>IFERROR(IF(B4="W",BC$22,BC$23),"0")</f>
        <v>0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0</v>
      </c>
      <c r="BJ40" s="33" t="s">
        <v>52</v>
      </c>
      <c r="BK40" s="49">
        <f>IFERROR(IF($B$4="W",BK22,BK23),"0")</f>
        <v>0</v>
      </c>
      <c r="BL40" s="12" t="s">
        <v>53</v>
      </c>
      <c r="BM40" s="33">
        <f>IFERROR(IF($B$4="W",BM22,BM23),"0")</f>
        <v>0</v>
      </c>
      <c r="BN40" s="49" t="s">
        <v>54</v>
      </c>
      <c r="BO40" s="12">
        <f>IFERROR(IF($B$4="W",BO22,BO23),"0")</f>
        <v>0</v>
      </c>
      <c r="BP40" s="33" t="s">
        <v>52</v>
      </c>
      <c r="BQ40" s="49">
        <f>IFERROR(IF($B$4="W",BQ22,BQ23),"0")</f>
        <v>0</v>
      </c>
      <c r="BR40" s="12" t="s">
        <v>53</v>
      </c>
      <c r="BS40" s="33">
        <f>IFERROR(IF($B$4="W",BS22,BS23),"0")</f>
        <v>0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0</v>
      </c>
      <c r="CB40" s="33" t="s">
        <v>52</v>
      </c>
      <c r="CC40" s="49">
        <f>IFERROR(IF($B$4="W",CC22,CC23),"0")</f>
        <v>0</v>
      </c>
      <c r="CD40" s="12" t="s">
        <v>53</v>
      </c>
      <c r="CE40" s="33">
        <f>IFERROR(IF($B$4="W",CE22,CE23),"0")</f>
        <v>0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83">IFERROR(IF($B$4="W",CI22,CI23),"0")</f>
        <v>0</v>
      </c>
      <c r="CJ40" s="33">
        <f t="shared" si="183"/>
        <v>0</v>
      </c>
      <c r="CK40" s="33">
        <f t="shared" si="183"/>
        <v>0</v>
      </c>
      <c r="CL40" s="33">
        <f t="shared" ref="CL40:CM40" si="184">IFERROR(IF($B$4="W",CL22,CL23),"0")</f>
        <v>0</v>
      </c>
      <c r="CM40" s="33">
        <f t="shared" si="184"/>
        <v>0</v>
      </c>
      <c r="CN40" s="33">
        <f t="shared" si="183"/>
        <v>0</v>
      </c>
      <c r="CO40" s="33">
        <f t="shared" si="183"/>
        <v>0</v>
      </c>
      <c r="CP40" s="33">
        <f t="shared" si="183"/>
        <v>0</v>
      </c>
      <c r="CQ40" s="33">
        <f t="shared" si="183"/>
        <v>0</v>
      </c>
      <c r="CR40" s="33">
        <f t="shared" si="183"/>
        <v>0</v>
      </c>
      <c r="CS40" s="33">
        <f t="shared" si="183"/>
        <v>0</v>
      </c>
      <c r="CT40" s="33">
        <f t="shared" si="183"/>
        <v>0</v>
      </c>
      <c r="CU40" s="33">
        <f t="shared" si="183"/>
        <v>0</v>
      </c>
      <c r="CV40" s="58">
        <f t="shared" si="183"/>
        <v>0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85">IFERROR(IF(B4="W",$EG$22,$EG$23),"0")</f>
        <v>0</v>
      </c>
      <c r="EW40" s="38" t="s">
        <v>42</v>
      </c>
      <c r="EX40" s="6">
        <f t="shared" ref="EX40:EX54" si="186">IFERROR(IF(B4="W",$EX$22,$EX$23),"0")</f>
        <v>0</v>
      </c>
      <c r="EY40" s="6">
        <f>IFERROR(IF(B4="W",$EY$22,$EY$23),"0")</f>
        <v>0</v>
      </c>
      <c r="EZ40" s="6" t="str">
        <f>IFERROR(IF(B4="W",$EZ$22,$EZ$23),"0")</f>
        <v>0</v>
      </c>
    </row>
    <row r="41" spans="3:156" x14ac:dyDescent="0.2">
      <c r="C41" s="38" t="s">
        <v>43</v>
      </c>
      <c r="D41" s="28">
        <f t="shared" si="182"/>
        <v>0</v>
      </c>
      <c r="E41" s="86">
        <f t="shared" ref="E41:E54" si="187">IFERROR(IF(B5="W",$E$22,$E$23),"0")</f>
        <v>0</v>
      </c>
      <c r="F41" s="33" t="s">
        <v>52</v>
      </c>
      <c r="G41" s="49">
        <f t="shared" ref="G41:G54" si="188">IFERROR(IF(B5="W",$G$22,$G$23),"0")</f>
        <v>0</v>
      </c>
      <c r="H41" s="12" t="s">
        <v>53</v>
      </c>
      <c r="I41" s="33">
        <f t="shared" ref="I41:I54" si="189">IFERROR(IF(B5="W",I$22,I$23),"0")</f>
        <v>0</v>
      </c>
      <c r="J41" s="49" t="s">
        <v>54</v>
      </c>
      <c r="K41" s="12">
        <f t="shared" ref="K41:K54" si="190">IFERROR(IF(B5="W",K$22,K$23),"0")</f>
        <v>0</v>
      </c>
      <c r="L41" s="33" t="s">
        <v>52</v>
      </c>
      <c r="M41" s="49">
        <f t="shared" ref="M41:M54" si="191">IFERROR(IF(B5="W",M$22,M$23),"0")</f>
        <v>0</v>
      </c>
      <c r="N41" s="12" t="s">
        <v>53</v>
      </c>
      <c r="O41" s="33">
        <f t="shared" ref="O41:O54" si="192">IFERROR(IF(B5="W",O$22,O$23),"0")</f>
        <v>0</v>
      </c>
      <c r="P41" s="49" t="s">
        <v>54</v>
      </c>
      <c r="Q41" s="12">
        <f t="shared" ref="Q41:Q54" si="193">IFERROR(IF(B5="W",Q$22,Q$23),"0")</f>
        <v>0</v>
      </c>
      <c r="R41" s="33" t="s">
        <v>52</v>
      </c>
      <c r="S41" s="49">
        <f t="shared" ref="S41:S54" si="194">IFERROR(IF(B5="W",S$22,S$23),"0")</f>
        <v>0</v>
      </c>
      <c r="T41" s="12" t="s">
        <v>53</v>
      </c>
      <c r="U41" s="33">
        <f t="shared" ref="U41:U54" si="195">IFERROR(IF(B5="W",U$22,U$23),"0")</f>
        <v>0</v>
      </c>
      <c r="V41" s="49" t="s">
        <v>54</v>
      </c>
      <c r="W41" s="12">
        <f t="shared" ref="W41:W54" si="196">IFERROR(IF(B5="W",W$22,W$23),"0")</f>
        <v>0</v>
      </c>
      <c r="X41" s="33" t="s">
        <v>52</v>
      </c>
      <c r="Y41" s="49">
        <f t="shared" ref="Y41:Y54" si="197">IFERROR(IF(B5="W",Y$22,Y$23),"0")</f>
        <v>0</v>
      </c>
      <c r="Z41" s="12" t="s">
        <v>53</v>
      </c>
      <c r="AA41" s="33">
        <f t="shared" ref="AA41:AA54" si="198">IFERROR(IF(B5="W",AA$22,AA$23),"0")</f>
        <v>0</v>
      </c>
      <c r="AB41" s="49" t="s">
        <v>54</v>
      </c>
      <c r="AC41" s="12">
        <f t="shared" ref="AC41:AC54" si="199">IFERROR(IF(B5="W",AC$22,AC$23),"0")</f>
        <v>0</v>
      </c>
      <c r="AD41" s="33" t="s">
        <v>52</v>
      </c>
      <c r="AE41" s="53">
        <f t="shared" ref="AE41:AE54" si="200">IFERROR(IF(B5="W",AE$22,AE$23),"0")</f>
        <v>0</v>
      </c>
      <c r="AF41" s="12"/>
      <c r="AG41" s="43">
        <f t="shared" ref="AG41:AG54" si="201">IFERROR(IF(B5="W",AG$22,AG$23),"0")</f>
        <v>0</v>
      </c>
      <c r="AH41" s="33" t="s">
        <v>52</v>
      </c>
      <c r="AI41" s="49">
        <f t="shared" ref="AI41:AI54" si="202">IFERROR(IF(B5="W",AI$22,AI$23),"0")</f>
        <v>0</v>
      </c>
      <c r="AJ41" s="12" t="s">
        <v>53</v>
      </c>
      <c r="AK41" s="33">
        <f t="shared" ref="AK41:AK54" si="203">IFERROR(IF(B5="W",AK$22,AK$23),"0")</f>
        <v>0</v>
      </c>
      <c r="AL41" s="49" t="s">
        <v>54</v>
      </c>
      <c r="AM41" s="12">
        <f t="shared" ref="AM41:AM54" si="204">IFERROR(IF(B5="W",AM$22,AM$23),"0")</f>
        <v>0</v>
      </c>
      <c r="AN41" s="33" t="s">
        <v>52</v>
      </c>
      <c r="AO41" s="49">
        <f t="shared" ref="AO41:AO54" si="205">IFERROR(IF(B5="W",AO$22,AO$23),"0")</f>
        <v>0</v>
      </c>
      <c r="AP41" s="12" t="s">
        <v>53</v>
      </c>
      <c r="AQ41" s="33">
        <f t="shared" ref="AQ41:AQ54" si="206">IFERROR(IF(B5="W",AQ$22,AQ$23),"0")</f>
        <v>0</v>
      </c>
      <c r="AR41" s="49" t="s">
        <v>54</v>
      </c>
      <c r="AS41" s="12">
        <f t="shared" ref="AS41:AS54" si="207">IFERROR(IF(B5="W",AS$22,AS$23),"0")</f>
        <v>0</v>
      </c>
      <c r="AT41" s="33" t="s">
        <v>52</v>
      </c>
      <c r="AU41" s="49">
        <f t="shared" ref="AU41:AU54" si="208">IFERROR(IF(B5="W",AU$22,AU$23),"0")</f>
        <v>0</v>
      </c>
      <c r="AV41" s="12" t="s">
        <v>53</v>
      </c>
      <c r="AW41" s="33">
        <f t="shared" ref="AW41:AW54" si="209">IFERROR(IF(B5="W",AW$22,AW$23),"0")</f>
        <v>0</v>
      </c>
      <c r="AX41" s="49" t="s">
        <v>54</v>
      </c>
      <c r="AY41" s="12">
        <f t="shared" ref="AY41:AY54" si="210">IFERROR(IF(B5="W",AY$22,AY$23),"0")</f>
        <v>0</v>
      </c>
      <c r="AZ41" s="33" t="s">
        <v>52</v>
      </c>
      <c r="BA41" s="49">
        <f t="shared" ref="BA41:BA54" si="211">IFERROR(IF(B5="W",BA$22,BA$23),"0")</f>
        <v>0</v>
      </c>
      <c r="BB41" s="12" t="s">
        <v>53</v>
      </c>
      <c r="BC41" s="33">
        <f t="shared" ref="BC41:BC54" si="212">IFERROR(IF(B5="W",BC$22,BC$23),"0")</f>
        <v>0</v>
      </c>
      <c r="BD41" s="49" t="s">
        <v>54</v>
      </c>
      <c r="BE41" s="12">
        <f t="shared" ref="BE41:BE54" si="213">IFERROR(IF(B5="W",BE$22,BE$23),"0")</f>
        <v>0</v>
      </c>
      <c r="BF41" s="33" t="s">
        <v>52</v>
      </c>
      <c r="BG41" s="53">
        <f t="shared" ref="BG41:BG54" si="214">IFERROR(IF(B5="W",BG$22,BG$23),"0")</f>
        <v>0</v>
      </c>
      <c r="BH41" s="12"/>
      <c r="BI41" s="43">
        <f>IFERROR(IF($B$5="W",BI22,BI23),"0")</f>
        <v>0</v>
      </c>
      <c r="BJ41" s="33" t="s">
        <v>52</v>
      </c>
      <c r="BK41" s="49">
        <f>IFERROR(IF($B$5="W",BK22,BK23),"0")</f>
        <v>0</v>
      </c>
      <c r="BL41" s="12" t="s">
        <v>53</v>
      </c>
      <c r="BM41" s="33">
        <f>IFERROR(IF($B$5="W",BM22,BM23),"0")</f>
        <v>0</v>
      </c>
      <c r="BN41" s="49" t="s">
        <v>54</v>
      </c>
      <c r="BO41" s="12">
        <f>IFERROR(IF($B$5="W",BO22,BO23),"0")</f>
        <v>0</v>
      </c>
      <c r="BP41" s="33" t="s">
        <v>52</v>
      </c>
      <c r="BQ41" s="49">
        <f>IFERROR(IF($B$5="W",BQ22,BQ23),"0")</f>
        <v>0</v>
      </c>
      <c r="BR41" s="12" t="s">
        <v>53</v>
      </c>
      <c r="BS41" s="33">
        <f>IFERROR(IF($B$5="W",BS22,BS23),"0")</f>
        <v>0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0</v>
      </c>
      <c r="CB41" s="33" t="s">
        <v>52</v>
      </c>
      <c r="CC41" s="49">
        <f>IFERROR(IF($B$5="W",CC22,CC23),"0")</f>
        <v>0</v>
      </c>
      <c r="CD41" s="12" t="s">
        <v>53</v>
      </c>
      <c r="CE41" s="33">
        <f>IFERROR(IF($B$5="W",CE22,CE23),"0")</f>
        <v>0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215">IFERROR(IF($B$5="W",CI22,CI23),"0")</f>
        <v>0</v>
      </c>
      <c r="CJ41" s="33">
        <f t="shared" si="215"/>
        <v>0</v>
      </c>
      <c r="CK41" s="33">
        <f t="shared" si="215"/>
        <v>0</v>
      </c>
      <c r="CL41" s="33">
        <f t="shared" ref="CL41:CM41" si="216">IFERROR(IF($B$5="W",CL22,CL23),"0")</f>
        <v>0</v>
      </c>
      <c r="CM41" s="33">
        <f t="shared" si="216"/>
        <v>0</v>
      </c>
      <c r="CN41" s="33">
        <f t="shared" si="215"/>
        <v>0</v>
      </c>
      <c r="CO41" s="33">
        <f t="shared" si="215"/>
        <v>0</v>
      </c>
      <c r="CP41" s="33">
        <f t="shared" si="215"/>
        <v>0</v>
      </c>
      <c r="CQ41" s="33">
        <f t="shared" si="215"/>
        <v>0</v>
      </c>
      <c r="CR41" s="33">
        <f t="shared" si="215"/>
        <v>0</v>
      </c>
      <c r="CS41" s="33">
        <f t="shared" si="215"/>
        <v>0</v>
      </c>
      <c r="CT41" s="33">
        <f t="shared" si="215"/>
        <v>0</v>
      </c>
      <c r="CU41" s="33">
        <f t="shared" si="215"/>
        <v>0</v>
      </c>
      <c r="CV41" s="58">
        <f t="shared" si="215"/>
        <v>0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85"/>
        <v>0</v>
      </c>
      <c r="EW41" s="38" t="s">
        <v>43</v>
      </c>
      <c r="EX41" s="6">
        <f t="shared" si="186"/>
        <v>0</v>
      </c>
      <c r="EY41" s="6">
        <f t="shared" ref="EY41:EY54" si="217">IFERROR(IF(B5="W",$EY$22,$EY$23),"0")</f>
        <v>0</v>
      </c>
      <c r="EZ41" s="6" t="str">
        <f t="shared" ref="EZ41:EZ54" si="218">IFERROR(IF(B5="W",$EZ$22,$EZ$23),"0")</f>
        <v>0</v>
      </c>
    </row>
    <row r="42" spans="3:156" x14ac:dyDescent="0.2">
      <c r="C42" s="38" t="s">
        <v>44</v>
      </c>
      <c r="D42" s="28">
        <f t="shared" si="182"/>
        <v>0</v>
      </c>
      <c r="E42" s="86">
        <f t="shared" si="187"/>
        <v>0</v>
      </c>
      <c r="F42" s="33" t="s">
        <v>52</v>
      </c>
      <c r="G42" s="49">
        <f t="shared" si="188"/>
        <v>0</v>
      </c>
      <c r="H42" s="12" t="s">
        <v>53</v>
      </c>
      <c r="I42" s="33">
        <f t="shared" si="189"/>
        <v>0</v>
      </c>
      <c r="J42" s="49" t="s">
        <v>54</v>
      </c>
      <c r="K42" s="12">
        <f t="shared" si="190"/>
        <v>0</v>
      </c>
      <c r="L42" s="33" t="s">
        <v>52</v>
      </c>
      <c r="M42" s="49">
        <f t="shared" si="191"/>
        <v>0</v>
      </c>
      <c r="N42" s="12" t="s">
        <v>53</v>
      </c>
      <c r="O42" s="33">
        <f t="shared" si="192"/>
        <v>0</v>
      </c>
      <c r="P42" s="49" t="s">
        <v>54</v>
      </c>
      <c r="Q42" s="12">
        <f t="shared" si="193"/>
        <v>0</v>
      </c>
      <c r="R42" s="33" t="s">
        <v>52</v>
      </c>
      <c r="S42" s="49">
        <f t="shared" si="194"/>
        <v>0</v>
      </c>
      <c r="T42" s="12" t="s">
        <v>53</v>
      </c>
      <c r="U42" s="33">
        <f t="shared" si="195"/>
        <v>0</v>
      </c>
      <c r="V42" s="49" t="s">
        <v>54</v>
      </c>
      <c r="W42" s="12">
        <f t="shared" si="196"/>
        <v>0</v>
      </c>
      <c r="X42" s="33" t="s">
        <v>52</v>
      </c>
      <c r="Y42" s="49">
        <f t="shared" si="197"/>
        <v>0</v>
      </c>
      <c r="Z42" s="12" t="s">
        <v>53</v>
      </c>
      <c r="AA42" s="33">
        <f t="shared" si="198"/>
        <v>0</v>
      </c>
      <c r="AB42" s="49" t="s">
        <v>54</v>
      </c>
      <c r="AC42" s="12">
        <f t="shared" si="199"/>
        <v>0</v>
      </c>
      <c r="AD42" s="33" t="s">
        <v>52</v>
      </c>
      <c r="AE42" s="53">
        <f t="shared" si="200"/>
        <v>0</v>
      </c>
      <c r="AF42" s="12"/>
      <c r="AG42" s="43">
        <f t="shared" si="201"/>
        <v>0</v>
      </c>
      <c r="AH42" s="33" t="s">
        <v>52</v>
      </c>
      <c r="AI42" s="49">
        <f t="shared" si="202"/>
        <v>0</v>
      </c>
      <c r="AJ42" s="12" t="s">
        <v>53</v>
      </c>
      <c r="AK42" s="33">
        <f t="shared" si="203"/>
        <v>0</v>
      </c>
      <c r="AL42" s="49" t="s">
        <v>54</v>
      </c>
      <c r="AM42" s="12">
        <f t="shared" si="204"/>
        <v>0</v>
      </c>
      <c r="AN42" s="33" t="s">
        <v>52</v>
      </c>
      <c r="AO42" s="49">
        <f t="shared" si="205"/>
        <v>0</v>
      </c>
      <c r="AP42" s="12" t="s">
        <v>53</v>
      </c>
      <c r="AQ42" s="33">
        <f t="shared" si="206"/>
        <v>0</v>
      </c>
      <c r="AR42" s="49" t="s">
        <v>54</v>
      </c>
      <c r="AS42" s="12">
        <f t="shared" si="207"/>
        <v>0</v>
      </c>
      <c r="AT42" s="33" t="s">
        <v>52</v>
      </c>
      <c r="AU42" s="49">
        <f t="shared" si="208"/>
        <v>0</v>
      </c>
      <c r="AV42" s="12" t="s">
        <v>53</v>
      </c>
      <c r="AW42" s="33">
        <f t="shared" si="209"/>
        <v>0</v>
      </c>
      <c r="AX42" s="49" t="s">
        <v>54</v>
      </c>
      <c r="AY42" s="12">
        <f t="shared" si="210"/>
        <v>0</v>
      </c>
      <c r="AZ42" s="33" t="s">
        <v>52</v>
      </c>
      <c r="BA42" s="49">
        <f t="shared" si="211"/>
        <v>0</v>
      </c>
      <c r="BB42" s="12" t="s">
        <v>53</v>
      </c>
      <c r="BC42" s="33">
        <f t="shared" si="212"/>
        <v>0</v>
      </c>
      <c r="BD42" s="49" t="s">
        <v>54</v>
      </c>
      <c r="BE42" s="12">
        <f t="shared" si="213"/>
        <v>0</v>
      </c>
      <c r="BF42" s="33" t="s">
        <v>52</v>
      </c>
      <c r="BG42" s="53">
        <f t="shared" si="214"/>
        <v>0</v>
      </c>
      <c r="BH42" s="12"/>
      <c r="BI42" s="43">
        <f>IFERROR(IF($B$6="W",BI22,BI23),"0")</f>
        <v>0</v>
      </c>
      <c r="BJ42" s="33" t="s">
        <v>52</v>
      </c>
      <c r="BK42" s="49">
        <f>IFERROR(IF($B$6="W",BK22,BK23),"0")</f>
        <v>0</v>
      </c>
      <c r="BL42" s="12" t="s">
        <v>53</v>
      </c>
      <c r="BM42" s="33">
        <f>IFERROR(IF($B$6="W",BM22,BM23),"0")</f>
        <v>0</v>
      </c>
      <c r="BN42" s="49" t="s">
        <v>54</v>
      </c>
      <c r="BO42" s="12">
        <f>IFERROR(IF($B$6="W",BO22,BO23),"0")</f>
        <v>0</v>
      </c>
      <c r="BP42" s="33" t="s">
        <v>52</v>
      </c>
      <c r="BQ42" s="49">
        <f>IFERROR(IF($B$6="W",BQ22,BQ23),"0")</f>
        <v>0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0</v>
      </c>
      <c r="CB42" s="33" t="s">
        <v>52</v>
      </c>
      <c r="CC42" s="49">
        <f>IFERROR(IF($B$6="W",CC22,CC23),"0")</f>
        <v>0</v>
      </c>
      <c r="CD42" s="12" t="s">
        <v>53</v>
      </c>
      <c r="CE42" s="33">
        <f>IFERROR(IF($B$6="W",CE22,CE23),"0")</f>
        <v>0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219">IFERROR(IF($B$6="W",CI22,CI23),"0")</f>
        <v>0</v>
      </c>
      <c r="CJ42" s="33">
        <f t="shared" si="219"/>
        <v>0</v>
      </c>
      <c r="CK42" s="33">
        <f t="shared" si="219"/>
        <v>0</v>
      </c>
      <c r="CL42" s="33">
        <f t="shared" ref="CL42:CM42" si="220">IFERROR(IF($B$6="W",CL22,CL23),"0")</f>
        <v>0</v>
      </c>
      <c r="CM42" s="33">
        <f t="shared" si="220"/>
        <v>0</v>
      </c>
      <c r="CN42" s="33">
        <f t="shared" si="219"/>
        <v>0</v>
      </c>
      <c r="CO42" s="33">
        <f t="shared" si="219"/>
        <v>0</v>
      </c>
      <c r="CP42" s="33">
        <f t="shared" si="219"/>
        <v>0</v>
      </c>
      <c r="CQ42" s="33">
        <f t="shared" si="219"/>
        <v>0</v>
      </c>
      <c r="CR42" s="33">
        <f t="shared" si="219"/>
        <v>0</v>
      </c>
      <c r="CS42" s="33">
        <f t="shared" si="219"/>
        <v>0</v>
      </c>
      <c r="CT42" s="33">
        <f t="shared" si="219"/>
        <v>0</v>
      </c>
      <c r="CU42" s="33">
        <f t="shared" si="219"/>
        <v>0</v>
      </c>
      <c r="CV42" s="58">
        <f t="shared" si="219"/>
        <v>0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85"/>
        <v>0</v>
      </c>
      <c r="EW42" s="38" t="s">
        <v>44</v>
      </c>
      <c r="EX42" s="6">
        <f t="shared" si="186"/>
        <v>0</v>
      </c>
      <c r="EY42" s="6">
        <f t="shared" si="217"/>
        <v>0</v>
      </c>
      <c r="EZ42" s="6" t="str">
        <f t="shared" si="218"/>
        <v>0</v>
      </c>
    </row>
    <row r="43" spans="3:156" x14ac:dyDescent="0.2">
      <c r="C43" s="38" t="s">
        <v>45</v>
      </c>
      <c r="D43" s="28">
        <f t="shared" si="182"/>
        <v>0</v>
      </c>
      <c r="E43" s="86">
        <f t="shared" si="187"/>
        <v>0</v>
      </c>
      <c r="F43" s="33" t="s">
        <v>52</v>
      </c>
      <c r="G43" s="49">
        <f t="shared" si="188"/>
        <v>0</v>
      </c>
      <c r="H43" s="12" t="s">
        <v>53</v>
      </c>
      <c r="I43" s="33">
        <f t="shared" si="189"/>
        <v>0</v>
      </c>
      <c r="J43" s="49" t="s">
        <v>54</v>
      </c>
      <c r="K43" s="12">
        <f t="shared" si="190"/>
        <v>0</v>
      </c>
      <c r="L43" s="33" t="s">
        <v>52</v>
      </c>
      <c r="M43" s="49">
        <f t="shared" si="191"/>
        <v>0</v>
      </c>
      <c r="N43" s="12" t="s">
        <v>53</v>
      </c>
      <c r="O43" s="33">
        <f t="shared" si="192"/>
        <v>0</v>
      </c>
      <c r="P43" s="49" t="s">
        <v>54</v>
      </c>
      <c r="Q43" s="12">
        <f t="shared" si="193"/>
        <v>0</v>
      </c>
      <c r="R43" s="33" t="s">
        <v>52</v>
      </c>
      <c r="S43" s="49">
        <f t="shared" si="194"/>
        <v>0</v>
      </c>
      <c r="T43" s="12" t="s">
        <v>53</v>
      </c>
      <c r="U43" s="33">
        <f t="shared" si="195"/>
        <v>0</v>
      </c>
      <c r="V43" s="49" t="s">
        <v>54</v>
      </c>
      <c r="W43" s="12">
        <f t="shared" si="196"/>
        <v>0</v>
      </c>
      <c r="X43" s="33" t="s">
        <v>52</v>
      </c>
      <c r="Y43" s="49">
        <f t="shared" si="197"/>
        <v>0</v>
      </c>
      <c r="Z43" s="12" t="s">
        <v>53</v>
      </c>
      <c r="AA43" s="33">
        <f t="shared" si="198"/>
        <v>0</v>
      </c>
      <c r="AB43" s="49" t="s">
        <v>54</v>
      </c>
      <c r="AC43" s="12">
        <f t="shared" si="199"/>
        <v>0</v>
      </c>
      <c r="AD43" s="33" t="s">
        <v>52</v>
      </c>
      <c r="AE43" s="53">
        <f t="shared" si="200"/>
        <v>0</v>
      </c>
      <c r="AF43" s="12"/>
      <c r="AG43" s="43">
        <f t="shared" si="201"/>
        <v>0</v>
      </c>
      <c r="AH43" s="33" t="s">
        <v>52</v>
      </c>
      <c r="AI43" s="49">
        <f t="shared" si="202"/>
        <v>0</v>
      </c>
      <c r="AJ43" s="12" t="s">
        <v>53</v>
      </c>
      <c r="AK43" s="33">
        <f t="shared" si="203"/>
        <v>0</v>
      </c>
      <c r="AL43" s="49" t="s">
        <v>54</v>
      </c>
      <c r="AM43" s="12">
        <f t="shared" si="204"/>
        <v>0</v>
      </c>
      <c r="AN43" s="33" t="s">
        <v>52</v>
      </c>
      <c r="AO43" s="49">
        <f t="shared" si="205"/>
        <v>0</v>
      </c>
      <c r="AP43" s="12" t="s">
        <v>53</v>
      </c>
      <c r="AQ43" s="33">
        <f t="shared" si="206"/>
        <v>0</v>
      </c>
      <c r="AR43" s="49" t="s">
        <v>54</v>
      </c>
      <c r="AS43" s="12">
        <f t="shared" si="207"/>
        <v>0</v>
      </c>
      <c r="AT43" s="33" t="s">
        <v>52</v>
      </c>
      <c r="AU43" s="49">
        <f t="shared" si="208"/>
        <v>0</v>
      </c>
      <c r="AV43" s="12" t="s">
        <v>53</v>
      </c>
      <c r="AW43" s="33">
        <f t="shared" si="209"/>
        <v>0</v>
      </c>
      <c r="AX43" s="49" t="s">
        <v>54</v>
      </c>
      <c r="AY43" s="12">
        <f t="shared" si="210"/>
        <v>0</v>
      </c>
      <c r="AZ43" s="33" t="s">
        <v>52</v>
      </c>
      <c r="BA43" s="49">
        <f t="shared" si="211"/>
        <v>0</v>
      </c>
      <c r="BB43" s="12" t="s">
        <v>53</v>
      </c>
      <c r="BC43" s="33">
        <f t="shared" si="212"/>
        <v>0</v>
      </c>
      <c r="BD43" s="49" t="s">
        <v>54</v>
      </c>
      <c r="BE43" s="12">
        <f t="shared" si="213"/>
        <v>0</v>
      </c>
      <c r="BF43" s="33" t="s">
        <v>52</v>
      </c>
      <c r="BG43" s="53">
        <f t="shared" si="214"/>
        <v>0</v>
      </c>
      <c r="BH43" s="12"/>
      <c r="BI43" s="43">
        <f>IFERROR(IF($B$7="W",BI22,BI23),"0")</f>
        <v>0</v>
      </c>
      <c r="BJ43" s="33" t="s">
        <v>52</v>
      </c>
      <c r="BK43" s="49">
        <f>IFERROR(IF($B$7="W",BK22,BK23),"0")</f>
        <v>0</v>
      </c>
      <c r="BL43" s="12" t="s">
        <v>53</v>
      </c>
      <c r="BM43" s="33">
        <f>IFERROR(IF($B$7="W",BM22,BM23),"0")</f>
        <v>0</v>
      </c>
      <c r="BN43" s="49" t="s">
        <v>54</v>
      </c>
      <c r="BO43" s="12">
        <f>IFERROR(IF($B$7="W",BO22,BO23),"0")</f>
        <v>0</v>
      </c>
      <c r="BP43" s="33" t="s">
        <v>52</v>
      </c>
      <c r="BQ43" s="49">
        <f>IFERROR(IF($B$7="W",BQ22,BQ23),"0")</f>
        <v>0</v>
      </c>
      <c r="BR43" s="12" t="s">
        <v>53</v>
      </c>
      <c r="BS43" s="33">
        <f>IFERROR(IF($B$7="W",BS22,BS23),"0")</f>
        <v>0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0</v>
      </c>
      <c r="CB43" s="33" t="s">
        <v>52</v>
      </c>
      <c r="CC43" s="49">
        <f>IFERROR(IF($B$7="W",CC22,CC23),"0")</f>
        <v>0</v>
      </c>
      <c r="CD43" s="12" t="s">
        <v>53</v>
      </c>
      <c r="CE43" s="33">
        <f>IFERROR(IF($B$7="W",CE22,CE23),"0")</f>
        <v>0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221">IFERROR(IF($B$7="W",CI22,CI23),"0")</f>
        <v>0</v>
      </c>
      <c r="CJ43" s="33">
        <f t="shared" si="221"/>
        <v>0</v>
      </c>
      <c r="CK43" s="33">
        <f t="shared" si="221"/>
        <v>0</v>
      </c>
      <c r="CL43" s="33">
        <f t="shared" ref="CL43:CM43" si="222">IFERROR(IF($B$7="W",CL22,CL23),"0")</f>
        <v>0</v>
      </c>
      <c r="CM43" s="33">
        <f t="shared" si="222"/>
        <v>0</v>
      </c>
      <c r="CN43" s="33">
        <f t="shared" si="221"/>
        <v>0</v>
      </c>
      <c r="CO43" s="33">
        <f t="shared" si="221"/>
        <v>0</v>
      </c>
      <c r="CP43" s="33">
        <f t="shared" si="221"/>
        <v>0</v>
      </c>
      <c r="CQ43" s="33">
        <f t="shared" si="221"/>
        <v>0</v>
      </c>
      <c r="CR43" s="33">
        <f t="shared" si="221"/>
        <v>0</v>
      </c>
      <c r="CS43" s="33">
        <f t="shared" si="221"/>
        <v>0</v>
      </c>
      <c r="CT43" s="33">
        <f t="shared" si="221"/>
        <v>0</v>
      </c>
      <c r="CU43" s="33">
        <f t="shared" si="221"/>
        <v>0</v>
      </c>
      <c r="CV43" s="58">
        <f t="shared" si="221"/>
        <v>0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85"/>
        <v>0</v>
      </c>
      <c r="EW43" s="38" t="s">
        <v>45</v>
      </c>
      <c r="EX43" s="6">
        <f t="shared" si="186"/>
        <v>0</v>
      </c>
      <c r="EY43" s="6">
        <f t="shared" si="217"/>
        <v>0</v>
      </c>
      <c r="EZ43" s="6" t="str">
        <f t="shared" si="218"/>
        <v>0</v>
      </c>
    </row>
    <row r="44" spans="3:156" x14ac:dyDescent="0.2">
      <c r="C44" s="38" t="s">
        <v>226</v>
      </c>
      <c r="D44" s="28">
        <f t="shared" si="182"/>
        <v>0</v>
      </c>
      <c r="E44" s="86">
        <f t="shared" si="187"/>
        <v>0</v>
      </c>
      <c r="F44" s="33" t="s">
        <v>52</v>
      </c>
      <c r="G44" s="49">
        <f t="shared" si="188"/>
        <v>0</v>
      </c>
      <c r="H44" s="12" t="s">
        <v>53</v>
      </c>
      <c r="I44" s="33">
        <f t="shared" si="189"/>
        <v>0</v>
      </c>
      <c r="J44" s="49" t="s">
        <v>54</v>
      </c>
      <c r="K44" s="12">
        <f t="shared" si="190"/>
        <v>0</v>
      </c>
      <c r="L44" s="33" t="s">
        <v>52</v>
      </c>
      <c r="M44" s="49">
        <f t="shared" si="191"/>
        <v>0</v>
      </c>
      <c r="N44" s="12" t="s">
        <v>53</v>
      </c>
      <c r="O44" s="33">
        <f t="shared" si="192"/>
        <v>0</v>
      </c>
      <c r="P44" s="49" t="s">
        <v>54</v>
      </c>
      <c r="Q44" s="12">
        <f t="shared" si="193"/>
        <v>0</v>
      </c>
      <c r="R44" s="33" t="s">
        <v>52</v>
      </c>
      <c r="S44" s="49">
        <f t="shared" si="194"/>
        <v>0</v>
      </c>
      <c r="T44" s="12" t="s">
        <v>53</v>
      </c>
      <c r="U44" s="33">
        <f t="shared" si="195"/>
        <v>0</v>
      </c>
      <c r="V44" s="49" t="s">
        <v>54</v>
      </c>
      <c r="W44" s="12">
        <f t="shared" si="196"/>
        <v>0</v>
      </c>
      <c r="X44" s="33" t="s">
        <v>52</v>
      </c>
      <c r="Y44" s="49">
        <f t="shared" si="197"/>
        <v>0</v>
      </c>
      <c r="Z44" s="12" t="s">
        <v>53</v>
      </c>
      <c r="AA44" s="33">
        <f t="shared" si="198"/>
        <v>0</v>
      </c>
      <c r="AB44" s="49" t="s">
        <v>54</v>
      </c>
      <c r="AC44" s="12">
        <f t="shared" si="199"/>
        <v>0</v>
      </c>
      <c r="AD44" s="33" t="s">
        <v>52</v>
      </c>
      <c r="AE44" s="53">
        <f t="shared" si="200"/>
        <v>0</v>
      </c>
      <c r="AF44" s="12"/>
      <c r="AG44" s="43">
        <f t="shared" si="201"/>
        <v>0</v>
      </c>
      <c r="AH44" s="33" t="s">
        <v>52</v>
      </c>
      <c r="AI44" s="49">
        <f t="shared" si="202"/>
        <v>0</v>
      </c>
      <c r="AJ44" s="12" t="s">
        <v>53</v>
      </c>
      <c r="AK44" s="33">
        <f t="shared" si="203"/>
        <v>0</v>
      </c>
      <c r="AL44" s="49" t="s">
        <v>54</v>
      </c>
      <c r="AM44" s="12">
        <f t="shared" si="204"/>
        <v>0</v>
      </c>
      <c r="AN44" s="33" t="s">
        <v>52</v>
      </c>
      <c r="AO44" s="49">
        <f t="shared" si="205"/>
        <v>0</v>
      </c>
      <c r="AP44" s="12" t="s">
        <v>53</v>
      </c>
      <c r="AQ44" s="33">
        <f t="shared" si="206"/>
        <v>0</v>
      </c>
      <c r="AR44" s="49" t="s">
        <v>54</v>
      </c>
      <c r="AS44" s="12">
        <f t="shared" si="207"/>
        <v>0</v>
      </c>
      <c r="AT44" s="33" t="s">
        <v>52</v>
      </c>
      <c r="AU44" s="49">
        <f t="shared" si="208"/>
        <v>0</v>
      </c>
      <c r="AV44" s="12" t="s">
        <v>53</v>
      </c>
      <c r="AW44" s="33">
        <f t="shared" si="209"/>
        <v>0</v>
      </c>
      <c r="AX44" s="49" t="s">
        <v>54</v>
      </c>
      <c r="AY44" s="12">
        <f t="shared" si="210"/>
        <v>0</v>
      </c>
      <c r="AZ44" s="33" t="s">
        <v>52</v>
      </c>
      <c r="BA44" s="49">
        <f t="shared" si="211"/>
        <v>0</v>
      </c>
      <c r="BB44" s="12" t="s">
        <v>53</v>
      </c>
      <c r="BC44" s="33">
        <f t="shared" si="212"/>
        <v>0</v>
      </c>
      <c r="BD44" s="49" t="s">
        <v>54</v>
      </c>
      <c r="BE44" s="12">
        <f t="shared" si="213"/>
        <v>0</v>
      </c>
      <c r="BF44" s="33" t="s">
        <v>52</v>
      </c>
      <c r="BG44" s="53">
        <f t="shared" si="214"/>
        <v>0</v>
      </c>
      <c r="BH44" s="12"/>
      <c r="BI44" s="43">
        <f>IFERROR(IF($B$8="W",BI22,BI23),"0")</f>
        <v>0</v>
      </c>
      <c r="BJ44" s="33" t="s">
        <v>52</v>
      </c>
      <c r="BK44" s="49">
        <f>IFERROR(IF($B$8="W",BK22,BK23),"0")</f>
        <v>0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0</v>
      </c>
      <c r="BP44" s="33" t="s">
        <v>52</v>
      </c>
      <c r="BQ44" s="49">
        <f>IFERROR(IF($B$8="W",BQ22,BQ23),"0")</f>
        <v>0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0</v>
      </c>
      <c r="CB44" s="33" t="s">
        <v>52</v>
      </c>
      <c r="CC44" s="49">
        <f>IFERROR(IF($B$8="W",CC22,CC23),"0")</f>
        <v>0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223">IFERROR(IF($B$8="W",CI22,CI23),"0")</f>
        <v>0</v>
      </c>
      <c r="CJ44" s="33">
        <f t="shared" si="223"/>
        <v>0</v>
      </c>
      <c r="CK44" s="33">
        <f t="shared" si="223"/>
        <v>0</v>
      </c>
      <c r="CL44" s="33">
        <f t="shared" ref="CL44:CM44" si="224">IFERROR(IF($B$8="W",CL22,CL23),"0")</f>
        <v>0</v>
      </c>
      <c r="CM44" s="33">
        <f t="shared" si="224"/>
        <v>0</v>
      </c>
      <c r="CN44" s="33">
        <f t="shared" si="223"/>
        <v>0</v>
      </c>
      <c r="CO44" s="33">
        <f t="shared" si="223"/>
        <v>0</v>
      </c>
      <c r="CP44" s="33">
        <f t="shared" si="223"/>
        <v>0</v>
      </c>
      <c r="CQ44" s="33">
        <f t="shared" si="223"/>
        <v>0</v>
      </c>
      <c r="CR44" s="33">
        <f t="shared" si="223"/>
        <v>0</v>
      </c>
      <c r="CS44" s="33">
        <f t="shared" si="223"/>
        <v>0</v>
      </c>
      <c r="CT44" s="33">
        <f t="shared" si="223"/>
        <v>0</v>
      </c>
      <c r="CU44" s="33">
        <f t="shared" si="223"/>
        <v>0</v>
      </c>
      <c r="CV44" s="58">
        <f t="shared" si="223"/>
        <v>0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85"/>
        <v>0</v>
      </c>
      <c r="EW44" s="38" t="s">
        <v>226</v>
      </c>
      <c r="EX44" s="6">
        <f t="shared" si="186"/>
        <v>0</v>
      </c>
      <c r="EY44" s="6">
        <f t="shared" si="217"/>
        <v>0</v>
      </c>
      <c r="EZ44" s="6" t="str">
        <f t="shared" si="218"/>
        <v>0</v>
      </c>
    </row>
    <row r="45" spans="3:156" x14ac:dyDescent="0.2">
      <c r="C45" s="38" t="s">
        <v>46</v>
      </c>
      <c r="D45" s="28">
        <f t="shared" si="182"/>
        <v>0</v>
      </c>
      <c r="E45" s="86">
        <f t="shared" si="187"/>
        <v>0</v>
      </c>
      <c r="F45" s="33" t="s">
        <v>52</v>
      </c>
      <c r="G45" s="49">
        <f t="shared" si="188"/>
        <v>0</v>
      </c>
      <c r="H45" s="12" t="s">
        <v>53</v>
      </c>
      <c r="I45" s="33">
        <f t="shared" si="189"/>
        <v>0</v>
      </c>
      <c r="J45" s="49" t="s">
        <v>54</v>
      </c>
      <c r="K45" s="12">
        <f t="shared" si="190"/>
        <v>0</v>
      </c>
      <c r="L45" s="33" t="s">
        <v>52</v>
      </c>
      <c r="M45" s="49">
        <f t="shared" si="191"/>
        <v>0</v>
      </c>
      <c r="N45" s="12" t="s">
        <v>53</v>
      </c>
      <c r="O45" s="33">
        <f t="shared" si="192"/>
        <v>0</v>
      </c>
      <c r="P45" s="49" t="s">
        <v>54</v>
      </c>
      <c r="Q45" s="12">
        <f t="shared" si="193"/>
        <v>0</v>
      </c>
      <c r="R45" s="33" t="s">
        <v>52</v>
      </c>
      <c r="S45" s="49">
        <f t="shared" si="194"/>
        <v>0</v>
      </c>
      <c r="T45" s="12" t="s">
        <v>53</v>
      </c>
      <c r="U45" s="33">
        <f t="shared" si="195"/>
        <v>0</v>
      </c>
      <c r="V45" s="49" t="s">
        <v>54</v>
      </c>
      <c r="W45" s="12">
        <f t="shared" si="196"/>
        <v>0</v>
      </c>
      <c r="X45" s="33" t="s">
        <v>52</v>
      </c>
      <c r="Y45" s="49">
        <f t="shared" si="197"/>
        <v>0</v>
      </c>
      <c r="Z45" s="12" t="s">
        <v>53</v>
      </c>
      <c r="AA45" s="33">
        <f t="shared" si="198"/>
        <v>0</v>
      </c>
      <c r="AB45" s="49" t="s">
        <v>54</v>
      </c>
      <c r="AC45" s="12">
        <f t="shared" si="199"/>
        <v>0</v>
      </c>
      <c r="AD45" s="33" t="s">
        <v>52</v>
      </c>
      <c r="AE45" s="53">
        <f t="shared" si="200"/>
        <v>0</v>
      </c>
      <c r="AF45" s="12"/>
      <c r="AG45" s="43">
        <f t="shared" si="201"/>
        <v>0</v>
      </c>
      <c r="AH45" s="33" t="s">
        <v>52</v>
      </c>
      <c r="AI45" s="49">
        <f t="shared" si="202"/>
        <v>0</v>
      </c>
      <c r="AJ45" s="12" t="s">
        <v>53</v>
      </c>
      <c r="AK45" s="33">
        <f t="shared" si="203"/>
        <v>0</v>
      </c>
      <c r="AL45" s="49" t="s">
        <v>54</v>
      </c>
      <c r="AM45" s="12">
        <f t="shared" si="204"/>
        <v>0</v>
      </c>
      <c r="AN45" s="33" t="s">
        <v>52</v>
      </c>
      <c r="AO45" s="49">
        <f t="shared" si="205"/>
        <v>0</v>
      </c>
      <c r="AP45" s="12" t="s">
        <v>53</v>
      </c>
      <c r="AQ45" s="33">
        <f t="shared" si="206"/>
        <v>0</v>
      </c>
      <c r="AR45" s="49" t="s">
        <v>54</v>
      </c>
      <c r="AS45" s="12">
        <f t="shared" si="207"/>
        <v>0</v>
      </c>
      <c r="AT45" s="33" t="s">
        <v>52</v>
      </c>
      <c r="AU45" s="49">
        <f t="shared" si="208"/>
        <v>0</v>
      </c>
      <c r="AV45" s="12" t="s">
        <v>53</v>
      </c>
      <c r="AW45" s="33">
        <f t="shared" si="209"/>
        <v>0</v>
      </c>
      <c r="AX45" s="49" t="s">
        <v>54</v>
      </c>
      <c r="AY45" s="12">
        <f t="shared" si="210"/>
        <v>0</v>
      </c>
      <c r="AZ45" s="33" t="s">
        <v>52</v>
      </c>
      <c r="BA45" s="49">
        <f t="shared" si="211"/>
        <v>0</v>
      </c>
      <c r="BB45" s="12" t="s">
        <v>53</v>
      </c>
      <c r="BC45" s="33">
        <f t="shared" si="212"/>
        <v>0</v>
      </c>
      <c r="BD45" s="49" t="s">
        <v>54</v>
      </c>
      <c r="BE45" s="12">
        <f t="shared" si="213"/>
        <v>0</v>
      </c>
      <c r="BF45" s="33" t="s">
        <v>52</v>
      </c>
      <c r="BG45" s="53">
        <f t="shared" si="214"/>
        <v>0</v>
      </c>
      <c r="BH45" s="12"/>
      <c r="BI45" s="43">
        <f>IFERROR(IF($B$9="W",BI22,BI23),"0")</f>
        <v>0</v>
      </c>
      <c r="BJ45" s="33" t="s">
        <v>52</v>
      </c>
      <c r="BK45" s="49">
        <f>IFERROR(IF($B$9="W",BK22,BK23),"0")</f>
        <v>0</v>
      </c>
      <c r="BL45" s="12" t="s">
        <v>53</v>
      </c>
      <c r="BM45" s="33">
        <f>IFERROR(IF($B$9="W",BM22,BM23),"0")</f>
        <v>0</v>
      </c>
      <c r="BN45" s="49" t="s">
        <v>54</v>
      </c>
      <c r="BO45" s="12">
        <f>IFERROR(IF($B$9="W",BO22,BO23),"0")</f>
        <v>0</v>
      </c>
      <c r="BP45" s="33" t="s">
        <v>52</v>
      </c>
      <c r="BQ45" s="49">
        <f>IFERROR(IF($B$9="W",BQ22,BQ23),"0")</f>
        <v>0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0</v>
      </c>
      <c r="CB45" s="33" t="s">
        <v>52</v>
      </c>
      <c r="CC45" s="49">
        <f>IFERROR(IF($B$9="W",CC22,CC23),"0")</f>
        <v>0</v>
      </c>
      <c r="CD45" s="12" t="s">
        <v>53</v>
      </c>
      <c r="CE45" s="33">
        <f>IFERROR(IF($B$9="W",CE22,CE23),"0")</f>
        <v>0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225">IFERROR(IF($B$9="W",CI22,CI23),"0")</f>
        <v>0</v>
      </c>
      <c r="CJ45" s="33">
        <f t="shared" si="225"/>
        <v>0</v>
      </c>
      <c r="CK45" s="33">
        <f t="shared" si="225"/>
        <v>0</v>
      </c>
      <c r="CL45" s="33">
        <f t="shared" ref="CL45:CM45" si="226">IFERROR(IF($B$9="W",CL22,CL23),"0")</f>
        <v>0</v>
      </c>
      <c r="CM45" s="33">
        <f t="shared" si="226"/>
        <v>0</v>
      </c>
      <c r="CN45" s="33">
        <f t="shared" si="225"/>
        <v>0</v>
      </c>
      <c r="CO45" s="33">
        <f t="shared" si="225"/>
        <v>0</v>
      </c>
      <c r="CP45" s="33">
        <f t="shared" si="225"/>
        <v>0</v>
      </c>
      <c r="CQ45" s="33">
        <f t="shared" si="225"/>
        <v>0</v>
      </c>
      <c r="CR45" s="33">
        <f t="shared" si="225"/>
        <v>0</v>
      </c>
      <c r="CS45" s="33">
        <f t="shared" si="225"/>
        <v>0</v>
      </c>
      <c r="CT45" s="33">
        <f t="shared" si="225"/>
        <v>0</v>
      </c>
      <c r="CU45" s="33">
        <f t="shared" si="225"/>
        <v>0</v>
      </c>
      <c r="CV45" s="58">
        <f t="shared" si="225"/>
        <v>0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85"/>
        <v>0</v>
      </c>
      <c r="EW45" s="38" t="s">
        <v>46</v>
      </c>
      <c r="EX45" s="6">
        <f t="shared" si="186"/>
        <v>0</v>
      </c>
      <c r="EY45" s="6">
        <f t="shared" si="217"/>
        <v>0</v>
      </c>
      <c r="EZ45" s="6" t="str">
        <f t="shared" si="218"/>
        <v>0</v>
      </c>
    </row>
    <row r="46" spans="3:156" x14ac:dyDescent="0.2">
      <c r="C46" s="38" t="s">
        <v>47</v>
      </c>
      <c r="D46" s="28">
        <f t="shared" si="182"/>
        <v>0</v>
      </c>
      <c r="E46" s="86">
        <f t="shared" si="187"/>
        <v>0</v>
      </c>
      <c r="F46" s="33" t="s">
        <v>52</v>
      </c>
      <c r="G46" s="49">
        <f t="shared" si="188"/>
        <v>0</v>
      </c>
      <c r="H46" s="12" t="s">
        <v>53</v>
      </c>
      <c r="I46" s="33">
        <f t="shared" si="189"/>
        <v>0</v>
      </c>
      <c r="J46" s="49" t="s">
        <v>54</v>
      </c>
      <c r="K46" s="12">
        <f t="shared" si="190"/>
        <v>0</v>
      </c>
      <c r="L46" s="33" t="s">
        <v>52</v>
      </c>
      <c r="M46" s="49">
        <f t="shared" si="191"/>
        <v>0</v>
      </c>
      <c r="N46" s="12" t="s">
        <v>53</v>
      </c>
      <c r="O46" s="33">
        <f t="shared" si="192"/>
        <v>0</v>
      </c>
      <c r="P46" s="49" t="s">
        <v>54</v>
      </c>
      <c r="Q46" s="12">
        <f t="shared" si="193"/>
        <v>0</v>
      </c>
      <c r="R46" s="33" t="s">
        <v>52</v>
      </c>
      <c r="S46" s="49">
        <f t="shared" si="194"/>
        <v>0</v>
      </c>
      <c r="T46" s="12" t="s">
        <v>53</v>
      </c>
      <c r="U46" s="33">
        <f t="shared" si="195"/>
        <v>0</v>
      </c>
      <c r="V46" s="49" t="s">
        <v>54</v>
      </c>
      <c r="W46" s="12">
        <f t="shared" si="196"/>
        <v>0</v>
      </c>
      <c r="X46" s="33" t="s">
        <v>52</v>
      </c>
      <c r="Y46" s="49">
        <f t="shared" si="197"/>
        <v>0</v>
      </c>
      <c r="Z46" s="12" t="s">
        <v>53</v>
      </c>
      <c r="AA46" s="33">
        <f t="shared" si="198"/>
        <v>0</v>
      </c>
      <c r="AB46" s="49" t="s">
        <v>54</v>
      </c>
      <c r="AC46" s="12">
        <f t="shared" si="199"/>
        <v>0</v>
      </c>
      <c r="AD46" s="33" t="s">
        <v>52</v>
      </c>
      <c r="AE46" s="53">
        <f t="shared" si="200"/>
        <v>0</v>
      </c>
      <c r="AF46" s="12"/>
      <c r="AG46" s="43">
        <f t="shared" si="201"/>
        <v>0</v>
      </c>
      <c r="AH46" s="33" t="s">
        <v>52</v>
      </c>
      <c r="AI46" s="49">
        <f t="shared" si="202"/>
        <v>0</v>
      </c>
      <c r="AJ46" s="12" t="s">
        <v>53</v>
      </c>
      <c r="AK46" s="33">
        <f t="shared" si="203"/>
        <v>0</v>
      </c>
      <c r="AL46" s="49" t="s">
        <v>54</v>
      </c>
      <c r="AM46" s="12">
        <f t="shared" si="204"/>
        <v>0</v>
      </c>
      <c r="AN46" s="33" t="s">
        <v>52</v>
      </c>
      <c r="AO46" s="49">
        <f t="shared" si="205"/>
        <v>0</v>
      </c>
      <c r="AP46" s="12" t="s">
        <v>53</v>
      </c>
      <c r="AQ46" s="33">
        <f t="shared" si="206"/>
        <v>0</v>
      </c>
      <c r="AR46" s="49" t="s">
        <v>54</v>
      </c>
      <c r="AS46" s="12">
        <f t="shared" si="207"/>
        <v>0</v>
      </c>
      <c r="AT46" s="33" t="s">
        <v>52</v>
      </c>
      <c r="AU46" s="49">
        <f t="shared" si="208"/>
        <v>0</v>
      </c>
      <c r="AV46" s="12" t="s">
        <v>53</v>
      </c>
      <c r="AW46" s="33">
        <f t="shared" si="209"/>
        <v>0</v>
      </c>
      <c r="AX46" s="49" t="s">
        <v>54</v>
      </c>
      <c r="AY46" s="12">
        <f t="shared" si="210"/>
        <v>0</v>
      </c>
      <c r="AZ46" s="33" t="s">
        <v>52</v>
      </c>
      <c r="BA46" s="49">
        <f t="shared" si="211"/>
        <v>0</v>
      </c>
      <c r="BB46" s="12" t="s">
        <v>53</v>
      </c>
      <c r="BC46" s="33">
        <f t="shared" si="212"/>
        <v>0</v>
      </c>
      <c r="BD46" s="49" t="s">
        <v>54</v>
      </c>
      <c r="BE46" s="12">
        <f t="shared" si="213"/>
        <v>0</v>
      </c>
      <c r="BF46" s="33" t="s">
        <v>52</v>
      </c>
      <c r="BG46" s="53">
        <f t="shared" si="214"/>
        <v>0</v>
      </c>
      <c r="BH46" s="12"/>
      <c r="BI46" s="43">
        <f>IFERROR(IF($B$10="W",BI22,BI23),"0")</f>
        <v>0</v>
      </c>
      <c r="BJ46" s="33" t="s">
        <v>52</v>
      </c>
      <c r="BK46" s="49">
        <f>IFERROR(IF($B$10="W",BK22,BK23),"0")</f>
        <v>0</v>
      </c>
      <c r="BL46" s="12" t="s">
        <v>53</v>
      </c>
      <c r="BM46" s="33">
        <f>IFERROR(IF($B$10="W",BM22,BM23),"0")</f>
        <v>0</v>
      </c>
      <c r="BN46" s="49" t="s">
        <v>54</v>
      </c>
      <c r="BO46" s="12">
        <f>IFERROR(IF($B$10="W",BO22,BO23),"0")</f>
        <v>0</v>
      </c>
      <c r="BP46" s="33" t="s">
        <v>52</v>
      </c>
      <c r="BQ46" s="49">
        <f>IFERROR(IF($B$10="W",BQ22,BQ23),"0")</f>
        <v>0</v>
      </c>
      <c r="BR46" s="12" t="s">
        <v>53</v>
      </c>
      <c r="BS46" s="33">
        <f>IFERROR(IF($B$10="W",BS22,BS23),"0")</f>
        <v>0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0</v>
      </c>
      <c r="CB46" s="33" t="s">
        <v>52</v>
      </c>
      <c r="CC46" s="49">
        <f>IFERROR(IF($B$10="W",CC22,CC23),"0")</f>
        <v>0</v>
      </c>
      <c r="CD46" s="12" t="s">
        <v>53</v>
      </c>
      <c r="CE46" s="33">
        <f>IFERROR(IF($B$10="W",CE22,CE23),"0")</f>
        <v>0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227">IFERROR(IF($B$10="W",CI22,CI23),"0")</f>
        <v>0</v>
      </c>
      <c r="CJ46" s="33">
        <f t="shared" si="227"/>
        <v>0</v>
      </c>
      <c r="CK46" s="33">
        <f t="shared" si="227"/>
        <v>0</v>
      </c>
      <c r="CL46" s="33">
        <f t="shared" ref="CL46:CM46" si="228">IFERROR(IF($B$10="W",CL22,CL23),"0")</f>
        <v>0</v>
      </c>
      <c r="CM46" s="33">
        <f t="shared" si="228"/>
        <v>0</v>
      </c>
      <c r="CN46" s="33">
        <f t="shared" si="227"/>
        <v>0</v>
      </c>
      <c r="CO46" s="33">
        <f t="shared" si="227"/>
        <v>0</v>
      </c>
      <c r="CP46" s="33">
        <f t="shared" si="227"/>
        <v>0</v>
      </c>
      <c r="CQ46" s="33">
        <f t="shared" si="227"/>
        <v>0</v>
      </c>
      <c r="CR46" s="33">
        <f t="shared" si="227"/>
        <v>0</v>
      </c>
      <c r="CS46" s="33">
        <f t="shared" si="227"/>
        <v>0</v>
      </c>
      <c r="CT46" s="33">
        <f t="shared" si="227"/>
        <v>0</v>
      </c>
      <c r="CU46" s="33">
        <f t="shared" si="227"/>
        <v>0</v>
      </c>
      <c r="CV46" s="58">
        <f t="shared" si="227"/>
        <v>0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85"/>
        <v>0</v>
      </c>
      <c r="EW46" s="38" t="s">
        <v>47</v>
      </c>
      <c r="EX46" s="6">
        <f t="shared" si="186"/>
        <v>0</v>
      </c>
      <c r="EY46" s="6">
        <f t="shared" si="217"/>
        <v>0</v>
      </c>
      <c r="EZ46" s="6" t="str">
        <f t="shared" si="218"/>
        <v>0</v>
      </c>
    </row>
    <row r="47" spans="3:156" x14ac:dyDescent="0.2">
      <c r="C47" s="38" t="s">
        <v>48</v>
      </c>
      <c r="D47" s="28">
        <f t="shared" si="182"/>
        <v>0</v>
      </c>
      <c r="E47" s="86">
        <f t="shared" si="187"/>
        <v>0</v>
      </c>
      <c r="F47" s="33" t="s">
        <v>52</v>
      </c>
      <c r="G47" s="49">
        <f t="shared" si="188"/>
        <v>0</v>
      </c>
      <c r="H47" s="12" t="s">
        <v>53</v>
      </c>
      <c r="I47" s="33">
        <f t="shared" si="189"/>
        <v>0</v>
      </c>
      <c r="J47" s="49" t="s">
        <v>54</v>
      </c>
      <c r="K47" s="12">
        <f t="shared" si="190"/>
        <v>0</v>
      </c>
      <c r="L47" s="33" t="s">
        <v>52</v>
      </c>
      <c r="M47" s="49">
        <f t="shared" si="191"/>
        <v>0</v>
      </c>
      <c r="N47" s="12" t="s">
        <v>53</v>
      </c>
      <c r="O47" s="33">
        <f t="shared" si="192"/>
        <v>0</v>
      </c>
      <c r="P47" s="49" t="s">
        <v>54</v>
      </c>
      <c r="Q47" s="12">
        <f t="shared" si="193"/>
        <v>0</v>
      </c>
      <c r="R47" s="33" t="s">
        <v>52</v>
      </c>
      <c r="S47" s="49">
        <f t="shared" si="194"/>
        <v>0</v>
      </c>
      <c r="T47" s="12" t="s">
        <v>53</v>
      </c>
      <c r="U47" s="33">
        <f t="shared" si="195"/>
        <v>0</v>
      </c>
      <c r="V47" s="49" t="s">
        <v>54</v>
      </c>
      <c r="W47" s="12">
        <f t="shared" si="196"/>
        <v>0</v>
      </c>
      <c r="X47" s="33" t="s">
        <v>52</v>
      </c>
      <c r="Y47" s="49">
        <f t="shared" si="197"/>
        <v>0</v>
      </c>
      <c r="Z47" s="12" t="s">
        <v>53</v>
      </c>
      <c r="AA47" s="33">
        <f t="shared" si="198"/>
        <v>0</v>
      </c>
      <c r="AB47" s="49" t="s">
        <v>54</v>
      </c>
      <c r="AC47" s="12">
        <f t="shared" si="199"/>
        <v>0</v>
      </c>
      <c r="AD47" s="33" t="s">
        <v>52</v>
      </c>
      <c r="AE47" s="53">
        <f t="shared" si="200"/>
        <v>0</v>
      </c>
      <c r="AF47" s="12"/>
      <c r="AG47" s="43">
        <f t="shared" si="201"/>
        <v>0</v>
      </c>
      <c r="AH47" s="33" t="s">
        <v>52</v>
      </c>
      <c r="AI47" s="49">
        <f t="shared" si="202"/>
        <v>0</v>
      </c>
      <c r="AJ47" s="12" t="s">
        <v>53</v>
      </c>
      <c r="AK47" s="33">
        <f t="shared" si="203"/>
        <v>0</v>
      </c>
      <c r="AL47" s="49" t="s">
        <v>54</v>
      </c>
      <c r="AM47" s="12">
        <f t="shared" si="204"/>
        <v>0</v>
      </c>
      <c r="AN47" s="33" t="s">
        <v>52</v>
      </c>
      <c r="AO47" s="49">
        <f t="shared" si="205"/>
        <v>0</v>
      </c>
      <c r="AP47" s="12" t="s">
        <v>53</v>
      </c>
      <c r="AQ47" s="33">
        <f t="shared" si="206"/>
        <v>0</v>
      </c>
      <c r="AR47" s="49" t="s">
        <v>54</v>
      </c>
      <c r="AS47" s="12">
        <f t="shared" si="207"/>
        <v>0</v>
      </c>
      <c r="AT47" s="33" t="s">
        <v>52</v>
      </c>
      <c r="AU47" s="49">
        <f t="shared" si="208"/>
        <v>0</v>
      </c>
      <c r="AV47" s="12" t="s">
        <v>53</v>
      </c>
      <c r="AW47" s="33">
        <f t="shared" si="209"/>
        <v>0</v>
      </c>
      <c r="AX47" s="49" t="s">
        <v>54</v>
      </c>
      <c r="AY47" s="12">
        <f t="shared" si="210"/>
        <v>0</v>
      </c>
      <c r="AZ47" s="33" t="s">
        <v>52</v>
      </c>
      <c r="BA47" s="49">
        <f t="shared" si="211"/>
        <v>0</v>
      </c>
      <c r="BB47" s="12" t="s">
        <v>53</v>
      </c>
      <c r="BC47" s="33">
        <f t="shared" si="212"/>
        <v>0</v>
      </c>
      <c r="BD47" s="49" t="s">
        <v>54</v>
      </c>
      <c r="BE47" s="12">
        <f t="shared" si="213"/>
        <v>0</v>
      </c>
      <c r="BF47" s="33" t="s">
        <v>52</v>
      </c>
      <c r="BG47" s="53">
        <f t="shared" si="214"/>
        <v>0</v>
      </c>
      <c r="BH47" s="12"/>
      <c r="BI47" s="43">
        <f>IFERROR(IF($B$11="W",BI22,BI23),"0")</f>
        <v>0</v>
      </c>
      <c r="BJ47" s="33" t="s">
        <v>52</v>
      </c>
      <c r="BK47" s="49">
        <f>IFERROR(IF($B$11="W",BK22,BK23),"0")</f>
        <v>0</v>
      </c>
      <c r="BL47" s="12" t="s">
        <v>53</v>
      </c>
      <c r="BM47" s="33">
        <f>IFERROR(IF($B$11="W",BM22,BM23),"0")</f>
        <v>0</v>
      </c>
      <c r="BN47" s="49" t="s">
        <v>54</v>
      </c>
      <c r="BO47" s="12">
        <f>IFERROR(IF($B$11="W",BO22,BO23),"0")</f>
        <v>0</v>
      </c>
      <c r="BP47" s="33" t="s">
        <v>52</v>
      </c>
      <c r="BQ47" s="49">
        <f>IFERROR(IF($B$11="W",BQ22,BQ23),"0")</f>
        <v>0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0</v>
      </c>
      <c r="CB47" s="33" t="s">
        <v>52</v>
      </c>
      <c r="CC47" s="49">
        <f>IFERROR(IF($B$11="W",CC22,CC23),"0")</f>
        <v>0</v>
      </c>
      <c r="CD47" s="12" t="s">
        <v>53</v>
      </c>
      <c r="CE47" s="33">
        <f>IFERROR(IF($B$11="W",CE22,CE23),"0")</f>
        <v>0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229">IFERROR(IF($B$11="W",CI22,CI23),"0")</f>
        <v>0</v>
      </c>
      <c r="CJ47" s="33">
        <f t="shared" si="229"/>
        <v>0</v>
      </c>
      <c r="CK47" s="33">
        <f t="shared" si="229"/>
        <v>0</v>
      </c>
      <c r="CL47" s="33">
        <f t="shared" ref="CL47:CM47" si="230">IFERROR(IF($B$11="W",CL22,CL23),"0")</f>
        <v>0</v>
      </c>
      <c r="CM47" s="33">
        <f t="shared" si="230"/>
        <v>0</v>
      </c>
      <c r="CN47" s="33">
        <f t="shared" si="229"/>
        <v>0</v>
      </c>
      <c r="CO47" s="33">
        <f t="shared" si="229"/>
        <v>0</v>
      </c>
      <c r="CP47" s="33">
        <f t="shared" si="229"/>
        <v>0</v>
      </c>
      <c r="CQ47" s="33">
        <f t="shared" si="229"/>
        <v>0</v>
      </c>
      <c r="CR47" s="33">
        <f t="shared" si="229"/>
        <v>0</v>
      </c>
      <c r="CS47" s="33">
        <f t="shared" si="229"/>
        <v>0</v>
      </c>
      <c r="CT47" s="33">
        <f t="shared" si="229"/>
        <v>0</v>
      </c>
      <c r="CU47" s="33">
        <f t="shared" si="229"/>
        <v>0</v>
      </c>
      <c r="CV47" s="58">
        <f t="shared" si="229"/>
        <v>0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85"/>
        <v>0</v>
      </c>
      <c r="EW47" s="38" t="s">
        <v>48</v>
      </c>
      <c r="EX47" s="6">
        <f t="shared" si="186"/>
        <v>0</v>
      </c>
      <c r="EY47" s="6">
        <f t="shared" si="217"/>
        <v>0</v>
      </c>
      <c r="EZ47" s="6" t="str">
        <f t="shared" si="218"/>
        <v>0</v>
      </c>
    </row>
    <row r="48" spans="3:156" x14ac:dyDescent="0.2">
      <c r="C48" s="38" t="s">
        <v>115</v>
      </c>
      <c r="D48" s="28">
        <f t="shared" si="182"/>
        <v>0</v>
      </c>
      <c r="E48" s="86">
        <f t="shared" si="187"/>
        <v>0</v>
      </c>
      <c r="F48" s="33" t="s">
        <v>52</v>
      </c>
      <c r="G48" s="49">
        <f t="shared" si="188"/>
        <v>0</v>
      </c>
      <c r="H48" s="12" t="s">
        <v>53</v>
      </c>
      <c r="I48" s="33">
        <f t="shared" si="189"/>
        <v>0</v>
      </c>
      <c r="J48" s="49" t="s">
        <v>54</v>
      </c>
      <c r="K48" s="12">
        <f t="shared" si="190"/>
        <v>0</v>
      </c>
      <c r="L48" s="33" t="s">
        <v>52</v>
      </c>
      <c r="M48" s="49">
        <f t="shared" si="191"/>
        <v>0</v>
      </c>
      <c r="N48" s="12" t="s">
        <v>53</v>
      </c>
      <c r="O48" s="33">
        <f t="shared" si="192"/>
        <v>0</v>
      </c>
      <c r="P48" s="49" t="s">
        <v>54</v>
      </c>
      <c r="Q48" s="12">
        <f t="shared" si="193"/>
        <v>0</v>
      </c>
      <c r="R48" s="33" t="s">
        <v>52</v>
      </c>
      <c r="S48" s="49">
        <f t="shared" si="194"/>
        <v>0</v>
      </c>
      <c r="T48" s="12" t="s">
        <v>53</v>
      </c>
      <c r="U48" s="33">
        <f t="shared" si="195"/>
        <v>0</v>
      </c>
      <c r="V48" s="49" t="s">
        <v>54</v>
      </c>
      <c r="W48" s="12">
        <f t="shared" si="196"/>
        <v>0</v>
      </c>
      <c r="X48" s="33" t="s">
        <v>52</v>
      </c>
      <c r="Y48" s="49">
        <f t="shared" si="197"/>
        <v>0</v>
      </c>
      <c r="Z48" s="12" t="s">
        <v>53</v>
      </c>
      <c r="AA48" s="33">
        <f t="shared" si="198"/>
        <v>0</v>
      </c>
      <c r="AB48" s="49" t="s">
        <v>54</v>
      </c>
      <c r="AC48" s="12">
        <f t="shared" si="199"/>
        <v>0</v>
      </c>
      <c r="AD48" s="33" t="s">
        <v>52</v>
      </c>
      <c r="AE48" s="53">
        <f t="shared" si="200"/>
        <v>0</v>
      </c>
      <c r="AF48" s="12"/>
      <c r="AG48" s="43">
        <f t="shared" si="201"/>
        <v>0</v>
      </c>
      <c r="AH48" s="33" t="s">
        <v>52</v>
      </c>
      <c r="AI48" s="49">
        <f t="shared" si="202"/>
        <v>0</v>
      </c>
      <c r="AJ48" s="12" t="s">
        <v>53</v>
      </c>
      <c r="AK48" s="33">
        <f t="shared" si="203"/>
        <v>0</v>
      </c>
      <c r="AL48" s="49" t="s">
        <v>54</v>
      </c>
      <c r="AM48" s="12">
        <f t="shared" si="204"/>
        <v>0</v>
      </c>
      <c r="AN48" s="33" t="s">
        <v>52</v>
      </c>
      <c r="AO48" s="49">
        <f t="shared" si="205"/>
        <v>0</v>
      </c>
      <c r="AP48" s="12" t="s">
        <v>53</v>
      </c>
      <c r="AQ48" s="33">
        <f t="shared" si="206"/>
        <v>0</v>
      </c>
      <c r="AR48" s="49" t="s">
        <v>54</v>
      </c>
      <c r="AS48" s="12">
        <f t="shared" si="207"/>
        <v>0</v>
      </c>
      <c r="AT48" s="33" t="s">
        <v>52</v>
      </c>
      <c r="AU48" s="49">
        <f t="shared" si="208"/>
        <v>0</v>
      </c>
      <c r="AV48" s="12" t="s">
        <v>53</v>
      </c>
      <c r="AW48" s="33">
        <f t="shared" si="209"/>
        <v>0</v>
      </c>
      <c r="AX48" s="49" t="s">
        <v>54</v>
      </c>
      <c r="AY48" s="12">
        <f t="shared" si="210"/>
        <v>0</v>
      </c>
      <c r="AZ48" s="33" t="s">
        <v>52</v>
      </c>
      <c r="BA48" s="49">
        <f t="shared" si="211"/>
        <v>0</v>
      </c>
      <c r="BB48" s="12" t="s">
        <v>53</v>
      </c>
      <c r="BC48" s="33">
        <f t="shared" si="212"/>
        <v>0</v>
      </c>
      <c r="BD48" s="49" t="s">
        <v>54</v>
      </c>
      <c r="BE48" s="12">
        <f t="shared" si="213"/>
        <v>0</v>
      </c>
      <c r="BF48" s="33" t="s">
        <v>52</v>
      </c>
      <c r="BG48" s="53">
        <f t="shared" si="214"/>
        <v>0</v>
      </c>
      <c r="BH48" s="12"/>
      <c r="BI48" s="43">
        <f>IFERROR(IF($B$12="W",BI22,BI23),"0")</f>
        <v>0</v>
      </c>
      <c r="BJ48" s="33" t="s">
        <v>52</v>
      </c>
      <c r="BK48" s="49">
        <f>IFERROR(IF($B$12="W",BK22,BK23),"0")</f>
        <v>0</v>
      </c>
      <c r="BL48" s="12" t="s">
        <v>53</v>
      </c>
      <c r="BM48" s="33">
        <f>IFERROR(IF($B$12="W",BM22,BM23),"0")</f>
        <v>0</v>
      </c>
      <c r="BN48" s="49" t="s">
        <v>54</v>
      </c>
      <c r="BO48" s="12">
        <f>IFERROR(IF($B$12="W",BO22,BO23),"0")</f>
        <v>0</v>
      </c>
      <c r="BP48" s="33" t="s">
        <v>52</v>
      </c>
      <c r="BQ48" s="49">
        <f>IFERROR(IF($B$12="W",BQ22,BQ23),"0")</f>
        <v>0</v>
      </c>
      <c r="BR48" s="12" t="s">
        <v>53</v>
      </c>
      <c r="BS48" s="33">
        <f>IFERROR(IF($B$12="W",BS22,BS23),"0")</f>
        <v>0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0</v>
      </c>
      <c r="CB48" s="33" t="s">
        <v>52</v>
      </c>
      <c r="CC48" s="49">
        <f>IFERROR(IF($B$12="W",CC22,CC23),"0")</f>
        <v>0</v>
      </c>
      <c r="CD48" s="12" t="s">
        <v>53</v>
      </c>
      <c r="CE48" s="33">
        <f>IFERROR(IF($B$12="W",CE22,CE23),"0")</f>
        <v>0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231">IFERROR(IF($B$12="W",CI22,CI23),"0")</f>
        <v>0</v>
      </c>
      <c r="CJ48" s="33">
        <f t="shared" si="231"/>
        <v>0</v>
      </c>
      <c r="CK48" s="33">
        <f t="shared" si="231"/>
        <v>0</v>
      </c>
      <c r="CL48" s="33">
        <f t="shared" ref="CL48:CM48" si="232">IFERROR(IF($B$12="W",CL22,CL23),"0")</f>
        <v>0</v>
      </c>
      <c r="CM48" s="33">
        <f t="shared" si="232"/>
        <v>0</v>
      </c>
      <c r="CN48" s="33">
        <f t="shared" si="231"/>
        <v>0</v>
      </c>
      <c r="CO48" s="33">
        <f t="shared" si="231"/>
        <v>0</v>
      </c>
      <c r="CP48" s="33">
        <f t="shared" si="231"/>
        <v>0</v>
      </c>
      <c r="CQ48" s="33">
        <f t="shared" si="231"/>
        <v>0</v>
      </c>
      <c r="CR48" s="33">
        <f t="shared" si="231"/>
        <v>0</v>
      </c>
      <c r="CS48" s="33">
        <f t="shared" si="231"/>
        <v>0</v>
      </c>
      <c r="CT48" s="33">
        <f t="shared" si="231"/>
        <v>0</v>
      </c>
      <c r="CU48" s="33">
        <f t="shared" si="231"/>
        <v>0</v>
      </c>
      <c r="CV48" s="58">
        <f t="shared" si="231"/>
        <v>0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85"/>
        <v>0</v>
      </c>
      <c r="EW48" s="38" t="s">
        <v>115</v>
      </c>
      <c r="EX48" s="6">
        <f t="shared" si="186"/>
        <v>0</v>
      </c>
      <c r="EY48" s="6">
        <f t="shared" si="217"/>
        <v>0</v>
      </c>
      <c r="EZ48" s="6" t="str">
        <f t="shared" si="218"/>
        <v>0</v>
      </c>
    </row>
    <row r="49" spans="3:156" x14ac:dyDescent="0.2">
      <c r="C49" s="38" t="s">
        <v>227</v>
      </c>
      <c r="D49" s="28">
        <f t="shared" si="182"/>
        <v>0</v>
      </c>
      <c r="E49" s="86">
        <f t="shared" si="187"/>
        <v>0</v>
      </c>
      <c r="F49" s="33" t="s">
        <v>52</v>
      </c>
      <c r="G49" s="49">
        <f t="shared" si="188"/>
        <v>0</v>
      </c>
      <c r="H49" s="12" t="s">
        <v>53</v>
      </c>
      <c r="I49" s="33">
        <f t="shared" si="189"/>
        <v>0</v>
      </c>
      <c r="J49" s="49" t="s">
        <v>54</v>
      </c>
      <c r="K49" s="12">
        <f t="shared" si="190"/>
        <v>0</v>
      </c>
      <c r="L49" s="33" t="s">
        <v>52</v>
      </c>
      <c r="M49" s="49">
        <f t="shared" si="191"/>
        <v>0</v>
      </c>
      <c r="N49" s="12" t="s">
        <v>53</v>
      </c>
      <c r="O49" s="33">
        <f t="shared" si="192"/>
        <v>0</v>
      </c>
      <c r="P49" s="49" t="s">
        <v>54</v>
      </c>
      <c r="Q49" s="12">
        <f t="shared" si="193"/>
        <v>0</v>
      </c>
      <c r="R49" s="33" t="s">
        <v>52</v>
      </c>
      <c r="S49" s="49">
        <f t="shared" si="194"/>
        <v>0</v>
      </c>
      <c r="T49" s="12" t="s">
        <v>53</v>
      </c>
      <c r="U49" s="33">
        <f t="shared" si="195"/>
        <v>0</v>
      </c>
      <c r="V49" s="49" t="s">
        <v>54</v>
      </c>
      <c r="W49" s="12">
        <f t="shared" si="196"/>
        <v>0</v>
      </c>
      <c r="X49" s="33" t="s">
        <v>52</v>
      </c>
      <c r="Y49" s="49">
        <f t="shared" si="197"/>
        <v>0</v>
      </c>
      <c r="Z49" s="12" t="s">
        <v>53</v>
      </c>
      <c r="AA49" s="33">
        <f t="shared" si="198"/>
        <v>0</v>
      </c>
      <c r="AB49" s="49" t="s">
        <v>54</v>
      </c>
      <c r="AC49" s="12">
        <f t="shared" si="199"/>
        <v>0</v>
      </c>
      <c r="AD49" s="33" t="s">
        <v>52</v>
      </c>
      <c r="AE49" s="53">
        <f t="shared" si="200"/>
        <v>0</v>
      </c>
      <c r="AF49" s="12"/>
      <c r="AG49" s="43">
        <f t="shared" si="201"/>
        <v>0</v>
      </c>
      <c r="AH49" s="33" t="s">
        <v>52</v>
      </c>
      <c r="AI49" s="49">
        <f t="shared" si="202"/>
        <v>0</v>
      </c>
      <c r="AJ49" s="12" t="s">
        <v>53</v>
      </c>
      <c r="AK49" s="33">
        <f t="shared" si="203"/>
        <v>0</v>
      </c>
      <c r="AL49" s="49" t="s">
        <v>54</v>
      </c>
      <c r="AM49" s="12">
        <f t="shared" si="204"/>
        <v>0</v>
      </c>
      <c r="AN49" s="33" t="s">
        <v>52</v>
      </c>
      <c r="AO49" s="49">
        <f t="shared" si="205"/>
        <v>0</v>
      </c>
      <c r="AP49" s="12" t="s">
        <v>53</v>
      </c>
      <c r="AQ49" s="33">
        <f t="shared" si="206"/>
        <v>0</v>
      </c>
      <c r="AR49" s="49" t="s">
        <v>54</v>
      </c>
      <c r="AS49" s="12">
        <f t="shared" si="207"/>
        <v>0</v>
      </c>
      <c r="AT49" s="33" t="s">
        <v>52</v>
      </c>
      <c r="AU49" s="49">
        <f t="shared" si="208"/>
        <v>0</v>
      </c>
      <c r="AV49" s="12" t="s">
        <v>53</v>
      </c>
      <c r="AW49" s="33">
        <f t="shared" si="209"/>
        <v>0</v>
      </c>
      <c r="AX49" s="49" t="s">
        <v>54</v>
      </c>
      <c r="AY49" s="12">
        <f t="shared" si="210"/>
        <v>0</v>
      </c>
      <c r="AZ49" s="33" t="s">
        <v>52</v>
      </c>
      <c r="BA49" s="49">
        <f t="shared" si="211"/>
        <v>0</v>
      </c>
      <c r="BB49" s="12" t="s">
        <v>53</v>
      </c>
      <c r="BC49" s="33">
        <f t="shared" si="212"/>
        <v>0</v>
      </c>
      <c r="BD49" s="49" t="s">
        <v>54</v>
      </c>
      <c r="BE49" s="12">
        <f t="shared" si="213"/>
        <v>0</v>
      </c>
      <c r="BF49" s="33" t="s">
        <v>52</v>
      </c>
      <c r="BG49" s="53">
        <f t="shared" si="214"/>
        <v>0</v>
      </c>
      <c r="BH49" s="12"/>
      <c r="BI49" s="43">
        <f>IFERROR(IF($B$13="W",BI22,BI23),"0")</f>
        <v>0</v>
      </c>
      <c r="BJ49" s="33" t="s">
        <v>52</v>
      </c>
      <c r="BK49" s="49">
        <f>IFERROR(IF($B$13="W",BK22,BK23),"0")</f>
        <v>0</v>
      </c>
      <c r="BL49" s="12" t="s">
        <v>53</v>
      </c>
      <c r="BM49" s="33">
        <f>IFERROR(IF($B$13="W",BM22,BM23),"0")</f>
        <v>0</v>
      </c>
      <c r="BN49" s="49" t="s">
        <v>54</v>
      </c>
      <c r="BO49" s="12">
        <f>IFERROR(IF($B$13="W",BO22,BO23),"0")</f>
        <v>0</v>
      </c>
      <c r="BP49" s="33" t="s">
        <v>52</v>
      </c>
      <c r="BQ49" s="49">
        <f>IFERROR(IF($B$13="W",BQ22,BQ23),"0")</f>
        <v>0</v>
      </c>
      <c r="BR49" s="12" t="s">
        <v>53</v>
      </c>
      <c r="BS49" s="33">
        <f>IFERROR(IF($B$13="W",BS22,BS23),"0")</f>
        <v>0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0</v>
      </c>
      <c r="CB49" s="33" t="s">
        <v>52</v>
      </c>
      <c r="CC49" s="49">
        <f>IFERROR(IF($B$13="W",CC22,CC23),"0")</f>
        <v>0</v>
      </c>
      <c r="CD49" s="12" t="s">
        <v>53</v>
      </c>
      <c r="CE49" s="33">
        <f>IFERROR(IF($B$13="W",CE22,CE23),"0")</f>
        <v>0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233">IFERROR(IF($B$13="W",CI22,CI23),"0")</f>
        <v>0</v>
      </c>
      <c r="CJ49" s="33">
        <f t="shared" si="233"/>
        <v>0</v>
      </c>
      <c r="CK49" s="33">
        <f t="shared" si="233"/>
        <v>0</v>
      </c>
      <c r="CL49" s="33">
        <f t="shared" ref="CL49:CM49" si="234">IFERROR(IF($B$13="W",CL22,CL23),"0")</f>
        <v>0</v>
      </c>
      <c r="CM49" s="33">
        <f t="shared" si="234"/>
        <v>0</v>
      </c>
      <c r="CN49" s="33">
        <f t="shared" si="233"/>
        <v>0</v>
      </c>
      <c r="CO49" s="33">
        <f t="shared" si="233"/>
        <v>0</v>
      </c>
      <c r="CP49" s="33">
        <f t="shared" si="233"/>
        <v>0</v>
      </c>
      <c r="CQ49" s="33">
        <f t="shared" si="233"/>
        <v>0</v>
      </c>
      <c r="CR49" s="33">
        <f t="shared" si="233"/>
        <v>0</v>
      </c>
      <c r="CS49" s="33">
        <f t="shared" si="233"/>
        <v>0</v>
      </c>
      <c r="CT49" s="33">
        <f t="shared" si="233"/>
        <v>0</v>
      </c>
      <c r="CU49" s="33">
        <f t="shared" si="233"/>
        <v>0</v>
      </c>
      <c r="CV49" s="58">
        <f t="shared" si="233"/>
        <v>0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85"/>
        <v>0</v>
      </c>
      <c r="EW49" s="38" t="s">
        <v>227</v>
      </c>
      <c r="EX49" s="6">
        <f t="shared" si="186"/>
        <v>0</v>
      </c>
      <c r="EY49" s="6">
        <f t="shared" si="217"/>
        <v>0</v>
      </c>
      <c r="EZ49" s="6" t="str">
        <f t="shared" si="218"/>
        <v>0</v>
      </c>
    </row>
    <row r="50" spans="3:156" x14ac:dyDescent="0.2">
      <c r="C50" s="38" t="s">
        <v>228</v>
      </c>
      <c r="D50" s="28">
        <f t="shared" si="182"/>
        <v>0</v>
      </c>
      <c r="E50" s="86">
        <f t="shared" si="187"/>
        <v>0</v>
      </c>
      <c r="F50" s="33" t="s">
        <v>52</v>
      </c>
      <c r="G50" s="49">
        <f t="shared" si="188"/>
        <v>0</v>
      </c>
      <c r="H50" s="12" t="s">
        <v>53</v>
      </c>
      <c r="I50" s="33">
        <f t="shared" si="189"/>
        <v>0</v>
      </c>
      <c r="J50" s="49" t="s">
        <v>54</v>
      </c>
      <c r="K50" s="12">
        <f t="shared" si="190"/>
        <v>0</v>
      </c>
      <c r="L50" s="33" t="s">
        <v>52</v>
      </c>
      <c r="M50" s="49">
        <f t="shared" si="191"/>
        <v>0</v>
      </c>
      <c r="N50" s="12" t="s">
        <v>53</v>
      </c>
      <c r="O50" s="33">
        <f t="shared" si="192"/>
        <v>0</v>
      </c>
      <c r="P50" s="49" t="s">
        <v>54</v>
      </c>
      <c r="Q50" s="12">
        <f t="shared" si="193"/>
        <v>0</v>
      </c>
      <c r="R50" s="33" t="s">
        <v>52</v>
      </c>
      <c r="S50" s="49">
        <f t="shared" si="194"/>
        <v>0</v>
      </c>
      <c r="T50" s="12" t="s">
        <v>53</v>
      </c>
      <c r="U50" s="33">
        <f t="shared" si="195"/>
        <v>0</v>
      </c>
      <c r="V50" s="49" t="s">
        <v>54</v>
      </c>
      <c r="W50" s="12">
        <f t="shared" si="196"/>
        <v>0</v>
      </c>
      <c r="X50" s="33" t="s">
        <v>52</v>
      </c>
      <c r="Y50" s="49">
        <f t="shared" si="197"/>
        <v>0</v>
      </c>
      <c r="Z50" s="12" t="s">
        <v>53</v>
      </c>
      <c r="AA50" s="33">
        <f t="shared" si="198"/>
        <v>0</v>
      </c>
      <c r="AB50" s="49" t="s">
        <v>54</v>
      </c>
      <c r="AC50" s="12">
        <f t="shared" si="199"/>
        <v>0</v>
      </c>
      <c r="AD50" s="33" t="s">
        <v>52</v>
      </c>
      <c r="AE50" s="53">
        <f t="shared" si="200"/>
        <v>0</v>
      </c>
      <c r="AF50" s="12"/>
      <c r="AG50" s="43">
        <f t="shared" si="201"/>
        <v>0</v>
      </c>
      <c r="AH50" s="33" t="s">
        <v>52</v>
      </c>
      <c r="AI50" s="49">
        <f t="shared" si="202"/>
        <v>0</v>
      </c>
      <c r="AJ50" s="12" t="s">
        <v>53</v>
      </c>
      <c r="AK50" s="33">
        <f t="shared" si="203"/>
        <v>0</v>
      </c>
      <c r="AL50" s="49" t="s">
        <v>54</v>
      </c>
      <c r="AM50" s="12">
        <f t="shared" si="204"/>
        <v>0</v>
      </c>
      <c r="AN50" s="33" t="s">
        <v>52</v>
      </c>
      <c r="AO50" s="49">
        <f t="shared" si="205"/>
        <v>0</v>
      </c>
      <c r="AP50" s="12" t="s">
        <v>53</v>
      </c>
      <c r="AQ50" s="33">
        <f t="shared" si="206"/>
        <v>0</v>
      </c>
      <c r="AR50" s="49" t="s">
        <v>54</v>
      </c>
      <c r="AS50" s="12">
        <f t="shared" si="207"/>
        <v>0</v>
      </c>
      <c r="AT50" s="33" t="s">
        <v>52</v>
      </c>
      <c r="AU50" s="49">
        <f t="shared" si="208"/>
        <v>0</v>
      </c>
      <c r="AV50" s="12" t="s">
        <v>53</v>
      </c>
      <c r="AW50" s="33">
        <f t="shared" si="209"/>
        <v>0</v>
      </c>
      <c r="AX50" s="49" t="s">
        <v>54</v>
      </c>
      <c r="AY50" s="12">
        <f t="shared" si="210"/>
        <v>0</v>
      </c>
      <c r="AZ50" s="33" t="s">
        <v>52</v>
      </c>
      <c r="BA50" s="49">
        <f t="shared" si="211"/>
        <v>0</v>
      </c>
      <c r="BB50" s="12" t="s">
        <v>53</v>
      </c>
      <c r="BC50" s="33">
        <f t="shared" si="212"/>
        <v>0</v>
      </c>
      <c r="BD50" s="49" t="s">
        <v>54</v>
      </c>
      <c r="BE50" s="12">
        <f t="shared" si="213"/>
        <v>0</v>
      </c>
      <c r="BF50" s="33" t="s">
        <v>52</v>
      </c>
      <c r="BG50" s="53">
        <f t="shared" si="214"/>
        <v>0</v>
      </c>
      <c r="BH50" s="12"/>
      <c r="BI50" s="43">
        <f>IFERROR(IF($B$14="W",BI22,BI23),"0")</f>
        <v>0</v>
      </c>
      <c r="BJ50" s="12" t="str">
        <f t="shared" ref="BJ50:CI50" si="235">IFERROR(IF($B$14="W",BJ22,BJ23),"0")</f>
        <v>-</v>
      </c>
      <c r="BK50" s="49">
        <f t="shared" si="235"/>
        <v>0</v>
      </c>
      <c r="BL50" s="12" t="str">
        <f t="shared" si="235"/>
        <v>(</v>
      </c>
      <c r="BM50" s="33">
        <f t="shared" si="235"/>
        <v>0</v>
      </c>
      <c r="BN50" s="49" t="str">
        <f t="shared" si="235"/>
        <v>)</v>
      </c>
      <c r="BO50" s="12">
        <f t="shared" si="235"/>
        <v>0</v>
      </c>
      <c r="BP50" s="12" t="str">
        <f t="shared" si="235"/>
        <v>-</v>
      </c>
      <c r="BQ50" s="49">
        <f t="shared" si="235"/>
        <v>0</v>
      </c>
      <c r="BR50" s="12" t="str">
        <f t="shared" si="235"/>
        <v>(</v>
      </c>
      <c r="BS50" s="33">
        <f t="shared" si="235"/>
        <v>0</v>
      </c>
      <c r="BT50" s="49" t="str">
        <f t="shared" si="235"/>
        <v>)</v>
      </c>
      <c r="BU50" s="12">
        <f t="shared" si="235"/>
        <v>0</v>
      </c>
      <c r="BV50" s="12" t="str">
        <f t="shared" si="235"/>
        <v>-</v>
      </c>
      <c r="BW50" s="49">
        <f t="shared" si="235"/>
        <v>0</v>
      </c>
      <c r="BX50" s="12" t="str">
        <f t="shared" si="235"/>
        <v>(</v>
      </c>
      <c r="BY50" s="12">
        <f t="shared" si="235"/>
        <v>0</v>
      </c>
      <c r="BZ50" s="49" t="str">
        <f t="shared" si="235"/>
        <v>)</v>
      </c>
      <c r="CA50" s="12">
        <f t="shared" si="235"/>
        <v>0</v>
      </c>
      <c r="CB50" s="12" t="str">
        <f t="shared" si="235"/>
        <v>-</v>
      </c>
      <c r="CC50" s="49">
        <f t="shared" si="235"/>
        <v>0</v>
      </c>
      <c r="CD50" s="12" t="str">
        <f t="shared" si="235"/>
        <v>(</v>
      </c>
      <c r="CE50" s="33">
        <f t="shared" si="235"/>
        <v>0</v>
      </c>
      <c r="CF50" s="49" t="str">
        <f t="shared" si="235"/>
        <v>)</v>
      </c>
      <c r="CG50" s="12">
        <f t="shared" si="235"/>
        <v>0</v>
      </c>
      <c r="CH50" s="12" t="str">
        <f t="shared" si="235"/>
        <v>-</v>
      </c>
      <c r="CI50" s="53">
        <f t="shared" si="235"/>
        <v>0</v>
      </c>
      <c r="CJ50" s="33">
        <f>IFERROR(IF($B$14="W",CJ22,CJ23),"0")</f>
        <v>0</v>
      </c>
      <c r="CK50" s="33">
        <f t="shared" ref="CK50:CV50" si="236">IFERROR(IF($B$14="W",CK22,CK23),"0")</f>
        <v>0</v>
      </c>
      <c r="CL50" s="33">
        <f t="shared" ref="CL50:CM50" si="237">IFERROR(IF($B$14="W",CL22,CL23),"0")</f>
        <v>0</v>
      </c>
      <c r="CM50" s="33">
        <f t="shared" si="237"/>
        <v>0</v>
      </c>
      <c r="CN50" s="33">
        <f t="shared" si="236"/>
        <v>0</v>
      </c>
      <c r="CO50" s="33">
        <f t="shared" si="236"/>
        <v>0</v>
      </c>
      <c r="CP50" s="33">
        <f t="shared" si="236"/>
        <v>0</v>
      </c>
      <c r="CQ50" s="33">
        <f t="shared" si="236"/>
        <v>0</v>
      </c>
      <c r="CR50" s="33">
        <f t="shared" si="236"/>
        <v>0</v>
      </c>
      <c r="CS50" s="33">
        <f t="shared" si="236"/>
        <v>0</v>
      </c>
      <c r="CT50" s="33">
        <f t="shared" si="236"/>
        <v>0</v>
      </c>
      <c r="CU50" s="33">
        <f t="shared" si="236"/>
        <v>0</v>
      </c>
      <c r="CV50" s="33">
        <f t="shared" si="236"/>
        <v>0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85"/>
        <v>0</v>
      </c>
      <c r="EW50" s="38" t="s">
        <v>228</v>
      </c>
      <c r="EX50" s="6">
        <f t="shared" si="186"/>
        <v>0</v>
      </c>
      <c r="EY50" s="6">
        <f t="shared" si="217"/>
        <v>0</v>
      </c>
      <c r="EZ50" s="6" t="str">
        <f t="shared" si="218"/>
        <v>0</v>
      </c>
    </row>
    <row r="51" spans="3:156" x14ac:dyDescent="0.2">
      <c r="C51" s="38" t="s">
        <v>229</v>
      </c>
      <c r="D51" s="28">
        <f t="shared" si="182"/>
        <v>0</v>
      </c>
      <c r="E51" s="86">
        <f t="shared" si="187"/>
        <v>0</v>
      </c>
      <c r="F51" s="33" t="s">
        <v>52</v>
      </c>
      <c r="G51" s="49">
        <f t="shared" si="188"/>
        <v>0</v>
      </c>
      <c r="H51" s="12" t="s">
        <v>53</v>
      </c>
      <c r="I51" s="33">
        <f t="shared" si="189"/>
        <v>0</v>
      </c>
      <c r="J51" s="49" t="s">
        <v>54</v>
      </c>
      <c r="K51" s="12">
        <f t="shared" si="190"/>
        <v>0</v>
      </c>
      <c r="L51" s="33" t="s">
        <v>52</v>
      </c>
      <c r="M51" s="49">
        <f t="shared" si="191"/>
        <v>0</v>
      </c>
      <c r="N51" s="12" t="s">
        <v>53</v>
      </c>
      <c r="O51" s="33">
        <f t="shared" si="192"/>
        <v>0</v>
      </c>
      <c r="P51" s="49" t="s">
        <v>54</v>
      </c>
      <c r="Q51" s="12">
        <f t="shared" si="193"/>
        <v>0</v>
      </c>
      <c r="R51" s="33" t="s">
        <v>52</v>
      </c>
      <c r="S51" s="49">
        <f t="shared" si="194"/>
        <v>0</v>
      </c>
      <c r="T51" s="12" t="s">
        <v>53</v>
      </c>
      <c r="U51" s="33">
        <f t="shared" si="195"/>
        <v>0</v>
      </c>
      <c r="V51" s="49" t="s">
        <v>54</v>
      </c>
      <c r="W51" s="12">
        <f t="shared" si="196"/>
        <v>0</v>
      </c>
      <c r="X51" s="33" t="s">
        <v>52</v>
      </c>
      <c r="Y51" s="49">
        <f t="shared" si="197"/>
        <v>0</v>
      </c>
      <c r="Z51" s="12" t="s">
        <v>53</v>
      </c>
      <c r="AA51" s="33">
        <f t="shared" si="198"/>
        <v>0</v>
      </c>
      <c r="AB51" s="49" t="s">
        <v>54</v>
      </c>
      <c r="AC51" s="12">
        <f t="shared" si="199"/>
        <v>0</v>
      </c>
      <c r="AD51" s="33" t="s">
        <v>52</v>
      </c>
      <c r="AE51" s="53">
        <f t="shared" si="200"/>
        <v>0</v>
      </c>
      <c r="AF51" s="12"/>
      <c r="AG51" s="43">
        <f t="shared" si="201"/>
        <v>0</v>
      </c>
      <c r="AH51" s="33" t="s">
        <v>52</v>
      </c>
      <c r="AI51" s="49">
        <f t="shared" si="202"/>
        <v>0</v>
      </c>
      <c r="AJ51" s="12" t="s">
        <v>53</v>
      </c>
      <c r="AK51" s="33">
        <f t="shared" si="203"/>
        <v>0</v>
      </c>
      <c r="AL51" s="49" t="s">
        <v>54</v>
      </c>
      <c r="AM51" s="12">
        <f t="shared" si="204"/>
        <v>0</v>
      </c>
      <c r="AN51" s="33" t="s">
        <v>52</v>
      </c>
      <c r="AO51" s="49">
        <f t="shared" si="205"/>
        <v>0</v>
      </c>
      <c r="AP51" s="12" t="s">
        <v>53</v>
      </c>
      <c r="AQ51" s="33">
        <f t="shared" si="206"/>
        <v>0</v>
      </c>
      <c r="AR51" s="49" t="s">
        <v>54</v>
      </c>
      <c r="AS51" s="12">
        <f t="shared" si="207"/>
        <v>0</v>
      </c>
      <c r="AT51" s="33" t="s">
        <v>52</v>
      </c>
      <c r="AU51" s="49">
        <f t="shared" si="208"/>
        <v>0</v>
      </c>
      <c r="AV51" s="12" t="s">
        <v>53</v>
      </c>
      <c r="AW51" s="33">
        <f t="shared" si="209"/>
        <v>0</v>
      </c>
      <c r="AX51" s="49" t="s">
        <v>54</v>
      </c>
      <c r="AY51" s="12">
        <f t="shared" si="210"/>
        <v>0</v>
      </c>
      <c r="AZ51" s="33" t="s">
        <v>52</v>
      </c>
      <c r="BA51" s="49">
        <f t="shared" si="211"/>
        <v>0</v>
      </c>
      <c r="BB51" s="12" t="s">
        <v>53</v>
      </c>
      <c r="BC51" s="33">
        <f t="shared" si="212"/>
        <v>0</v>
      </c>
      <c r="BD51" s="49" t="s">
        <v>54</v>
      </c>
      <c r="BE51" s="12">
        <f t="shared" si="213"/>
        <v>0</v>
      </c>
      <c r="BF51" s="33" t="s">
        <v>52</v>
      </c>
      <c r="BG51" s="53">
        <f t="shared" si="214"/>
        <v>0</v>
      </c>
      <c r="BH51" s="12"/>
      <c r="BI51" s="43">
        <f>IFERROR(IF($B$15="W",BI22,BI23),"0")</f>
        <v>0</v>
      </c>
      <c r="BJ51" s="12" t="str">
        <f t="shared" ref="BJ51:CI51" si="238">IFERROR(IF($B$15="W",BJ22,BJ23),"0")</f>
        <v>-</v>
      </c>
      <c r="BK51" s="49">
        <f t="shared" si="238"/>
        <v>0</v>
      </c>
      <c r="BL51" s="12" t="str">
        <f t="shared" si="238"/>
        <v>(</v>
      </c>
      <c r="BM51" s="33">
        <f t="shared" si="238"/>
        <v>0</v>
      </c>
      <c r="BN51" s="49" t="str">
        <f t="shared" si="238"/>
        <v>)</v>
      </c>
      <c r="BO51" s="12">
        <f t="shared" si="238"/>
        <v>0</v>
      </c>
      <c r="BP51" s="12" t="str">
        <f t="shared" si="238"/>
        <v>-</v>
      </c>
      <c r="BQ51" s="49">
        <f t="shared" si="238"/>
        <v>0</v>
      </c>
      <c r="BR51" s="12" t="str">
        <f t="shared" si="238"/>
        <v>(</v>
      </c>
      <c r="BS51" s="33">
        <f t="shared" si="238"/>
        <v>0</v>
      </c>
      <c r="BT51" s="49" t="str">
        <f t="shared" si="238"/>
        <v>)</v>
      </c>
      <c r="BU51" s="12">
        <f t="shared" si="238"/>
        <v>0</v>
      </c>
      <c r="BV51" s="12" t="str">
        <f t="shared" si="238"/>
        <v>-</v>
      </c>
      <c r="BW51" s="49">
        <f t="shared" si="238"/>
        <v>0</v>
      </c>
      <c r="BX51" s="12" t="str">
        <f t="shared" si="238"/>
        <v>(</v>
      </c>
      <c r="BY51" s="12">
        <f t="shared" si="238"/>
        <v>0</v>
      </c>
      <c r="BZ51" s="49" t="str">
        <f t="shared" si="238"/>
        <v>)</v>
      </c>
      <c r="CA51" s="12">
        <f t="shared" si="238"/>
        <v>0</v>
      </c>
      <c r="CB51" s="12" t="str">
        <f t="shared" si="238"/>
        <v>-</v>
      </c>
      <c r="CC51" s="49">
        <f t="shared" si="238"/>
        <v>0</v>
      </c>
      <c r="CD51" s="12" t="str">
        <f t="shared" si="238"/>
        <v>(</v>
      </c>
      <c r="CE51" s="33">
        <f t="shared" si="238"/>
        <v>0</v>
      </c>
      <c r="CF51" s="49" t="str">
        <f t="shared" si="238"/>
        <v>)</v>
      </c>
      <c r="CG51" s="12">
        <f t="shared" si="238"/>
        <v>0</v>
      </c>
      <c r="CH51" s="12" t="str">
        <f t="shared" si="238"/>
        <v>-</v>
      </c>
      <c r="CI51" s="53">
        <f t="shared" si="238"/>
        <v>0</v>
      </c>
      <c r="CJ51" s="33">
        <f>IFERROR(IF($B$15="W",CJ22,CJ23),"0")</f>
        <v>0</v>
      </c>
      <c r="CK51" s="33">
        <f t="shared" ref="CK51:CV51" si="239">IFERROR(IF($B$15="W",CK22,CK23),"0")</f>
        <v>0</v>
      </c>
      <c r="CL51" s="33">
        <f t="shared" ref="CL51:CM51" si="240">IFERROR(IF($B$15="W",CL22,CL23),"0")</f>
        <v>0</v>
      </c>
      <c r="CM51" s="33">
        <f t="shared" si="240"/>
        <v>0</v>
      </c>
      <c r="CN51" s="33">
        <f t="shared" si="239"/>
        <v>0</v>
      </c>
      <c r="CO51" s="33">
        <f t="shared" si="239"/>
        <v>0</v>
      </c>
      <c r="CP51" s="33">
        <f t="shared" si="239"/>
        <v>0</v>
      </c>
      <c r="CQ51" s="33">
        <f t="shared" si="239"/>
        <v>0</v>
      </c>
      <c r="CR51" s="33">
        <f t="shared" si="239"/>
        <v>0</v>
      </c>
      <c r="CS51" s="33">
        <f t="shared" si="239"/>
        <v>0</v>
      </c>
      <c r="CT51" s="33">
        <f t="shared" si="239"/>
        <v>0</v>
      </c>
      <c r="CU51" s="33">
        <f t="shared" si="239"/>
        <v>0</v>
      </c>
      <c r="CV51" s="33">
        <f t="shared" si="239"/>
        <v>0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85"/>
        <v>0</v>
      </c>
      <c r="EW51" s="38" t="s">
        <v>229</v>
      </c>
      <c r="EX51" s="6">
        <f t="shared" si="186"/>
        <v>0</v>
      </c>
      <c r="EY51" s="6">
        <f t="shared" si="217"/>
        <v>0</v>
      </c>
      <c r="EZ51" s="6" t="str">
        <f t="shared" si="218"/>
        <v>0</v>
      </c>
    </row>
    <row r="52" spans="3:156" x14ac:dyDescent="0.2">
      <c r="C52" s="38" t="s">
        <v>113</v>
      </c>
      <c r="D52" s="28">
        <f t="shared" si="182"/>
        <v>0</v>
      </c>
      <c r="E52" s="86">
        <f t="shared" si="187"/>
        <v>0</v>
      </c>
      <c r="F52" s="33" t="s">
        <v>52</v>
      </c>
      <c r="G52" s="49">
        <f t="shared" si="188"/>
        <v>0</v>
      </c>
      <c r="H52" s="12" t="s">
        <v>53</v>
      </c>
      <c r="I52" s="33">
        <f t="shared" si="189"/>
        <v>0</v>
      </c>
      <c r="J52" s="49" t="s">
        <v>54</v>
      </c>
      <c r="K52" s="12">
        <f t="shared" si="190"/>
        <v>0</v>
      </c>
      <c r="L52" s="33" t="s">
        <v>52</v>
      </c>
      <c r="M52" s="49">
        <f t="shared" si="191"/>
        <v>0</v>
      </c>
      <c r="N52" s="12" t="s">
        <v>53</v>
      </c>
      <c r="O52" s="33">
        <f t="shared" si="192"/>
        <v>0</v>
      </c>
      <c r="P52" s="49" t="s">
        <v>54</v>
      </c>
      <c r="Q52" s="12">
        <f t="shared" si="193"/>
        <v>0</v>
      </c>
      <c r="R52" s="33" t="s">
        <v>52</v>
      </c>
      <c r="S52" s="49">
        <f t="shared" si="194"/>
        <v>0</v>
      </c>
      <c r="T52" s="12" t="s">
        <v>53</v>
      </c>
      <c r="U52" s="33">
        <f t="shared" si="195"/>
        <v>0</v>
      </c>
      <c r="V52" s="49" t="s">
        <v>54</v>
      </c>
      <c r="W52" s="12">
        <f t="shared" si="196"/>
        <v>0</v>
      </c>
      <c r="X52" s="33" t="s">
        <v>52</v>
      </c>
      <c r="Y52" s="49">
        <f t="shared" si="197"/>
        <v>0</v>
      </c>
      <c r="Z52" s="12" t="s">
        <v>53</v>
      </c>
      <c r="AA52" s="33">
        <f t="shared" si="198"/>
        <v>0</v>
      </c>
      <c r="AB52" s="49" t="s">
        <v>54</v>
      </c>
      <c r="AC52" s="12">
        <f t="shared" si="199"/>
        <v>0</v>
      </c>
      <c r="AD52" s="33" t="s">
        <v>52</v>
      </c>
      <c r="AE52" s="53">
        <f t="shared" si="200"/>
        <v>0</v>
      </c>
      <c r="AF52" s="12"/>
      <c r="AG52" s="43">
        <f t="shared" si="201"/>
        <v>0</v>
      </c>
      <c r="AH52" s="33" t="s">
        <v>52</v>
      </c>
      <c r="AI52" s="49">
        <f t="shared" si="202"/>
        <v>0</v>
      </c>
      <c r="AJ52" s="12" t="s">
        <v>53</v>
      </c>
      <c r="AK52" s="33">
        <f t="shared" si="203"/>
        <v>0</v>
      </c>
      <c r="AL52" s="49" t="s">
        <v>54</v>
      </c>
      <c r="AM52" s="12">
        <f t="shared" si="204"/>
        <v>0</v>
      </c>
      <c r="AN52" s="33" t="s">
        <v>52</v>
      </c>
      <c r="AO52" s="49">
        <f t="shared" si="205"/>
        <v>0</v>
      </c>
      <c r="AP52" s="12" t="s">
        <v>53</v>
      </c>
      <c r="AQ52" s="33">
        <f t="shared" si="206"/>
        <v>0</v>
      </c>
      <c r="AR52" s="49" t="s">
        <v>54</v>
      </c>
      <c r="AS52" s="12">
        <f t="shared" si="207"/>
        <v>0</v>
      </c>
      <c r="AT52" s="33" t="s">
        <v>52</v>
      </c>
      <c r="AU52" s="49">
        <f t="shared" si="208"/>
        <v>0</v>
      </c>
      <c r="AV52" s="12" t="s">
        <v>53</v>
      </c>
      <c r="AW52" s="33">
        <f t="shared" si="209"/>
        <v>0</v>
      </c>
      <c r="AX52" s="49" t="s">
        <v>54</v>
      </c>
      <c r="AY52" s="12">
        <f t="shared" si="210"/>
        <v>0</v>
      </c>
      <c r="AZ52" s="33" t="s">
        <v>52</v>
      </c>
      <c r="BA52" s="49">
        <f t="shared" si="211"/>
        <v>0</v>
      </c>
      <c r="BB52" s="12" t="s">
        <v>53</v>
      </c>
      <c r="BC52" s="33">
        <f t="shared" si="212"/>
        <v>0</v>
      </c>
      <c r="BD52" s="49" t="s">
        <v>54</v>
      </c>
      <c r="BE52" s="12">
        <f t="shared" si="213"/>
        <v>0</v>
      </c>
      <c r="BF52" s="33" t="s">
        <v>52</v>
      </c>
      <c r="BG52" s="53">
        <f t="shared" si="214"/>
        <v>0</v>
      </c>
      <c r="BH52" s="12"/>
      <c r="BI52" s="43">
        <f>IFERROR(IF($B$16="W",BI22,BI23),"0")</f>
        <v>0</v>
      </c>
      <c r="BJ52" s="12" t="str">
        <f t="shared" ref="BJ52:CI52" si="241">IFERROR(IF($B$16="W",BJ22,BJ23),"0")</f>
        <v>-</v>
      </c>
      <c r="BK52" s="49">
        <f t="shared" si="241"/>
        <v>0</v>
      </c>
      <c r="BL52" s="12" t="str">
        <f t="shared" si="241"/>
        <v>(</v>
      </c>
      <c r="BM52" s="33">
        <f t="shared" si="241"/>
        <v>0</v>
      </c>
      <c r="BN52" s="49" t="str">
        <f t="shared" si="241"/>
        <v>)</v>
      </c>
      <c r="BO52" s="12">
        <f t="shared" si="241"/>
        <v>0</v>
      </c>
      <c r="BP52" s="12" t="str">
        <f t="shared" si="241"/>
        <v>-</v>
      </c>
      <c r="BQ52" s="49">
        <f t="shared" si="241"/>
        <v>0</v>
      </c>
      <c r="BR52" s="12" t="str">
        <f t="shared" si="241"/>
        <v>(</v>
      </c>
      <c r="BS52" s="33">
        <f t="shared" si="241"/>
        <v>0</v>
      </c>
      <c r="BT52" s="49" t="str">
        <f t="shared" si="241"/>
        <v>)</v>
      </c>
      <c r="BU52" s="12">
        <f t="shared" si="241"/>
        <v>0</v>
      </c>
      <c r="BV52" s="12" t="str">
        <f t="shared" si="241"/>
        <v>-</v>
      </c>
      <c r="BW52" s="49">
        <f t="shared" si="241"/>
        <v>0</v>
      </c>
      <c r="BX52" s="12" t="str">
        <f t="shared" si="241"/>
        <v>(</v>
      </c>
      <c r="BY52" s="12">
        <f t="shared" si="241"/>
        <v>0</v>
      </c>
      <c r="BZ52" s="49" t="str">
        <f t="shared" si="241"/>
        <v>)</v>
      </c>
      <c r="CA52" s="12">
        <f t="shared" si="241"/>
        <v>0</v>
      </c>
      <c r="CB52" s="12" t="str">
        <f t="shared" si="241"/>
        <v>-</v>
      </c>
      <c r="CC52" s="49">
        <f t="shared" si="241"/>
        <v>0</v>
      </c>
      <c r="CD52" s="12" t="str">
        <f t="shared" si="241"/>
        <v>(</v>
      </c>
      <c r="CE52" s="33">
        <f t="shared" si="241"/>
        <v>0</v>
      </c>
      <c r="CF52" s="49" t="str">
        <f t="shared" si="241"/>
        <v>)</v>
      </c>
      <c r="CG52" s="12">
        <f t="shared" si="241"/>
        <v>0</v>
      </c>
      <c r="CH52" s="12" t="str">
        <f t="shared" si="241"/>
        <v>-</v>
      </c>
      <c r="CI52" s="53">
        <f t="shared" si="241"/>
        <v>0</v>
      </c>
      <c r="CJ52" s="33">
        <f>IFERROR(IF($B$16="W",CJ22,CJ23),"0")</f>
        <v>0</v>
      </c>
      <c r="CK52" s="33">
        <f t="shared" ref="CK52:CV52" si="242">IFERROR(IF($B$16="W",CK22,CK23),"0")</f>
        <v>0</v>
      </c>
      <c r="CL52" s="33">
        <f t="shared" ref="CL52:CM52" si="243">IFERROR(IF($B$16="W",CL22,CL23),"0")</f>
        <v>0</v>
      </c>
      <c r="CM52" s="33">
        <f t="shared" si="243"/>
        <v>0</v>
      </c>
      <c r="CN52" s="33">
        <f t="shared" si="242"/>
        <v>0</v>
      </c>
      <c r="CO52" s="33">
        <f t="shared" si="242"/>
        <v>0</v>
      </c>
      <c r="CP52" s="33">
        <f t="shared" si="242"/>
        <v>0</v>
      </c>
      <c r="CQ52" s="33">
        <f t="shared" si="242"/>
        <v>0</v>
      </c>
      <c r="CR52" s="33">
        <f t="shared" si="242"/>
        <v>0</v>
      </c>
      <c r="CS52" s="33">
        <f t="shared" si="242"/>
        <v>0</v>
      </c>
      <c r="CT52" s="33">
        <f t="shared" si="242"/>
        <v>0</v>
      </c>
      <c r="CU52" s="33">
        <f t="shared" si="242"/>
        <v>0</v>
      </c>
      <c r="CV52" s="33">
        <f t="shared" si="242"/>
        <v>0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85"/>
        <v>0</v>
      </c>
      <c r="EW52" s="38" t="s">
        <v>113</v>
      </c>
      <c r="EX52" s="6">
        <f t="shared" si="186"/>
        <v>0</v>
      </c>
      <c r="EY52" s="6">
        <f t="shared" si="217"/>
        <v>0</v>
      </c>
      <c r="EZ52" s="6" t="str">
        <f t="shared" si="218"/>
        <v>0</v>
      </c>
    </row>
    <row r="53" spans="3:156" x14ac:dyDescent="0.2">
      <c r="C53" s="38" t="s">
        <v>49</v>
      </c>
      <c r="D53" s="28">
        <f t="shared" si="182"/>
        <v>0</v>
      </c>
      <c r="E53" s="86">
        <f t="shared" si="187"/>
        <v>0</v>
      </c>
      <c r="F53" s="33" t="s">
        <v>52</v>
      </c>
      <c r="G53" s="49">
        <f t="shared" si="188"/>
        <v>0</v>
      </c>
      <c r="H53" s="12" t="s">
        <v>53</v>
      </c>
      <c r="I53" s="33">
        <f t="shared" si="189"/>
        <v>0</v>
      </c>
      <c r="J53" s="49" t="s">
        <v>54</v>
      </c>
      <c r="K53" s="12">
        <f t="shared" si="190"/>
        <v>0</v>
      </c>
      <c r="L53" s="33" t="s">
        <v>52</v>
      </c>
      <c r="M53" s="49">
        <f t="shared" si="191"/>
        <v>0</v>
      </c>
      <c r="N53" s="12" t="s">
        <v>53</v>
      </c>
      <c r="O53" s="33">
        <f t="shared" si="192"/>
        <v>0</v>
      </c>
      <c r="P53" s="49" t="s">
        <v>54</v>
      </c>
      <c r="Q53" s="12">
        <f t="shared" si="193"/>
        <v>0</v>
      </c>
      <c r="R53" s="33" t="s">
        <v>52</v>
      </c>
      <c r="S53" s="49">
        <f t="shared" si="194"/>
        <v>0</v>
      </c>
      <c r="T53" s="12" t="s">
        <v>53</v>
      </c>
      <c r="U53" s="33">
        <f t="shared" si="195"/>
        <v>0</v>
      </c>
      <c r="V53" s="49" t="s">
        <v>54</v>
      </c>
      <c r="W53" s="12">
        <f t="shared" si="196"/>
        <v>0</v>
      </c>
      <c r="X53" s="33" t="s">
        <v>52</v>
      </c>
      <c r="Y53" s="49">
        <f t="shared" si="197"/>
        <v>0</v>
      </c>
      <c r="Z53" s="12" t="s">
        <v>53</v>
      </c>
      <c r="AA53" s="33">
        <f t="shared" si="198"/>
        <v>0</v>
      </c>
      <c r="AB53" s="49" t="s">
        <v>54</v>
      </c>
      <c r="AC53" s="12">
        <f t="shared" si="199"/>
        <v>0</v>
      </c>
      <c r="AD53" s="33" t="s">
        <v>52</v>
      </c>
      <c r="AE53" s="53">
        <f t="shared" si="200"/>
        <v>0</v>
      </c>
      <c r="AF53" s="12"/>
      <c r="AG53" s="43">
        <f t="shared" si="201"/>
        <v>0</v>
      </c>
      <c r="AH53" s="33" t="s">
        <v>52</v>
      </c>
      <c r="AI53" s="49">
        <f t="shared" si="202"/>
        <v>0</v>
      </c>
      <c r="AJ53" s="12" t="s">
        <v>53</v>
      </c>
      <c r="AK53" s="33">
        <f t="shared" si="203"/>
        <v>0</v>
      </c>
      <c r="AL53" s="49" t="s">
        <v>54</v>
      </c>
      <c r="AM53" s="12">
        <f t="shared" si="204"/>
        <v>0</v>
      </c>
      <c r="AN53" s="33" t="s">
        <v>52</v>
      </c>
      <c r="AO53" s="49">
        <f t="shared" si="205"/>
        <v>0</v>
      </c>
      <c r="AP53" s="12" t="s">
        <v>53</v>
      </c>
      <c r="AQ53" s="33">
        <f t="shared" si="206"/>
        <v>0</v>
      </c>
      <c r="AR53" s="49" t="s">
        <v>54</v>
      </c>
      <c r="AS53" s="12">
        <f t="shared" si="207"/>
        <v>0</v>
      </c>
      <c r="AT53" s="33" t="s">
        <v>52</v>
      </c>
      <c r="AU53" s="49">
        <f t="shared" si="208"/>
        <v>0</v>
      </c>
      <c r="AV53" s="12" t="s">
        <v>53</v>
      </c>
      <c r="AW53" s="33">
        <f t="shared" si="209"/>
        <v>0</v>
      </c>
      <c r="AX53" s="49" t="s">
        <v>54</v>
      </c>
      <c r="AY53" s="12">
        <f t="shared" si="210"/>
        <v>0</v>
      </c>
      <c r="AZ53" s="33" t="s">
        <v>52</v>
      </c>
      <c r="BA53" s="49">
        <f t="shared" si="211"/>
        <v>0</v>
      </c>
      <c r="BB53" s="12" t="s">
        <v>53</v>
      </c>
      <c r="BC53" s="33">
        <f t="shared" si="212"/>
        <v>0</v>
      </c>
      <c r="BD53" s="49" t="s">
        <v>54</v>
      </c>
      <c r="BE53" s="12">
        <f t="shared" si="213"/>
        <v>0</v>
      </c>
      <c r="BF53" s="33" t="s">
        <v>52</v>
      </c>
      <c r="BG53" s="53">
        <f t="shared" si="214"/>
        <v>0</v>
      </c>
      <c r="BH53" s="12"/>
      <c r="BI53" s="43">
        <f>IFERROR(IF($B$17="W",BI22,BI23),"0")</f>
        <v>0</v>
      </c>
      <c r="BJ53" s="12" t="str">
        <f t="shared" ref="BJ53:CI53" si="244">IFERROR(IF($B$17="W",BJ22,BJ23),"0")</f>
        <v>-</v>
      </c>
      <c r="BK53" s="49">
        <f t="shared" si="244"/>
        <v>0</v>
      </c>
      <c r="BL53" s="12" t="str">
        <f t="shared" si="244"/>
        <v>(</v>
      </c>
      <c r="BM53" s="33">
        <f t="shared" si="244"/>
        <v>0</v>
      </c>
      <c r="BN53" s="49" t="str">
        <f t="shared" si="244"/>
        <v>)</v>
      </c>
      <c r="BO53" s="12">
        <f t="shared" si="244"/>
        <v>0</v>
      </c>
      <c r="BP53" s="12" t="str">
        <f t="shared" si="244"/>
        <v>-</v>
      </c>
      <c r="BQ53" s="49">
        <f t="shared" si="244"/>
        <v>0</v>
      </c>
      <c r="BR53" s="12" t="str">
        <f t="shared" si="244"/>
        <v>(</v>
      </c>
      <c r="BS53" s="33">
        <f t="shared" si="244"/>
        <v>0</v>
      </c>
      <c r="BT53" s="49" t="str">
        <f t="shared" si="244"/>
        <v>)</v>
      </c>
      <c r="BU53" s="12">
        <f t="shared" si="244"/>
        <v>0</v>
      </c>
      <c r="BV53" s="12" t="str">
        <f t="shared" si="244"/>
        <v>-</v>
      </c>
      <c r="BW53" s="49">
        <f t="shared" si="244"/>
        <v>0</v>
      </c>
      <c r="BX53" s="12" t="str">
        <f t="shared" si="244"/>
        <v>(</v>
      </c>
      <c r="BY53" s="12">
        <f t="shared" si="244"/>
        <v>0</v>
      </c>
      <c r="BZ53" s="49" t="str">
        <f t="shared" si="244"/>
        <v>)</v>
      </c>
      <c r="CA53" s="12">
        <f t="shared" si="244"/>
        <v>0</v>
      </c>
      <c r="CB53" s="12" t="str">
        <f t="shared" si="244"/>
        <v>-</v>
      </c>
      <c r="CC53" s="49">
        <f t="shared" si="244"/>
        <v>0</v>
      </c>
      <c r="CD53" s="12" t="str">
        <f t="shared" si="244"/>
        <v>(</v>
      </c>
      <c r="CE53" s="33">
        <f t="shared" si="244"/>
        <v>0</v>
      </c>
      <c r="CF53" s="49" t="str">
        <f t="shared" si="244"/>
        <v>)</v>
      </c>
      <c r="CG53" s="12">
        <f t="shared" si="244"/>
        <v>0</v>
      </c>
      <c r="CH53" s="12" t="str">
        <f t="shared" si="244"/>
        <v>-</v>
      </c>
      <c r="CI53" s="53">
        <f t="shared" si="244"/>
        <v>0</v>
      </c>
      <c r="CJ53" s="33">
        <f>IFERROR(IF($B$17="W",CJ22,CJ23),"0")</f>
        <v>0</v>
      </c>
      <c r="CK53" s="33">
        <f t="shared" ref="CK53:CV53" si="245">IFERROR(IF($B$17="W",CK22,CK23),"0")</f>
        <v>0</v>
      </c>
      <c r="CL53" s="33">
        <f t="shared" ref="CL53:CM53" si="246">IFERROR(IF($B$17="W",CL22,CL23),"0")</f>
        <v>0</v>
      </c>
      <c r="CM53" s="33">
        <f t="shared" si="246"/>
        <v>0</v>
      </c>
      <c r="CN53" s="33">
        <f t="shared" si="245"/>
        <v>0</v>
      </c>
      <c r="CO53" s="33">
        <f t="shared" si="245"/>
        <v>0</v>
      </c>
      <c r="CP53" s="33">
        <f t="shared" si="245"/>
        <v>0</v>
      </c>
      <c r="CQ53" s="33">
        <f t="shared" si="245"/>
        <v>0</v>
      </c>
      <c r="CR53" s="33">
        <f t="shared" si="245"/>
        <v>0</v>
      </c>
      <c r="CS53" s="33">
        <f t="shared" si="245"/>
        <v>0</v>
      </c>
      <c r="CT53" s="33">
        <f t="shared" si="245"/>
        <v>0</v>
      </c>
      <c r="CU53" s="33">
        <f t="shared" si="245"/>
        <v>0</v>
      </c>
      <c r="CV53" s="33">
        <f t="shared" si="245"/>
        <v>0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85"/>
        <v>0</v>
      </c>
      <c r="EW53" s="38" t="s">
        <v>49</v>
      </c>
      <c r="EX53" s="6">
        <f t="shared" si="186"/>
        <v>0</v>
      </c>
      <c r="EY53" s="6">
        <f t="shared" si="217"/>
        <v>0</v>
      </c>
      <c r="EZ53" s="6" t="str">
        <f t="shared" si="218"/>
        <v>0</v>
      </c>
    </row>
    <row r="54" spans="3:156" ht="17" thickBot="1" x14ac:dyDescent="0.25">
      <c r="C54" s="38" t="s">
        <v>230</v>
      </c>
      <c r="D54" s="28">
        <f t="shared" si="182"/>
        <v>0</v>
      </c>
      <c r="E54" s="87">
        <f t="shared" si="187"/>
        <v>0</v>
      </c>
      <c r="F54" s="55" t="s">
        <v>52</v>
      </c>
      <c r="G54" s="54">
        <f t="shared" si="188"/>
        <v>0</v>
      </c>
      <c r="H54" s="45" t="s">
        <v>53</v>
      </c>
      <c r="I54" s="55">
        <f t="shared" si="189"/>
        <v>0</v>
      </c>
      <c r="J54" s="54" t="s">
        <v>54</v>
      </c>
      <c r="K54" s="45">
        <f t="shared" si="190"/>
        <v>0</v>
      </c>
      <c r="L54" s="55" t="s">
        <v>52</v>
      </c>
      <c r="M54" s="54">
        <f t="shared" si="191"/>
        <v>0</v>
      </c>
      <c r="N54" s="45" t="s">
        <v>53</v>
      </c>
      <c r="O54" s="55">
        <f t="shared" si="192"/>
        <v>0</v>
      </c>
      <c r="P54" s="54" t="s">
        <v>54</v>
      </c>
      <c r="Q54" s="45">
        <f t="shared" si="193"/>
        <v>0</v>
      </c>
      <c r="R54" s="55" t="s">
        <v>52</v>
      </c>
      <c r="S54" s="54">
        <f t="shared" si="194"/>
        <v>0</v>
      </c>
      <c r="T54" s="45" t="s">
        <v>53</v>
      </c>
      <c r="U54" s="55">
        <f t="shared" si="195"/>
        <v>0</v>
      </c>
      <c r="V54" s="54" t="s">
        <v>54</v>
      </c>
      <c r="W54" s="45">
        <f t="shared" si="196"/>
        <v>0</v>
      </c>
      <c r="X54" s="55" t="s">
        <v>52</v>
      </c>
      <c r="Y54" s="54">
        <f t="shared" si="197"/>
        <v>0</v>
      </c>
      <c r="Z54" s="45" t="s">
        <v>53</v>
      </c>
      <c r="AA54" s="55">
        <f t="shared" si="198"/>
        <v>0</v>
      </c>
      <c r="AB54" s="54" t="s">
        <v>54</v>
      </c>
      <c r="AC54" s="45">
        <f t="shared" si="199"/>
        <v>0</v>
      </c>
      <c r="AD54" s="55" t="s">
        <v>52</v>
      </c>
      <c r="AE54" s="56">
        <f t="shared" si="200"/>
        <v>0</v>
      </c>
      <c r="AF54" s="1"/>
      <c r="AG54" s="44">
        <f t="shared" si="201"/>
        <v>0</v>
      </c>
      <c r="AH54" s="55" t="s">
        <v>52</v>
      </c>
      <c r="AI54" s="54">
        <f t="shared" si="202"/>
        <v>0</v>
      </c>
      <c r="AJ54" s="45" t="s">
        <v>53</v>
      </c>
      <c r="AK54" s="55">
        <f t="shared" si="203"/>
        <v>0</v>
      </c>
      <c r="AL54" s="54" t="s">
        <v>54</v>
      </c>
      <c r="AM54" s="45">
        <f t="shared" si="204"/>
        <v>0</v>
      </c>
      <c r="AN54" s="55" t="s">
        <v>52</v>
      </c>
      <c r="AO54" s="54">
        <f t="shared" si="205"/>
        <v>0</v>
      </c>
      <c r="AP54" s="45" t="s">
        <v>53</v>
      </c>
      <c r="AQ54" s="55">
        <f t="shared" si="206"/>
        <v>0</v>
      </c>
      <c r="AR54" s="54" t="s">
        <v>54</v>
      </c>
      <c r="AS54" s="45">
        <f t="shared" si="207"/>
        <v>0</v>
      </c>
      <c r="AT54" s="55" t="s">
        <v>52</v>
      </c>
      <c r="AU54" s="54">
        <f t="shared" si="208"/>
        <v>0</v>
      </c>
      <c r="AV54" s="45" t="s">
        <v>53</v>
      </c>
      <c r="AW54" s="55">
        <f t="shared" si="209"/>
        <v>0</v>
      </c>
      <c r="AX54" s="54" t="s">
        <v>54</v>
      </c>
      <c r="AY54" s="45">
        <f t="shared" si="210"/>
        <v>0</v>
      </c>
      <c r="AZ54" s="55" t="s">
        <v>52</v>
      </c>
      <c r="BA54" s="54">
        <f t="shared" si="211"/>
        <v>0</v>
      </c>
      <c r="BB54" s="45" t="s">
        <v>53</v>
      </c>
      <c r="BC54" s="55">
        <f t="shared" si="212"/>
        <v>0</v>
      </c>
      <c r="BD54" s="54" t="s">
        <v>54</v>
      </c>
      <c r="BE54" s="45">
        <f t="shared" si="213"/>
        <v>0</v>
      </c>
      <c r="BF54" s="55" t="s">
        <v>52</v>
      </c>
      <c r="BG54" s="56">
        <f t="shared" si="214"/>
        <v>0</v>
      </c>
      <c r="BH54" s="12"/>
      <c r="BI54" s="44">
        <f>IFERROR(IF($B$18="W",BI22,BI23),"0")</f>
        <v>0</v>
      </c>
      <c r="BJ54" s="45" t="str">
        <f t="shared" ref="BJ54:CI54" si="247">IFERROR(IF($B$18="W",BJ22,BJ23),"0")</f>
        <v>-</v>
      </c>
      <c r="BK54" s="54">
        <f t="shared" si="247"/>
        <v>0</v>
      </c>
      <c r="BL54" s="45" t="str">
        <f t="shared" si="247"/>
        <v>(</v>
      </c>
      <c r="BM54" s="55">
        <f t="shared" si="247"/>
        <v>0</v>
      </c>
      <c r="BN54" s="54" t="str">
        <f t="shared" si="247"/>
        <v>)</v>
      </c>
      <c r="BO54" s="45">
        <f t="shared" si="247"/>
        <v>0</v>
      </c>
      <c r="BP54" s="45" t="str">
        <f t="shared" si="247"/>
        <v>-</v>
      </c>
      <c r="BQ54" s="54">
        <f t="shared" si="247"/>
        <v>0</v>
      </c>
      <c r="BR54" s="45" t="str">
        <f t="shared" si="247"/>
        <v>(</v>
      </c>
      <c r="BS54" s="55">
        <f t="shared" si="247"/>
        <v>0</v>
      </c>
      <c r="BT54" s="54" t="str">
        <f t="shared" si="247"/>
        <v>)</v>
      </c>
      <c r="BU54" s="45">
        <f t="shared" si="247"/>
        <v>0</v>
      </c>
      <c r="BV54" s="45" t="str">
        <f t="shared" si="247"/>
        <v>-</v>
      </c>
      <c r="BW54" s="54">
        <f t="shared" si="247"/>
        <v>0</v>
      </c>
      <c r="BX54" s="45" t="str">
        <f t="shared" si="247"/>
        <v>(</v>
      </c>
      <c r="BY54" s="45">
        <f t="shared" si="247"/>
        <v>0</v>
      </c>
      <c r="BZ54" s="54" t="str">
        <f t="shared" si="247"/>
        <v>)</v>
      </c>
      <c r="CA54" s="45">
        <f t="shared" si="247"/>
        <v>0</v>
      </c>
      <c r="CB54" s="45" t="str">
        <f t="shared" si="247"/>
        <v>-</v>
      </c>
      <c r="CC54" s="54">
        <f t="shared" si="247"/>
        <v>0</v>
      </c>
      <c r="CD54" s="45" t="str">
        <f t="shared" si="247"/>
        <v>(</v>
      </c>
      <c r="CE54" s="55">
        <f t="shared" si="247"/>
        <v>0</v>
      </c>
      <c r="CF54" s="54" t="str">
        <f t="shared" si="247"/>
        <v>)</v>
      </c>
      <c r="CG54" s="45">
        <f t="shared" si="247"/>
        <v>0</v>
      </c>
      <c r="CH54" s="45" t="str">
        <f t="shared" si="247"/>
        <v>-</v>
      </c>
      <c r="CI54" s="56">
        <f t="shared" si="247"/>
        <v>0</v>
      </c>
      <c r="CJ54" s="33">
        <f t="shared" ref="CJ54" si="248">IFERROR(IF($B$18="W",CJ22,CJ23),"0")</f>
        <v>0</v>
      </c>
      <c r="CK54" s="33">
        <f t="shared" ref="CK54:CV54" si="249">IFERROR(IF($B$18="W",CK22,CK23),"0")</f>
        <v>0</v>
      </c>
      <c r="CL54" s="33">
        <f t="shared" ref="CL54" si="250">IFERROR(IF($B$18="W",CL22,CL23),"0")</f>
        <v>0</v>
      </c>
      <c r="CM54" s="33">
        <f>IFERROR(IF($B$18="W",CM22,CM23),"0")</f>
        <v>0</v>
      </c>
      <c r="CN54" s="33">
        <f t="shared" si="249"/>
        <v>0</v>
      </c>
      <c r="CO54" s="33">
        <f t="shared" si="249"/>
        <v>0</v>
      </c>
      <c r="CP54" s="33">
        <f t="shared" si="249"/>
        <v>0</v>
      </c>
      <c r="CQ54" s="33">
        <f t="shared" si="249"/>
        <v>0</v>
      </c>
      <c r="CR54" s="33">
        <f t="shared" si="249"/>
        <v>0</v>
      </c>
      <c r="CS54" s="33">
        <f t="shared" si="249"/>
        <v>0</v>
      </c>
      <c r="CT54" s="33">
        <f t="shared" si="249"/>
        <v>0</v>
      </c>
      <c r="CU54" s="33">
        <f t="shared" si="249"/>
        <v>0</v>
      </c>
      <c r="CV54" s="33">
        <f t="shared" si="249"/>
        <v>0</v>
      </c>
      <c r="CW54" s="33"/>
      <c r="CX54" s="1"/>
      <c r="CY54" s="1"/>
      <c r="CZ54" s="1"/>
      <c r="EF54" s="38" t="s">
        <v>230</v>
      </c>
      <c r="EG54" s="6">
        <f t="shared" si="185"/>
        <v>0</v>
      </c>
      <c r="EW54" s="38" t="s">
        <v>230</v>
      </c>
      <c r="EX54" s="6">
        <f t="shared" si="186"/>
        <v>0</v>
      </c>
      <c r="EY54" s="6">
        <f t="shared" si="217"/>
        <v>0</v>
      </c>
      <c r="EZ54" s="6" t="str">
        <f t="shared" si="218"/>
        <v>0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345"/>
      <c r="J57" s="51"/>
      <c r="K57" s="48"/>
      <c r="M57" s="51"/>
      <c r="N57" s="48"/>
      <c r="O57" s="345"/>
      <c r="P57" s="51"/>
      <c r="Q57" s="48"/>
      <c r="S57" s="51"/>
      <c r="T57" s="48"/>
      <c r="U57" s="345"/>
      <c r="V57" s="51"/>
      <c r="W57" s="48"/>
      <c r="Y57" s="51"/>
      <c r="Z57" s="48"/>
      <c r="AA57" s="345"/>
      <c r="AB57" s="51"/>
      <c r="AC57" s="48"/>
      <c r="AE57" s="51"/>
      <c r="AG57" s="48"/>
      <c r="AI57" s="51"/>
      <c r="AJ57" s="48"/>
      <c r="AK57" s="345"/>
      <c r="AL57" s="51"/>
      <c r="AM57" s="48"/>
      <c r="AO57" s="51"/>
      <c r="AP57" s="48"/>
      <c r="AQ57" s="345"/>
      <c r="AR57" s="51"/>
      <c r="AS57" s="48"/>
      <c r="AU57" s="51"/>
      <c r="AV57" s="48"/>
      <c r="AW57" s="345"/>
      <c r="AX57" s="51"/>
      <c r="AY57" s="48"/>
      <c r="BA57" s="51"/>
      <c r="BB57" s="48"/>
      <c r="BC57" s="345"/>
      <c r="BD57" s="51"/>
      <c r="BE57" s="48"/>
      <c r="BG57" s="51"/>
      <c r="BH57" s="51"/>
      <c r="BI57" s="48"/>
      <c r="BK57" s="51"/>
      <c r="BL57" s="48"/>
      <c r="BM57" s="345"/>
      <c r="BN57" s="51"/>
      <c r="BO57" s="48"/>
      <c r="BQ57" s="51"/>
      <c r="BR57" s="48"/>
      <c r="BS57" s="345"/>
      <c r="BT57" s="51"/>
      <c r="BU57" s="48"/>
      <c r="BW57" s="51"/>
      <c r="BX57" s="48"/>
      <c r="BY57" s="345"/>
      <c r="BZ57" s="51"/>
      <c r="CA57" s="48"/>
      <c r="CC57" s="51"/>
      <c r="CD57" s="48"/>
      <c r="CE57" s="345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345"/>
      <c r="J58" s="51"/>
      <c r="K58" s="48"/>
      <c r="M58" s="51"/>
      <c r="N58" s="48"/>
      <c r="O58" s="345"/>
      <c r="P58" s="51"/>
      <c r="Q58" s="48"/>
      <c r="S58" s="51"/>
      <c r="T58" s="48"/>
      <c r="U58" s="345"/>
      <c r="V58" s="51"/>
      <c r="W58" s="48"/>
      <c r="Y58" s="51"/>
      <c r="Z58" s="48"/>
      <c r="AA58" s="345"/>
      <c r="AB58" s="51"/>
      <c r="AC58" s="48"/>
      <c r="AE58" s="51"/>
      <c r="AG58" s="48"/>
      <c r="AI58" s="51"/>
      <c r="AJ58" s="48"/>
      <c r="AK58" s="345"/>
      <c r="AL58" s="51"/>
      <c r="AM58" s="48"/>
      <c r="AO58" s="51"/>
      <c r="AP58" s="48"/>
      <c r="AQ58" s="345"/>
      <c r="AR58" s="51"/>
      <c r="AS58" s="48"/>
      <c r="AU58" s="51"/>
      <c r="AV58" s="48"/>
      <c r="AW58" s="345"/>
      <c r="AX58" s="51"/>
      <c r="AY58" s="48"/>
      <c r="BA58" s="51"/>
      <c r="BB58" s="48"/>
      <c r="BC58" s="345"/>
      <c r="BD58" s="51"/>
      <c r="BE58" s="48"/>
      <c r="BG58" s="51"/>
      <c r="BH58" s="51"/>
      <c r="BI58" s="48"/>
      <c r="BK58" s="51"/>
      <c r="BL58" s="48"/>
      <c r="BM58" s="345"/>
      <c r="BN58" s="51"/>
      <c r="BO58" s="48"/>
      <c r="BQ58" s="51"/>
      <c r="BR58" s="48"/>
      <c r="BS58" s="345"/>
      <c r="BT58" s="51"/>
      <c r="BU58" s="48"/>
      <c r="BW58" s="51"/>
      <c r="BX58" s="48"/>
      <c r="BY58" s="345"/>
      <c r="BZ58" s="51"/>
      <c r="CA58" s="48"/>
      <c r="CC58" s="51"/>
      <c r="CD58" s="48"/>
      <c r="CE58" s="345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345"/>
      <c r="DE62" s="345"/>
      <c r="DF62" s="345"/>
      <c r="DG62" s="345"/>
      <c r="DH62" s="23"/>
      <c r="DI62" s="345"/>
      <c r="DJ62" s="345"/>
      <c r="DK62" s="345"/>
      <c r="DL62" s="345"/>
      <c r="DM62" s="345"/>
      <c r="DN62" s="345"/>
      <c r="DO62" s="345"/>
      <c r="DP62" s="345"/>
      <c r="DQ62" s="345"/>
      <c r="DR62" s="345"/>
      <c r="DS62" s="345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345"/>
      <c r="DE63" s="345"/>
      <c r="DF63" s="345"/>
      <c r="DG63" s="345"/>
      <c r="DH63" s="23"/>
      <c r="DI63" s="345"/>
      <c r="DJ63" s="345"/>
      <c r="DK63" s="345"/>
      <c r="DL63" s="345"/>
      <c r="DM63" s="345"/>
      <c r="DN63" s="345"/>
      <c r="DO63" s="345"/>
      <c r="DP63" s="345"/>
      <c r="DQ63" s="345"/>
      <c r="DR63" s="345"/>
      <c r="DS63" s="345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345"/>
      <c r="DE64" s="345"/>
      <c r="DF64" s="345"/>
      <c r="DG64" s="345"/>
      <c r="DH64" s="23"/>
      <c r="DI64" s="345"/>
      <c r="DJ64" s="345"/>
      <c r="DK64" s="345"/>
      <c r="DL64" s="345"/>
      <c r="DM64" s="345"/>
      <c r="DN64" s="345"/>
      <c r="DO64" s="345"/>
      <c r="DP64" s="345"/>
      <c r="DQ64" s="345"/>
      <c r="DR64" s="345"/>
      <c r="DS64" s="345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345"/>
      <c r="DE65" s="345"/>
      <c r="DF65" s="345"/>
      <c r="DG65" s="345"/>
      <c r="DH65" s="23"/>
      <c r="DI65" s="345"/>
      <c r="DJ65" s="345"/>
      <c r="DK65" s="345"/>
      <c r="DL65" s="345"/>
      <c r="DM65" s="345"/>
      <c r="DN65" s="345"/>
      <c r="DO65" s="345"/>
      <c r="DP65" s="345"/>
      <c r="DQ65" s="345"/>
      <c r="DR65" s="345"/>
      <c r="DS65" s="345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345"/>
      <c r="DE66" s="345"/>
      <c r="DF66" s="345"/>
      <c r="DG66" s="345"/>
      <c r="DH66" s="23"/>
      <c r="DI66" s="345"/>
      <c r="DJ66" s="345"/>
      <c r="DK66" s="345"/>
      <c r="DL66" s="345"/>
      <c r="DM66" s="345"/>
      <c r="DN66" s="345"/>
      <c r="DO66" s="345"/>
      <c r="DP66" s="345"/>
      <c r="DQ66" s="345"/>
      <c r="DR66" s="345"/>
      <c r="DS66" s="345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345"/>
      <c r="DE67" s="345"/>
      <c r="DF67" s="345"/>
      <c r="DG67" s="345"/>
      <c r="DH67" s="23"/>
      <c r="DI67" s="345"/>
      <c r="DJ67" s="345"/>
      <c r="DK67" s="345"/>
      <c r="DL67" s="345"/>
      <c r="DM67" s="345"/>
      <c r="DN67" s="345"/>
      <c r="DO67" s="345"/>
      <c r="DP67" s="345"/>
      <c r="DQ67" s="345"/>
      <c r="DR67" s="345"/>
      <c r="DS67" s="345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345"/>
      <c r="DE68" s="345"/>
      <c r="DF68" s="345"/>
      <c r="DG68" s="345"/>
      <c r="DH68" s="23"/>
      <c r="DI68" s="345"/>
      <c r="DJ68" s="345"/>
      <c r="DK68" s="345"/>
      <c r="DL68" s="345"/>
      <c r="DM68" s="345"/>
      <c r="DN68" s="345"/>
      <c r="DO68" s="345"/>
      <c r="DP68" s="345"/>
      <c r="DQ68" s="345"/>
      <c r="DR68" s="345"/>
      <c r="DS68" s="345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345"/>
      <c r="DE69" s="345"/>
      <c r="DF69" s="345"/>
      <c r="DG69" s="345"/>
      <c r="DH69" s="23"/>
      <c r="DI69" s="345"/>
      <c r="DJ69" s="345"/>
      <c r="DK69" s="345"/>
      <c r="DL69" s="345"/>
      <c r="DM69" s="345"/>
      <c r="DN69" s="345"/>
      <c r="DO69" s="345"/>
      <c r="DP69" s="345"/>
      <c r="DQ69" s="345"/>
      <c r="DR69" s="345"/>
      <c r="DS69" s="345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345"/>
      <c r="DE70" s="345"/>
      <c r="DF70" s="345"/>
      <c r="DG70" s="345"/>
      <c r="DH70" s="23"/>
      <c r="DI70" s="345"/>
      <c r="DJ70" s="345"/>
      <c r="DK70" s="345"/>
      <c r="DL70" s="345"/>
      <c r="DM70" s="345"/>
      <c r="DN70" s="345"/>
      <c r="DO70" s="345"/>
      <c r="DP70" s="345"/>
      <c r="DQ70" s="345"/>
      <c r="DR70" s="345"/>
      <c r="DS70" s="345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345"/>
      <c r="DE71" s="345"/>
      <c r="DF71" s="345"/>
      <c r="DG71" s="345"/>
      <c r="DH71" s="23"/>
      <c r="DI71" s="345"/>
      <c r="DJ71" s="345"/>
      <c r="DK71" s="345"/>
      <c r="DL71" s="345"/>
      <c r="DM71" s="345"/>
      <c r="DN71" s="345"/>
      <c r="DO71" s="345"/>
      <c r="DP71" s="345"/>
      <c r="DQ71" s="345"/>
      <c r="DR71" s="345"/>
      <c r="DS71" s="345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345"/>
      <c r="DE72" s="345"/>
      <c r="DF72" s="345"/>
      <c r="DG72" s="345"/>
      <c r="DH72" s="23"/>
      <c r="DI72" s="345"/>
      <c r="DJ72" s="345"/>
      <c r="DK72" s="345"/>
      <c r="DL72" s="345"/>
      <c r="DM72" s="345"/>
      <c r="DN72" s="345"/>
      <c r="DO72" s="345"/>
      <c r="DP72" s="345"/>
      <c r="DQ72" s="345"/>
      <c r="DR72" s="345"/>
      <c r="DS72" s="345"/>
    </row>
    <row r="73" spans="3:123" x14ac:dyDescent="0.2">
      <c r="CJ73" s="345"/>
      <c r="CK73" s="345"/>
      <c r="CL73" s="423"/>
      <c r="CM73" s="423"/>
      <c r="CN73" s="345"/>
      <c r="CO73" s="345"/>
      <c r="CP73" s="345"/>
      <c r="CQ73" s="345"/>
      <c r="CR73" s="345"/>
      <c r="CS73" s="22"/>
      <c r="CT73" s="345"/>
      <c r="CU73" s="345"/>
      <c r="CV73" s="345"/>
      <c r="CW73" s="345"/>
      <c r="CX73" s="345"/>
      <c r="CY73" s="345"/>
      <c r="CZ73" s="345"/>
      <c r="DA73" s="345"/>
      <c r="DB73" s="345"/>
      <c r="DC73" s="345"/>
      <c r="DD73" s="345"/>
      <c r="DE73" s="345"/>
      <c r="DF73" s="345"/>
      <c r="DG73" s="345"/>
      <c r="DH73" s="345"/>
      <c r="DI73" s="345"/>
      <c r="DJ73" s="345"/>
      <c r="DK73" s="345"/>
      <c r="DL73" s="345"/>
      <c r="DM73" s="345"/>
      <c r="DN73" s="345"/>
      <c r="DO73" s="345"/>
      <c r="DP73" s="345"/>
      <c r="DQ73" s="345"/>
      <c r="DR73" s="345"/>
      <c r="DS73" s="345"/>
    </row>
  </sheetData>
  <dataConsolidate/>
  <mergeCells count="26">
    <mergeCell ref="CY29:CZ29"/>
    <mergeCell ref="BE3:BG3"/>
    <mergeCell ref="BI3:BN3"/>
    <mergeCell ref="BO3:BT3"/>
    <mergeCell ref="BU3:BZ3"/>
    <mergeCell ref="CA3:CF3"/>
    <mergeCell ref="CG3:CI3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2:D2"/>
    <mergeCell ref="E2:AE2"/>
    <mergeCell ref="AG2:BG2"/>
    <mergeCell ref="BI2:CI2"/>
    <mergeCell ref="CJ2:CN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88C5-D996-BF44-899B-DDCEFB51A6DE}">
  <dimension ref="A1"/>
  <sheetViews>
    <sheetView topLeftCell="B1" workbookViewId="0">
      <selection activeCell="H34" sqref="H34"/>
    </sheetView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94979-DB60-BE4E-947B-03D258934279}">
  <sheetPr codeName="Sheet67"/>
  <dimension ref="A1:GO73"/>
  <sheetViews>
    <sheetView showRuler="0" zoomScale="136" zoomScaleNormal="136" workbookViewId="0">
      <pane xSplit="3" topLeftCell="DZ1" activePane="topRight" state="frozen"/>
      <selection pane="topRight" activeCell="EG22" sqref="EG22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3.1640625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hidden="1" customWidth="1" outlineLevel="1"/>
    <col min="33" max="33" width="3.33203125" hidden="1" customWidth="1" outlineLevel="1"/>
    <col min="34" max="34" width="1.33203125" hidden="1" customWidth="1" outlineLevel="1"/>
    <col min="35" max="35" width="3.33203125" hidden="1" customWidth="1" outlineLevel="1"/>
    <col min="36" max="36" width="1.6640625" hidden="1" customWidth="1" outlineLevel="1"/>
    <col min="37" max="37" width="2.1640625" hidden="1" customWidth="1" outlineLevel="1"/>
    <col min="38" max="38" width="3" hidden="1" customWidth="1" outlineLevel="1"/>
    <col min="39" max="39" width="3.33203125" hidden="1" customWidth="1" outlineLevel="1"/>
    <col min="40" max="40" width="1.33203125" hidden="1" customWidth="1" outlineLevel="1"/>
    <col min="41" max="41" width="2.6640625" hidden="1" customWidth="1" outlineLevel="1"/>
    <col min="42" max="42" width="1.6640625" hidden="1" customWidth="1" outlineLevel="1"/>
    <col min="43" max="43" width="2" hidden="1" customWidth="1" outlineLevel="1"/>
    <col min="44" max="45" width="3.33203125" hidden="1" customWidth="1" outlineLevel="1"/>
    <col min="46" max="46" width="1.33203125" hidden="1" customWidth="1" outlineLevel="1"/>
    <col min="47" max="47" width="2.6640625" hidden="1" customWidth="1" outlineLevel="1"/>
    <col min="48" max="48" width="1.6640625" hidden="1" customWidth="1" outlineLevel="1"/>
    <col min="49" max="49" width="2.33203125" hidden="1" customWidth="1" outlineLevel="1"/>
    <col min="50" max="50" width="3.83203125" hidden="1" customWidth="1" outlineLevel="1"/>
    <col min="51" max="51" width="3.33203125" hidden="1" customWidth="1" outlineLevel="1"/>
    <col min="52" max="52" width="1.33203125" hidden="1" customWidth="1" outlineLevel="1"/>
    <col min="53" max="53" width="3.33203125" hidden="1" customWidth="1" outlineLevel="1"/>
    <col min="54" max="54" width="1.6640625" hidden="1" customWidth="1" outlineLevel="1"/>
    <col min="55" max="55" width="2.1640625" hidden="1" customWidth="1" outlineLevel="1"/>
    <col min="56" max="56" width="3.83203125" hidden="1" customWidth="1" outlineLevel="1"/>
    <col min="57" max="57" width="3.33203125" hidden="1" customWidth="1" outlineLevel="1"/>
    <col min="58" max="58" width="1.33203125" hidden="1" customWidth="1" outlineLevel="1"/>
    <col min="59" max="59" width="3.6640625" hidden="1" customWidth="1" outlineLevel="1"/>
    <col min="60" max="60" width="2.5" hidden="1" customWidth="1" outlineLevel="1"/>
    <col min="61" max="61" width="3.33203125" hidden="1" customWidth="1" outlineLevel="1"/>
    <col min="62" max="62" width="1.33203125" hidden="1" customWidth="1" outlineLevel="1"/>
    <col min="63" max="63" width="2.83203125" hidden="1" customWidth="1" outlineLevel="1"/>
    <col min="64" max="64" width="1.6640625" hidden="1" customWidth="1" outlineLevel="1"/>
    <col min="65" max="65" width="2.1640625" hidden="1" customWidth="1" outlineLevel="1"/>
    <col min="66" max="66" width="2.33203125" hidden="1" customWidth="1" outlineLevel="1"/>
    <col min="67" max="67" width="3.33203125" hidden="1" customWidth="1" outlineLevel="1"/>
    <col min="68" max="68" width="1.33203125" hidden="1" customWidth="1" outlineLevel="1"/>
    <col min="69" max="69" width="2.6640625" hidden="1" customWidth="1" outlineLevel="1"/>
    <col min="70" max="70" width="1.6640625" hidden="1" customWidth="1" outlineLevel="1"/>
    <col min="71" max="71" width="2.1640625" hidden="1" customWidth="1" outlineLevel="1"/>
    <col min="72" max="72" width="2.83203125" hidden="1" customWidth="1" outlineLevel="1"/>
    <col min="73" max="73" width="3.33203125" hidden="1" customWidth="1" outlineLevel="1"/>
    <col min="74" max="74" width="1.33203125" hidden="1" customWidth="1" outlineLevel="1"/>
    <col min="75" max="75" width="2.6640625" hidden="1" customWidth="1" outlineLevel="1"/>
    <col min="76" max="76" width="1.6640625" hidden="1" customWidth="1" outlineLevel="1"/>
    <col min="77" max="77" width="2" hidden="1" customWidth="1" outlineLevel="1"/>
    <col min="78" max="78" width="3.83203125" hidden="1" customWidth="1" outlineLevel="1"/>
    <col min="79" max="79" width="3.33203125" hidden="1" customWidth="1" outlineLevel="1"/>
    <col min="80" max="80" width="1.33203125" hidden="1" customWidth="1" outlineLevel="1"/>
    <col min="81" max="81" width="2.6640625" hidden="1" customWidth="1" outlineLevel="1"/>
    <col min="82" max="82" width="1.6640625" hidden="1" customWidth="1" outlineLevel="1"/>
    <col min="83" max="83" width="2.5" hidden="1" customWidth="1" outlineLevel="1"/>
    <col min="84" max="84" width="3.83203125" hidden="1" customWidth="1" outlineLevel="1"/>
    <col min="85" max="85" width="3.33203125" hidden="1" customWidth="1" outlineLevel="1"/>
    <col min="86" max="86" width="1.33203125" hidden="1" customWidth="1" outlineLevel="1"/>
    <col min="87" max="87" width="3.6640625" hidden="1" customWidth="1" outlineLevel="1"/>
    <col min="88" max="88" width="4.6640625" customWidth="1" collapsed="1"/>
    <col min="89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3.164062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19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20"/>
      <c r="CX2" s="139"/>
      <c r="CY2" s="139"/>
      <c r="CZ2" s="139"/>
      <c r="DA2" s="139"/>
      <c r="DB2" s="420" t="s">
        <v>68</v>
      </c>
      <c r="DC2" s="420"/>
      <c r="DD2" s="346"/>
      <c r="DE2" s="346"/>
      <c r="DH2" s="346"/>
      <c r="DI2" s="346"/>
      <c r="DT2" s="423"/>
      <c r="DU2" s="423"/>
      <c r="DV2" s="423"/>
      <c r="DW2" s="423"/>
      <c r="DX2" s="423"/>
      <c r="DY2" s="423"/>
      <c r="DZ2" s="423"/>
      <c r="EA2" s="423"/>
      <c r="EB2" s="423"/>
      <c r="EC2" s="423"/>
      <c r="ED2" s="423"/>
      <c r="EE2" s="423"/>
      <c r="EF2" s="423"/>
      <c r="EG2" s="423"/>
      <c r="EH2" s="423"/>
      <c r="EI2" s="423"/>
      <c r="EJ2" s="423"/>
      <c r="EK2" s="423"/>
      <c r="EV2" s="423"/>
      <c r="FC2" s="553">
        <v>44810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20"/>
      <c r="GO2" s="423"/>
    </row>
    <row r="3" spans="1:197" ht="20" thickBot="1" x14ac:dyDescent="0.3">
      <c r="A3" s="139"/>
      <c r="B3" s="139"/>
      <c r="C3" s="112" t="s">
        <v>0</v>
      </c>
      <c r="D3" s="418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18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18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18" t="s">
        <v>57</v>
      </c>
      <c r="CK3" s="418" t="s">
        <v>58</v>
      </c>
      <c r="CL3" s="418" t="s">
        <v>247</v>
      </c>
      <c r="CM3" s="418" t="s">
        <v>248</v>
      </c>
      <c r="CN3" s="418" t="s">
        <v>59</v>
      </c>
      <c r="CO3" s="174" t="s">
        <v>61</v>
      </c>
      <c r="CP3" s="418" t="s">
        <v>221</v>
      </c>
      <c r="CQ3" s="174" t="s">
        <v>62</v>
      </c>
      <c r="CR3" s="418" t="s">
        <v>63</v>
      </c>
      <c r="CS3" s="418" t="s">
        <v>64</v>
      </c>
      <c r="CT3" s="418" t="s">
        <v>1</v>
      </c>
      <c r="CU3" s="418" t="s">
        <v>65</v>
      </c>
      <c r="CV3" s="418" t="s">
        <v>66</v>
      </c>
      <c r="CW3" s="418"/>
      <c r="CX3" s="418" t="s">
        <v>105</v>
      </c>
      <c r="CY3" s="418" t="s">
        <v>28</v>
      </c>
      <c r="CZ3" s="418" t="s">
        <v>100</v>
      </c>
      <c r="DA3" s="418" t="s">
        <v>36</v>
      </c>
      <c r="DB3" s="418" t="s">
        <v>67</v>
      </c>
      <c r="DC3" s="418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18" t="s">
        <v>38</v>
      </c>
      <c r="FG3" s="548" t="s">
        <v>39</v>
      </c>
      <c r="FH3" s="549"/>
      <c r="FI3" s="549"/>
      <c r="FJ3" s="422" t="s">
        <v>102</v>
      </c>
      <c r="FK3" s="550" t="s">
        <v>103</v>
      </c>
      <c r="FL3" s="550"/>
      <c r="FM3" s="550"/>
      <c r="FN3" s="422" t="s">
        <v>102</v>
      </c>
      <c r="FO3" s="549" t="s">
        <v>41</v>
      </c>
      <c r="FP3" s="549"/>
      <c r="FQ3" s="549"/>
      <c r="FR3" s="189" t="s">
        <v>102</v>
      </c>
      <c r="FS3" s="418" t="s">
        <v>57</v>
      </c>
      <c r="FT3" s="418" t="s">
        <v>58</v>
      </c>
      <c r="FU3" s="418" t="s">
        <v>59</v>
      </c>
      <c r="FV3" s="174" t="s">
        <v>61</v>
      </c>
      <c r="FW3" s="418" t="s">
        <v>98</v>
      </c>
      <c r="FX3" s="418" t="s">
        <v>62</v>
      </c>
      <c r="FY3" s="418" t="s">
        <v>63</v>
      </c>
      <c r="FZ3" s="418" t="s">
        <v>64</v>
      </c>
      <c r="GA3" s="418" t="s">
        <v>1</v>
      </c>
      <c r="GB3" s="418" t="s">
        <v>65</v>
      </c>
      <c r="GC3" s="174" t="s">
        <v>66</v>
      </c>
      <c r="GD3" s="199" t="s">
        <v>105</v>
      </c>
      <c r="GE3" s="418" t="s">
        <v>28</v>
      </c>
      <c r="GF3" s="418" t="s">
        <v>100</v>
      </c>
      <c r="GG3" s="173" t="s">
        <v>36</v>
      </c>
      <c r="GH3" s="418"/>
      <c r="GJ3" s="421" t="s">
        <v>106</v>
      </c>
      <c r="GK3" s="422" t="s">
        <v>107</v>
      </c>
      <c r="GL3" s="16" t="s">
        <v>108</v>
      </c>
      <c r="GM3" s="16" t="s">
        <v>109</v>
      </c>
      <c r="GN3" s="422" t="s">
        <v>110</v>
      </c>
      <c r="GO3" s="214" t="s">
        <v>111</v>
      </c>
    </row>
    <row r="4" spans="1:197" x14ac:dyDescent="0.2">
      <c r="A4" s="139"/>
      <c r="B4" s="423" t="s">
        <v>82</v>
      </c>
      <c r="C4" s="41" t="s">
        <v>205</v>
      </c>
      <c r="D4" s="161">
        <v>13.566666666666666</v>
      </c>
      <c r="E4" s="114">
        <f t="shared" ref="E4:E18" si="0">IFERROR(AG4+BI4,"0")</f>
        <v>1</v>
      </c>
      <c r="F4" s="419" t="s">
        <v>52</v>
      </c>
      <c r="G4" s="115">
        <f t="shared" ref="G4:G18" si="1">IFERROR(AI4+BK4,"0")</f>
        <v>10</v>
      </c>
      <c r="H4" s="116" t="s">
        <v>53</v>
      </c>
      <c r="I4" s="419">
        <f>IFERROR(AK4+BM4,"0")</f>
        <v>1</v>
      </c>
      <c r="J4" s="115" t="s">
        <v>54</v>
      </c>
      <c r="K4" s="116">
        <f t="shared" ref="K4:K18" si="2">IFERROR(AM4+BO4,"0")</f>
        <v>1</v>
      </c>
      <c r="L4" s="419" t="s">
        <v>52</v>
      </c>
      <c r="M4" s="115">
        <f t="shared" ref="M4:M18" si="3">IFERROR(AO4+BQ4,"0")</f>
        <v>7</v>
      </c>
      <c r="N4" s="116" t="s">
        <v>53</v>
      </c>
      <c r="O4" s="419">
        <f t="shared" ref="O4:O18" si="4">IFERROR(AQ4+BS4,"0")</f>
        <v>1</v>
      </c>
      <c r="P4" s="115" t="s">
        <v>54</v>
      </c>
      <c r="Q4" s="116">
        <f t="shared" ref="Q4:Q18" si="5">IFERROR(AS4+BU4,"0")</f>
        <v>0</v>
      </c>
      <c r="R4" s="419" t="s">
        <v>52</v>
      </c>
      <c r="S4" s="115">
        <f>IFERROR(AU4+BW4,"0")</f>
        <v>1</v>
      </c>
      <c r="T4" s="116" t="s">
        <v>53</v>
      </c>
      <c r="U4" s="419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419" t="s">
        <v>52</v>
      </c>
      <c r="Y4" s="115">
        <f t="shared" ref="Y4:Y18" si="8">IFERROR(BA4+CC4,"0")</f>
        <v>2</v>
      </c>
      <c r="Z4" s="116" t="s">
        <v>53</v>
      </c>
      <c r="AA4" s="419">
        <f t="shared" ref="AA4:AA18" si="9">IFERROR(BC4+CE4,"0")</f>
        <v>0</v>
      </c>
      <c r="AB4" s="115" t="s">
        <v>54</v>
      </c>
      <c r="AC4" s="116">
        <f>IFERROR((AE4*EZ4),"0")</f>
        <v>0</v>
      </c>
      <c r="AD4" s="419" t="s">
        <v>52</v>
      </c>
      <c r="AE4" s="117">
        <f>IFERROR((CR4*1),"0")</f>
        <v>0</v>
      </c>
      <c r="AF4" s="420"/>
      <c r="AG4" s="114">
        <f>IFERROR(AM4+AS4+AY4,"0")</f>
        <v>1</v>
      </c>
      <c r="AH4" s="419" t="s">
        <v>52</v>
      </c>
      <c r="AI4" s="115">
        <f t="shared" ref="AI4:AI18" si="10">IFERROR(AO4+AU4+BA4,"0")</f>
        <v>5</v>
      </c>
      <c r="AJ4" s="116" t="s">
        <v>53</v>
      </c>
      <c r="AK4" s="419">
        <f t="shared" ref="AK4:AK18" si="11">IFERROR(AQ4+AW4+BC4,"0")</f>
        <v>1</v>
      </c>
      <c r="AL4" s="115" t="s">
        <v>54</v>
      </c>
      <c r="AM4" s="246">
        <v>1</v>
      </c>
      <c r="AN4" s="244" t="s">
        <v>52</v>
      </c>
      <c r="AO4" s="245">
        <v>3</v>
      </c>
      <c r="AP4" s="246" t="s">
        <v>53</v>
      </c>
      <c r="AQ4" s="244">
        <v>1</v>
      </c>
      <c r="AR4" s="245" t="s">
        <v>54</v>
      </c>
      <c r="AS4" s="246">
        <v>0</v>
      </c>
      <c r="AT4" s="244" t="s">
        <v>52</v>
      </c>
      <c r="AU4" s="245">
        <v>1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1</v>
      </c>
      <c r="BB4" s="246" t="s">
        <v>53</v>
      </c>
      <c r="BC4" s="244">
        <v>0</v>
      </c>
      <c r="BD4" s="245" t="s">
        <v>54</v>
      </c>
      <c r="BE4" s="116">
        <v>0</v>
      </c>
      <c r="BF4" s="419" t="s">
        <v>52</v>
      </c>
      <c r="BG4" s="117">
        <v>0</v>
      </c>
      <c r="BH4" s="115"/>
      <c r="BI4" s="114">
        <f t="shared" ref="BI4:BI18" si="12">IFERROR(BO4+BU4+CA4,"0")</f>
        <v>0</v>
      </c>
      <c r="BJ4" s="419" t="s">
        <v>52</v>
      </c>
      <c r="BK4" s="115">
        <f>IFERROR(BQ4+BW4+CC4,"0")</f>
        <v>5</v>
      </c>
      <c r="BL4" s="116" t="s">
        <v>53</v>
      </c>
      <c r="BM4" s="419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4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1</v>
      </c>
      <c r="CD4" s="246" t="s">
        <v>53</v>
      </c>
      <c r="CE4" s="244">
        <v>0</v>
      </c>
      <c r="CF4" s="245" t="s">
        <v>54</v>
      </c>
      <c r="CG4" s="116">
        <v>0</v>
      </c>
      <c r="CH4" s="419" t="s">
        <v>52</v>
      </c>
      <c r="CI4" s="117">
        <v>0</v>
      </c>
      <c r="CJ4" s="140">
        <v>6</v>
      </c>
      <c r="CK4" s="148">
        <f>CL4+CM4</f>
        <v>3</v>
      </c>
      <c r="CL4" s="148">
        <v>1</v>
      </c>
      <c r="CM4" s="148">
        <v>2</v>
      </c>
      <c r="CN4" s="148">
        <f>IFERROR(CJ4+CK4,"0")</f>
        <v>9</v>
      </c>
      <c r="CO4" s="175">
        <v>0</v>
      </c>
      <c r="CP4" s="140">
        <v>2</v>
      </c>
      <c r="CQ4" s="175">
        <v>0</v>
      </c>
      <c r="CR4" s="148">
        <v>0</v>
      </c>
      <c r="CS4" s="148">
        <v>1</v>
      </c>
      <c r="CT4" s="140">
        <v>0</v>
      </c>
      <c r="CU4" s="140">
        <v>0</v>
      </c>
      <c r="CV4" s="148">
        <f>IFERROR((W4*3)+((E4-W4)*2)+EX4,"0")</f>
        <v>2</v>
      </c>
      <c r="CW4" s="140"/>
      <c r="CX4" s="140">
        <f>IFERROR(100*(EH4/EG4),"0")</f>
        <v>63.35480962473207</v>
      </c>
      <c r="CY4" s="140">
        <f t="shared" ref="CY4:CY18" si="14">IFERROR(DU4/EG4,"0")</f>
        <v>0.294842833988402</v>
      </c>
      <c r="CZ4" s="165">
        <f t="shared" ref="CZ4:CZ18" si="15">IFERROR((EG4/(EG25*DD4)),"0")</f>
        <v>0.26836303550509616</v>
      </c>
      <c r="DA4" s="164">
        <f t="shared" ref="DA4:DA18" si="16">IFERROR(ES4+0.2*(100*ET4*(1-ER4)-ES4),"0")</f>
        <v>73.015781662477266</v>
      </c>
      <c r="DB4" s="141"/>
      <c r="DC4" s="141"/>
      <c r="DD4" s="77">
        <f>IFERROR(D4/($D$21/10),"0")</f>
        <v>0.97368421052631593</v>
      </c>
      <c r="DE4" s="37">
        <f>IFERROR(E4/G4,"0")</f>
        <v>0.1</v>
      </c>
      <c r="DF4" s="37">
        <f>IFERROR(W4/Y4,"0")</f>
        <v>0</v>
      </c>
      <c r="DG4" s="37">
        <f>IFERROR(((E4-W4)+1.5*W4)/G4,"0")</f>
        <v>0.1</v>
      </c>
      <c r="DH4" s="37">
        <f t="shared" ref="DH4:DH18" si="17">IFERROR(CJ4/(DD4*(CJ25+CK40)),"0")</f>
        <v>0.29343629343629341</v>
      </c>
      <c r="DI4" s="37">
        <f t="shared" ref="DI4:DI18" si="18">IFERROR(CK4/(DD4*(CK25+CJ40)),"0")</f>
        <v>0.22007722007722005</v>
      </c>
      <c r="DJ4" s="37">
        <f t="shared" ref="DJ4:DJ18" si="19">IFERROR(CU4/(DD4*(M40)),"0")</f>
        <v>0</v>
      </c>
      <c r="DK4" s="37">
        <f t="shared" ref="DK4:DK18" si="20">IFERROR(CS4/(DD4*EG25),"0")</f>
        <v>3.8835145794585281E-2</v>
      </c>
      <c r="DL4" s="37">
        <f t="shared" ref="DL4:DL18" si="21">IFERROR(CO4/(DD4*(E25-E4)),"0")</f>
        <v>0</v>
      </c>
      <c r="DM4" s="37">
        <f t="shared" ref="DM4:DM18" si="22">IFERROR((CO4+CP4)/(DD4*EG25),"0")</f>
        <v>7.7670291589170562E-2</v>
      </c>
      <c r="DN4" s="37">
        <f>IFERROR(CT4/EG4,"0")</f>
        <v>0</v>
      </c>
      <c r="DO4" s="37" t="str">
        <f>IFERROR(CO4/CT4,"0")</f>
        <v>0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4.8912530712530717</v>
      </c>
      <c r="DU4" s="18">
        <f>IFERROR((DV4+DX4+DY4)*(1-(CJ25/EZ25)*EA4*EC4)+ED4,"0")</f>
        <v>2.0374564407347981</v>
      </c>
      <c r="DV4" s="13">
        <f>IFERROR(E4*(1-0.5*((CV4-EX4)/(2*G4))*DW4),"0")</f>
        <v>0.96585249923648575</v>
      </c>
      <c r="DW4" s="14">
        <f t="shared" ref="DW4:DW20" si="23">IFERROR(((D4/(D25/5))*(1.14*((CO25-CO4)/E25)))+((((CO25/D25)*D4*5-CO4)/((E25/D25)*D4*5-E4))*(1-(D4/(D25/5)))),"0")</f>
        <v>0.68295001527028398</v>
      </c>
      <c r="DX4" s="14">
        <f t="shared" ref="DX4:DX20" si="24">IFERROR(0.5*(((CV25-EX25)-(CV4-EX4))/(2*(G25-G4)))*CO4,"0")</f>
        <v>0</v>
      </c>
      <c r="DY4" s="14" t="str">
        <f>IFERROR((1-(1-(EX4/EY4))^2)*0.4*EY4,"0")</f>
        <v>0</v>
      </c>
      <c r="DZ4" s="15">
        <f t="shared" ref="DZ4:DZ20" si="25">IFERROR(E25+(1-(1-(EX25/EY25))^2)*EY25*0.4,"0")</f>
        <v>15.336</v>
      </c>
      <c r="EA4" s="14">
        <f>IFERROR(((1-EB4)*EC4)/((1-EB4)*EC4+EB4*(1-EC4)),"0")</f>
        <v>0.48099360180654888</v>
      </c>
      <c r="EB4" s="14">
        <f t="shared" ref="EB4:EB20" si="26">IFERROR(CJ25/(CJ25+(CN40-CJ40)),"0")</f>
        <v>0.42857142857142855</v>
      </c>
      <c r="EC4" s="14">
        <f t="shared" ref="EC4:EC20" si="27">IFERROR(DZ4/((G25+(EY25*0.4))+CT25),"0")</f>
        <v>0.41005347593582891</v>
      </c>
      <c r="ED4" s="14">
        <f>IFERROR(CJ4*EA4*EC4,"0")</f>
        <v>1.1833985899420163</v>
      </c>
      <c r="EE4" s="19">
        <f>IFERROR((G4-E4)*(1-1.07*EB4),"0")</f>
        <v>4.8728571428571428</v>
      </c>
      <c r="EF4" s="67" t="str">
        <f>IFERROR(((1-(EX4/EY4))^2)*0.4*EY4,"0")</f>
        <v>0</v>
      </c>
      <c r="EG4" s="74">
        <f>IFERROR(DU4+EE4+EF4+CT4,"0")</f>
        <v>6.9103135835919414</v>
      </c>
      <c r="EH4" s="27">
        <f>IFERROR((EI4+EJ4+EX4)*(1-(CJ25/DZ4)*EA4*EC4)+EK4,"0")</f>
        <v>4.3780160153566747</v>
      </c>
      <c r="EI4" s="25">
        <f>IFERROR(2*((E4)+(0.5*W4))*(1-0.5*((CV4-EX4)/(2*(G4)))*DW4),"0")</f>
        <v>1.9317049984729715</v>
      </c>
      <c r="EJ4" s="25">
        <f>IFERROR(2*((E25-E4+0.5*(W25-W4))/(E25-E4))*0.5*(((CV25-EX25)-(CV4-EX4))/(2*(G25-G4)))*CO4,"0")</f>
        <v>0</v>
      </c>
      <c r="EK4" s="26">
        <f t="shared" ref="EK4:EK20" si="28">IFERROR(CJ4*EA4*EC4*(CV25/(E25+(1-(1-(EX25/EY25))^2)*0.4*EY25)),"0")</f>
        <v>2.6699003137711115</v>
      </c>
      <c r="EL4" s="29">
        <f>IFERROR((EN4*(1-EM4))/(EN4*(1-EM4)+(1-EN4)*EM4),"0")</f>
        <v>0.75</v>
      </c>
      <c r="EM4" s="30">
        <f t="shared" ref="EM4:EM20" si="29">IFERROR(CJ40/(CJ40+CK25),"0")</f>
        <v>0.14285714285714285</v>
      </c>
      <c r="EN4" s="30">
        <f t="shared" ref="EN4:EN20" si="30">IFERROR(E40/G40,"0")</f>
        <v>0.33333333333333331</v>
      </c>
      <c r="EO4" s="31">
        <f>IFERROR(CS4+CU4*EL4*(1-1.07*EM4)+CK4*(1-EL4),"0")</f>
        <v>1.75</v>
      </c>
      <c r="EP4" s="31">
        <f t="shared" ref="EP4:EP20" si="31">IFERROR((((G40-E40-CU25)/D25)*EL4*(1-1.07*EM4)+((CT40-CS25)/D25))*D4+(CQ4/CQ25)*0.4*EY40*(1-(EX40/EY40))^2,"0")</f>
        <v>1.7321842105263159</v>
      </c>
      <c r="EQ4" s="31">
        <f>IFERROR(EO4+EP4,"0")</f>
        <v>3.4821842105263157</v>
      </c>
      <c r="ER4" s="93">
        <f t="shared" ref="ER4:ER20" si="32">IFERROR((EQ4*D40)/(EG25*D4),"0")</f>
        <v>0.6761556574969616</v>
      </c>
      <c r="ES4" s="109">
        <f t="shared" ref="ES4:ES20" si="33">IFERROR(100*(CV40/EG25),"0")</f>
        <v>70.710624671772521</v>
      </c>
      <c r="ET4" s="32">
        <f t="shared" ref="ET4:ET20" si="34">IFERROR(CV40/(E40+(1-(1-(EX40/EY40))^2)*EY40*0.4),"0")</f>
        <v>2.5393807713199346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F18" si="35">D4</f>
        <v>13.566666666666666</v>
      </c>
      <c r="FG4" s="182">
        <f t="shared" ref="FG4:FG18" si="36">E4</f>
        <v>1</v>
      </c>
      <c r="FH4" s="183" t="s">
        <v>52</v>
      </c>
      <c r="FI4" s="184">
        <f>G4</f>
        <v>10</v>
      </c>
      <c r="FJ4" s="193">
        <f>IFERROR(FG4/FI4,"0")</f>
        <v>0.1</v>
      </c>
      <c r="FK4" s="185">
        <f t="shared" ref="FK4:FK18" si="37">W4</f>
        <v>0</v>
      </c>
      <c r="FL4" s="183" t="s">
        <v>52</v>
      </c>
      <c r="FM4" s="186">
        <f t="shared" ref="FM4:FM18" si="38">Y4</f>
        <v>2</v>
      </c>
      <c r="FN4" s="193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S23" si="39">CJ4</f>
        <v>6</v>
      </c>
      <c r="FT4" s="179">
        <f t="shared" ref="FT4:FT23" si="40">CK4</f>
        <v>3</v>
      </c>
      <c r="FU4" s="179">
        <f t="shared" ref="FU4:GC19" si="41">CN4</f>
        <v>9</v>
      </c>
      <c r="FV4" s="187">
        <f t="shared" si="41"/>
        <v>0</v>
      </c>
      <c r="FW4" s="179">
        <f t="shared" si="41"/>
        <v>2</v>
      </c>
      <c r="FX4" s="179">
        <f t="shared" si="41"/>
        <v>0</v>
      </c>
      <c r="FY4" s="179">
        <f t="shared" si="41"/>
        <v>0</v>
      </c>
      <c r="FZ4" s="179">
        <f t="shared" si="41"/>
        <v>1</v>
      </c>
      <c r="GA4" s="179">
        <f t="shared" si="41"/>
        <v>0</v>
      </c>
      <c r="GB4" s="179">
        <f t="shared" si="41"/>
        <v>0</v>
      </c>
      <c r="GC4" s="191">
        <f t="shared" si="41"/>
        <v>2</v>
      </c>
      <c r="GD4" s="203">
        <f>CX4</f>
        <v>63.35480962473207</v>
      </c>
      <c r="GE4" s="179">
        <f>CY4</f>
        <v>0.294842833988402</v>
      </c>
      <c r="GF4" s="179">
        <f>CZ4</f>
        <v>0.26836303550509616</v>
      </c>
      <c r="GG4" s="258">
        <f>DA4</f>
        <v>73.015781662477266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0.75</v>
      </c>
      <c r="GN4" s="24">
        <f>GK4+(GL4/10)+(GJ4*GM4*(1-(CJ26/(CJ26+CK25))))+(CK4*(1-GM4))</f>
        <v>0.75</v>
      </c>
      <c r="GO4" s="213">
        <f>GN4/(DD4*EG26)</f>
        <v>3.7386607650082518E-2</v>
      </c>
    </row>
    <row r="5" spans="1:197" x14ac:dyDescent="0.2">
      <c r="A5" s="139"/>
      <c r="B5" s="430" t="s">
        <v>117</v>
      </c>
      <c r="C5" s="431" t="s">
        <v>206</v>
      </c>
      <c r="D5" s="161">
        <v>11.483333333333333</v>
      </c>
      <c r="E5" s="114">
        <f t="shared" si="0"/>
        <v>1</v>
      </c>
      <c r="F5" s="419" t="s">
        <v>52</v>
      </c>
      <c r="G5" s="115">
        <f t="shared" si="1"/>
        <v>5</v>
      </c>
      <c r="H5" s="116" t="s">
        <v>53</v>
      </c>
      <c r="I5" s="419">
        <f t="shared" ref="I5:I18" si="42">IFERROR(AK5+BM5,"0")</f>
        <v>0</v>
      </c>
      <c r="J5" s="115" t="s">
        <v>54</v>
      </c>
      <c r="K5" s="116">
        <f t="shared" si="2"/>
        <v>0</v>
      </c>
      <c r="L5" s="419" t="s">
        <v>52</v>
      </c>
      <c r="M5" s="115">
        <f t="shared" si="3"/>
        <v>1</v>
      </c>
      <c r="N5" s="116" t="s">
        <v>53</v>
      </c>
      <c r="O5" s="419">
        <f t="shared" si="4"/>
        <v>0</v>
      </c>
      <c r="P5" s="115" t="s">
        <v>54</v>
      </c>
      <c r="Q5" s="116">
        <f t="shared" si="5"/>
        <v>1</v>
      </c>
      <c r="R5" s="419" t="s">
        <v>52</v>
      </c>
      <c r="S5" s="115">
        <f t="shared" ref="S5:S18" si="43">IFERROR(AU5+BW5,"0")</f>
        <v>3</v>
      </c>
      <c r="T5" s="116" t="s">
        <v>53</v>
      </c>
      <c r="U5" s="419">
        <f t="shared" si="6"/>
        <v>0</v>
      </c>
      <c r="V5" s="115" t="s">
        <v>54</v>
      </c>
      <c r="W5" s="116">
        <f t="shared" si="7"/>
        <v>0</v>
      </c>
      <c r="X5" s="419" t="s">
        <v>52</v>
      </c>
      <c r="Y5" s="115">
        <f t="shared" si="8"/>
        <v>1</v>
      </c>
      <c r="Z5" s="116" t="s">
        <v>53</v>
      </c>
      <c r="AA5" s="419">
        <f t="shared" si="9"/>
        <v>0</v>
      </c>
      <c r="AB5" s="115" t="s">
        <v>54</v>
      </c>
      <c r="AC5" s="116">
        <f t="shared" ref="AC5:AC18" si="44">IFERROR((AE5*EZ5),"0")</f>
        <v>0</v>
      </c>
      <c r="AD5" s="419" t="s">
        <v>52</v>
      </c>
      <c r="AE5" s="117">
        <f t="shared" ref="AE5:AE18" si="45">IFERROR((CR5*1),"0")</f>
        <v>0</v>
      </c>
      <c r="AF5" s="420"/>
      <c r="AG5" s="114">
        <f t="shared" ref="AG5:AG17" si="46">IFERROR(AM5+AS5+AY5,"0")</f>
        <v>1</v>
      </c>
      <c r="AH5" s="419" t="s">
        <v>52</v>
      </c>
      <c r="AI5" s="115">
        <f t="shared" si="10"/>
        <v>5</v>
      </c>
      <c r="AJ5" s="116" t="s">
        <v>53</v>
      </c>
      <c r="AK5" s="419">
        <f t="shared" si="11"/>
        <v>0</v>
      </c>
      <c r="AL5" s="115" t="s">
        <v>54</v>
      </c>
      <c r="AM5" s="246">
        <v>0</v>
      </c>
      <c r="AN5" s="244" t="s">
        <v>52</v>
      </c>
      <c r="AO5" s="248">
        <v>1</v>
      </c>
      <c r="AP5" s="246" t="s">
        <v>53</v>
      </c>
      <c r="AQ5" s="244">
        <v>0</v>
      </c>
      <c r="AR5" s="245" t="s">
        <v>54</v>
      </c>
      <c r="AS5" s="246">
        <v>1</v>
      </c>
      <c r="AT5" s="244" t="s">
        <v>52</v>
      </c>
      <c r="AU5" s="248">
        <v>3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1</v>
      </c>
      <c r="BB5" s="246" t="s">
        <v>53</v>
      </c>
      <c r="BC5" s="244">
        <v>0</v>
      </c>
      <c r="BD5" s="245" t="s">
        <v>54</v>
      </c>
      <c r="BE5" s="116">
        <v>0</v>
      </c>
      <c r="BF5" s="419" t="s">
        <v>52</v>
      </c>
      <c r="BG5" s="117">
        <v>0</v>
      </c>
      <c r="BH5" s="115"/>
      <c r="BI5" s="114">
        <f t="shared" si="12"/>
        <v>0</v>
      </c>
      <c r="BJ5" s="419" t="s">
        <v>52</v>
      </c>
      <c r="BK5" s="115">
        <f t="shared" ref="BK5:BK18" si="47">IFERROR(BQ5+BW5+CC5,"0")</f>
        <v>0</v>
      </c>
      <c r="BL5" s="116" t="s">
        <v>53</v>
      </c>
      <c r="BM5" s="419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19" t="s">
        <v>52</v>
      </c>
      <c r="CI5" s="117">
        <v>0</v>
      </c>
      <c r="CJ5" s="148">
        <v>0</v>
      </c>
      <c r="CK5" s="148">
        <f t="shared" ref="CK5:CK18" si="48">CL5+CM5</f>
        <v>1</v>
      </c>
      <c r="CL5" s="148">
        <v>1</v>
      </c>
      <c r="CM5" s="148">
        <v>0</v>
      </c>
      <c r="CN5" s="148">
        <f t="shared" ref="CN5:CN20" si="49">IFERROR(CJ5+CK5,"0")</f>
        <v>1</v>
      </c>
      <c r="CO5" s="175">
        <v>1</v>
      </c>
      <c r="CP5" s="140">
        <v>1</v>
      </c>
      <c r="CQ5" s="175">
        <v>0</v>
      </c>
      <c r="CR5" s="148">
        <v>0</v>
      </c>
      <c r="CS5" s="148">
        <v>1</v>
      </c>
      <c r="CT5" s="140">
        <v>0</v>
      </c>
      <c r="CU5" s="140">
        <v>0</v>
      </c>
      <c r="CV5" s="148">
        <f t="shared" ref="CV5:CV18" si="50">IFERROR((W5*3)+((E5-W5)*2)+EX5,"0")</f>
        <v>2</v>
      </c>
      <c r="CW5" s="140"/>
      <c r="CX5" s="140">
        <f t="shared" ref="CX5:CX18" si="51">IFERROR(100*(EH5/EG5),"0")</f>
        <v>52.98878619149788</v>
      </c>
      <c r="CY5" s="140">
        <f t="shared" si="14"/>
        <v>0.24753364136069467</v>
      </c>
      <c r="CZ5" s="165">
        <f t="shared" si="15"/>
        <v>0.26520978069255191</v>
      </c>
      <c r="DA5" s="164">
        <f t="shared" si="16"/>
        <v>147.23347629412234</v>
      </c>
      <c r="DB5" s="141"/>
      <c r="DC5" s="141"/>
      <c r="DD5" s="77">
        <f t="shared" ref="DD5:DD18" si="52">IFERROR(D5/($D$21/10),"0")</f>
        <v>0.82416267942583732</v>
      </c>
      <c r="DE5" s="37">
        <f t="shared" ref="DE5:DE18" si="53">IFERROR(E5/G5,"0")</f>
        <v>0.2</v>
      </c>
      <c r="DF5" s="37">
        <f t="shared" ref="DF5:DF18" si="54">IFERROR(W5/Y5,"0")</f>
        <v>0</v>
      </c>
      <c r="DG5" s="37">
        <f t="shared" ref="DG5:DG18" si="55">IFERROR(((E5-W5)+1.5*W5)/G5,"0")</f>
        <v>0.2</v>
      </c>
      <c r="DH5" s="37">
        <f t="shared" si="17"/>
        <v>0</v>
      </c>
      <c r="DI5" s="37">
        <f t="shared" si="18"/>
        <v>5.7778699288133242E-2</v>
      </c>
      <c r="DJ5" s="37">
        <f t="shared" si="19"/>
        <v>0</v>
      </c>
      <c r="DK5" s="37">
        <f t="shared" si="20"/>
        <v>5.8892498552815038E-2</v>
      </c>
      <c r="DL5" s="37">
        <f t="shared" si="21"/>
        <v>0.20222544750846635</v>
      </c>
      <c r="DM5" s="37">
        <f t="shared" si="22"/>
        <v>0.11778499710563008</v>
      </c>
      <c r="DN5" s="37">
        <f t="shared" ref="DN5:DN18" si="56">IFERROR(CT5/EG5,"0")</f>
        <v>0</v>
      </c>
      <c r="DO5" s="37" t="str">
        <f t="shared" ref="DO5:DO18" si="57">IFERROR(CO5/CT5,"0")</f>
        <v>0</v>
      </c>
      <c r="DP5" s="66">
        <f t="shared" ref="DP5:DP18" si="58">IFERROR((40/D5)*CQ5,"0")</f>
        <v>0</v>
      </c>
      <c r="DQ5" s="78">
        <f t="shared" ref="DQ5:DQ18" si="59">IFERROR((40/D5)*CR5,"0")</f>
        <v>0</v>
      </c>
      <c r="DR5" s="6"/>
      <c r="DS5" s="36"/>
      <c r="DT5" s="75">
        <f t="shared" ref="DT5:DT18" si="60">IFERROR(((E5*85.91)+(CS5*53.897)+(W5*51.757)+(EX5*46.845)+(CU5*39.19)+(CJ5*39.19)+(CO5*34.677)+(CK5*14.707)-(CQ5*17.174)-((EY5-EX5)*20.091)-((G5-E5)*39.19)-(CT5*53.897))*(1/D5),"0")</f>
        <v>2.8241799709724229</v>
      </c>
      <c r="DU5" s="18">
        <f t="shared" ref="DU5:DU20" si="61">IFERROR((DV5+DX5+DY5)*(1-(CJ26/EZ26)*EA5*EC5)+ED5,"0")</f>
        <v>1.1147148508298543</v>
      </c>
      <c r="DV5" s="13">
        <f t="shared" ref="DV5:DV20" si="62">IFERROR(E5*(1-0.5*((CV5-EX5)/(2*G5))*DW5),"0")</f>
        <v>0.93480530332603518</v>
      </c>
      <c r="DW5" s="14">
        <f t="shared" si="23"/>
        <v>0.65194696673964825</v>
      </c>
      <c r="DX5" s="14">
        <f t="shared" si="24"/>
        <v>0.25</v>
      </c>
      <c r="DY5" s="14" t="str">
        <f t="shared" ref="DY5:DY20" si="63">IFERROR((1-(1-(EX5/EY5))^2)*0.4*EY5,"0")</f>
        <v>0</v>
      </c>
      <c r="DZ5" s="15">
        <f t="shared" si="25"/>
        <v>7.3639999999999999</v>
      </c>
      <c r="EA5" s="14">
        <f t="shared" ref="EA5:EA20" si="64">IFERROR(((1-EB5)*EC5)/((1-EB5)*EC5+EB5*(1-EC5)),"0")</f>
        <v>0.72172492649460962</v>
      </c>
      <c r="EB5" s="14">
        <f t="shared" si="26"/>
        <v>0.14285714285714285</v>
      </c>
      <c r="EC5" s="14">
        <f t="shared" si="27"/>
        <v>0.30180327868852458</v>
      </c>
      <c r="ED5" s="14">
        <f t="shared" ref="ED5:ED20" si="65">IFERROR(CJ5*EA5*EC5,"0")</f>
        <v>0</v>
      </c>
      <c r="EE5" s="19">
        <f t="shared" ref="EE5:EE20" si="66">IFERROR((G5-E5)*(1-1.07*EB5),"0")</f>
        <v>3.3885714285714288</v>
      </c>
      <c r="EF5" s="67" t="str">
        <f t="shared" ref="EF5:EF20" si="67">IFERROR(((1-(EX5/EY5))^2)*0.4*EY5,"0")</f>
        <v>0</v>
      </c>
      <c r="EG5" s="74">
        <f t="shared" ref="EG5:EG20" si="68">IFERROR(DU5+EE5+EF5+CT5,"0")</f>
        <v>4.5032862794012836</v>
      </c>
      <c r="EH5" s="27">
        <f t="shared" ref="EH5:EH20" si="69">IFERROR((EI5+EJ5+EX5)*(1-(CJ26/DZ5)*EA5*EC5)+EK5,"0")</f>
        <v>2.3862367381830061</v>
      </c>
      <c r="EI5" s="25">
        <f t="shared" ref="EI5:EI20" si="70">IFERROR(2*((E5)+(0.5*W5))*(1-0.5*((CV5-EX5)/(2*(G5)))*DW5),"0")</f>
        <v>1.8696106066520704</v>
      </c>
      <c r="EJ5" s="25">
        <f t="shared" ref="EJ5:EJ20" si="71">IFERROR(2*((E26-E5+0.5*(W26-W5))/(E26-E5))*0.5*(((CV26-EX26)-(CV5-EX5))/(2*(G26-G5)))*CO5,"0")</f>
        <v>0.66666666666666663</v>
      </c>
      <c r="EK5" s="26">
        <f t="shared" si="28"/>
        <v>0</v>
      </c>
      <c r="EL5" s="29">
        <f t="shared" ref="EL5:EL20" si="72">IFERROR((EN5*(1-EM5))/(EN5*(1-EM5)+(1-EN5)*EM5),"0")</f>
        <v>0.48780487804878053</v>
      </c>
      <c r="EM5" s="30">
        <f t="shared" si="29"/>
        <v>0.42857142857142855</v>
      </c>
      <c r="EN5" s="30">
        <f t="shared" si="30"/>
        <v>0.41666666666666669</v>
      </c>
      <c r="EO5" s="31">
        <f t="shared" ref="EO5:EO20" si="73">IFERROR(CS5+CU5*EL5*(1-1.07*EM5)+CK5*(1-EL5),"0")</f>
        <v>1.5121951219512195</v>
      </c>
      <c r="EP5" s="31">
        <f t="shared" si="31"/>
        <v>0.91421752829968483</v>
      </c>
      <c r="EQ5" s="31">
        <f t="shared" ref="EQ5:EQ20" si="74">IFERROR(EO5+EP5,"0")</f>
        <v>2.4264126502509042</v>
      </c>
      <c r="ER5" s="93">
        <f t="shared" si="32"/>
        <v>0.71448751746716754</v>
      </c>
      <c r="ES5" s="109">
        <f t="shared" si="33"/>
        <v>167.93801794258121</v>
      </c>
      <c r="ET5" s="32">
        <f t="shared" si="34"/>
        <v>2.2561293688054254</v>
      </c>
      <c r="EV5" s="277"/>
      <c r="EW5" s="278"/>
      <c r="EX5" s="37">
        <f>AC5</f>
        <v>0</v>
      </c>
      <c r="EY5" s="72">
        <f t="shared" ref="EY5:EY16" si="75">AE5</f>
        <v>0</v>
      </c>
      <c r="EZ5" s="7">
        <v>0.75</v>
      </c>
      <c r="FB5" s="41"/>
      <c r="FC5" s="139"/>
      <c r="FD5" s="423" t="s">
        <v>82</v>
      </c>
      <c r="FE5" s="41" t="s">
        <v>234</v>
      </c>
      <c r="FF5" s="147">
        <f t="shared" si="35"/>
        <v>11.483333333333333</v>
      </c>
      <c r="FG5" s="144">
        <f t="shared" si="36"/>
        <v>1</v>
      </c>
      <c r="FH5" s="419" t="s">
        <v>52</v>
      </c>
      <c r="FI5" s="145">
        <f t="shared" ref="FI5:FI23" si="76">G5</f>
        <v>5</v>
      </c>
      <c r="FJ5" s="194">
        <f t="shared" ref="FJ5:FJ23" si="77">IFERROR(FG5/FI5,"0")</f>
        <v>0.2</v>
      </c>
      <c r="FK5" s="110">
        <f t="shared" si="37"/>
        <v>0</v>
      </c>
      <c r="FL5" s="419" t="s">
        <v>52</v>
      </c>
      <c r="FM5" s="168">
        <f t="shared" si="38"/>
        <v>1</v>
      </c>
      <c r="FN5" s="194">
        <f t="shared" ref="FN5:FN23" si="78">IFERROR(FK5/FM5,"0")</f>
        <v>0</v>
      </c>
      <c r="FO5" s="262">
        <f t="shared" ref="FO5:FO18" si="79">EV5</f>
        <v>0</v>
      </c>
      <c r="FP5" s="419" t="s">
        <v>52</v>
      </c>
      <c r="FQ5" s="274">
        <f t="shared" ref="FQ5:FQ17" si="80">EW5</f>
        <v>0</v>
      </c>
      <c r="FR5" s="197" t="str">
        <f t="shared" ref="FR5:FR23" si="81">IFERROR(FO5/FQ5,"0")</f>
        <v>0</v>
      </c>
      <c r="FS5" s="140">
        <f t="shared" si="39"/>
        <v>0</v>
      </c>
      <c r="FT5" s="140">
        <f t="shared" si="40"/>
        <v>1</v>
      </c>
      <c r="FU5" s="140">
        <f t="shared" si="41"/>
        <v>1</v>
      </c>
      <c r="FV5" s="175">
        <f t="shared" si="41"/>
        <v>1</v>
      </c>
      <c r="FW5" s="140">
        <f t="shared" si="41"/>
        <v>1</v>
      </c>
      <c r="FX5" s="140">
        <f t="shared" si="41"/>
        <v>0</v>
      </c>
      <c r="FY5" s="140">
        <f t="shared" si="41"/>
        <v>0</v>
      </c>
      <c r="FZ5" s="140">
        <f t="shared" si="41"/>
        <v>1</v>
      </c>
      <c r="GA5" s="140">
        <f t="shared" si="41"/>
        <v>0</v>
      </c>
      <c r="GB5" s="140">
        <f t="shared" si="41"/>
        <v>0</v>
      </c>
      <c r="GC5" s="192">
        <f t="shared" si="41"/>
        <v>2</v>
      </c>
      <c r="GD5" s="202">
        <f t="shared" ref="GD5:GG18" si="82">CX5</f>
        <v>52.98878619149788</v>
      </c>
      <c r="GE5" s="140">
        <f t="shared" si="82"/>
        <v>0.24753364136069467</v>
      </c>
      <c r="GF5" s="140">
        <f t="shared" si="82"/>
        <v>0.26520978069255191</v>
      </c>
      <c r="GG5" s="259">
        <f t="shared" si="82"/>
        <v>147.23347629412234</v>
      </c>
      <c r="GH5" s="140"/>
      <c r="GJ5" s="82"/>
      <c r="GK5" s="24"/>
      <c r="GL5" s="185">
        <f>(CQ5/CQ27)*(EY28-EX28)</f>
        <v>0</v>
      </c>
      <c r="GM5" s="185">
        <f>((E28/G28)*(1-(CJ28/(CJ28+CK27))))/((E28/G28)*(1-(CJ28/(CJ28+CK27)))+((1-(E28/G28)))*(CJ28/(CJ28+CK27)))</f>
        <v>0.75</v>
      </c>
      <c r="GN5" s="24">
        <f>GK5+(GL5/10)+(GJ5*GM5*(1-(CJ28/(CJ28+CK27))))+(CK5*(1-GM5))</f>
        <v>0.25</v>
      </c>
      <c r="GO5" s="213">
        <f>GN5/(DD5*EG28)</f>
        <v>1.472312463820376E-2</v>
      </c>
    </row>
    <row r="6" spans="1:197" x14ac:dyDescent="0.2">
      <c r="A6" s="139"/>
      <c r="B6" s="430" t="s">
        <v>117</v>
      </c>
      <c r="C6" s="431" t="s">
        <v>207</v>
      </c>
      <c r="D6" s="161">
        <v>9.9666666666666668</v>
      </c>
      <c r="E6" s="114">
        <f t="shared" si="0"/>
        <v>1</v>
      </c>
      <c r="F6" s="419" t="s">
        <v>52</v>
      </c>
      <c r="G6" s="115">
        <f t="shared" si="1"/>
        <v>1</v>
      </c>
      <c r="H6" s="116" t="s">
        <v>53</v>
      </c>
      <c r="I6" s="419">
        <f t="shared" si="42"/>
        <v>1</v>
      </c>
      <c r="J6" s="115" t="s">
        <v>54</v>
      </c>
      <c r="K6" s="116">
        <f t="shared" si="2"/>
        <v>0</v>
      </c>
      <c r="L6" s="419" t="s">
        <v>52</v>
      </c>
      <c r="M6" s="115">
        <f t="shared" si="3"/>
        <v>0</v>
      </c>
      <c r="N6" s="116" t="s">
        <v>53</v>
      </c>
      <c r="O6" s="419">
        <f t="shared" si="4"/>
        <v>0</v>
      </c>
      <c r="P6" s="115" t="s">
        <v>54</v>
      </c>
      <c r="Q6" s="116">
        <f t="shared" si="5"/>
        <v>0</v>
      </c>
      <c r="R6" s="419" t="s">
        <v>52</v>
      </c>
      <c r="S6" s="115">
        <f t="shared" si="43"/>
        <v>0</v>
      </c>
      <c r="T6" s="116" t="s">
        <v>53</v>
      </c>
      <c r="U6" s="419">
        <f t="shared" si="6"/>
        <v>0</v>
      </c>
      <c r="V6" s="115" t="s">
        <v>54</v>
      </c>
      <c r="W6" s="116">
        <f t="shared" si="7"/>
        <v>1</v>
      </c>
      <c r="X6" s="419" t="s">
        <v>52</v>
      </c>
      <c r="Y6" s="115">
        <f t="shared" si="8"/>
        <v>1</v>
      </c>
      <c r="Z6" s="116" t="s">
        <v>53</v>
      </c>
      <c r="AA6" s="419">
        <f t="shared" si="9"/>
        <v>1</v>
      </c>
      <c r="AB6" s="115" t="s">
        <v>54</v>
      </c>
      <c r="AC6" s="116">
        <f t="shared" si="44"/>
        <v>0.7</v>
      </c>
      <c r="AD6" s="419" t="s">
        <v>52</v>
      </c>
      <c r="AE6" s="117">
        <f t="shared" si="45"/>
        <v>1</v>
      </c>
      <c r="AF6" s="420"/>
      <c r="AG6" s="114">
        <f t="shared" si="46"/>
        <v>1</v>
      </c>
      <c r="AH6" s="419" t="s">
        <v>52</v>
      </c>
      <c r="AI6" s="115">
        <f t="shared" si="10"/>
        <v>1</v>
      </c>
      <c r="AJ6" s="116" t="s">
        <v>53</v>
      </c>
      <c r="AK6" s="419">
        <f t="shared" si="11"/>
        <v>1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1</v>
      </c>
      <c r="AZ6" s="244" t="s">
        <v>52</v>
      </c>
      <c r="BA6" s="245">
        <v>1</v>
      </c>
      <c r="BB6" s="246" t="s">
        <v>53</v>
      </c>
      <c r="BC6" s="244">
        <v>1</v>
      </c>
      <c r="BD6" s="245" t="s">
        <v>54</v>
      </c>
      <c r="BE6" s="116">
        <v>0</v>
      </c>
      <c r="BF6" s="419" t="s">
        <v>52</v>
      </c>
      <c r="BG6" s="117">
        <v>0</v>
      </c>
      <c r="BH6" s="115"/>
      <c r="BI6" s="114">
        <f t="shared" si="12"/>
        <v>0</v>
      </c>
      <c r="BJ6" s="419" t="s">
        <v>52</v>
      </c>
      <c r="BK6" s="115">
        <f t="shared" si="47"/>
        <v>0</v>
      </c>
      <c r="BL6" s="116" t="s">
        <v>53</v>
      </c>
      <c r="BM6" s="419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19" t="s">
        <v>52</v>
      </c>
      <c r="CI6" s="117">
        <v>0</v>
      </c>
      <c r="CJ6" s="140">
        <v>0</v>
      </c>
      <c r="CK6" s="148">
        <f t="shared" si="48"/>
        <v>1</v>
      </c>
      <c r="CL6" s="148">
        <v>1</v>
      </c>
      <c r="CM6" s="148">
        <v>0</v>
      </c>
      <c r="CN6" s="148">
        <f t="shared" si="49"/>
        <v>1</v>
      </c>
      <c r="CO6" s="175">
        <v>0</v>
      </c>
      <c r="CP6" s="140">
        <v>0</v>
      </c>
      <c r="CQ6" s="175">
        <v>0</v>
      </c>
      <c r="CR6" s="148">
        <v>1</v>
      </c>
      <c r="CS6" s="148">
        <v>0</v>
      </c>
      <c r="CT6" s="140">
        <v>0</v>
      </c>
      <c r="CU6" s="140">
        <v>0</v>
      </c>
      <c r="CV6" s="148">
        <f t="shared" si="50"/>
        <v>3.7</v>
      </c>
      <c r="CW6" s="140"/>
      <c r="CX6" s="140">
        <f t="shared" si="51"/>
        <v>234.59424756454123</v>
      </c>
      <c r="CY6" s="140">
        <f t="shared" si="14"/>
        <v>0.95061751331936761</v>
      </c>
      <c r="CZ6" s="165">
        <f t="shared" si="15"/>
        <v>4.9466087725229847E-2</v>
      </c>
      <c r="DA6" s="164">
        <f t="shared" si="16"/>
        <v>159.48476776954013</v>
      </c>
      <c r="DB6" s="141"/>
      <c r="DC6" s="141"/>
      <c r="DD6" s="77">
        <f t="shared" si="52"/>
        <v>0.71531100478468912</v>
      </c>
      <c r="DE6" s="37">
        <f t="shared" si="53"/>
        <v>1</v>
      </c>
      <c r="DF6" s="37">
        <f t="shared" si="54"/>
        <v>1</v>
      </c>
      <c r="DG6" s="37">
        <f t="shared" si="55"/>
        <v>1.5</v>
      </c>
      <c r="DH6" s="37">
        <f t="shared" si="17"/>
        <v>0</v>
      </c>
      <c r="DI6" s="37">
        <f t="shared" si="18"/>
        <v>6.6571110049370913E-2</v>
      </c>
      <c r="DJ6" s="37">
        <f t="shared" si="19"/>
        <v>0</v>
      </c>
      <c r="DK6" s="37">
        <f t="shared" si="20"/>
        <v>0</v>
      </c>
      <c r="DL6" s="37">
        <f t="shared" si="21"/>
        <v>0</v>
      </c>
      <c r="DM6" s="37">
        <f t="shared" si="22"/>
        <v>0</v>
      </c>
      <c r="DN6" s="37">
        <f t="shared" si="56"/>
        <v>0</v>
      </c>
      <c r="DO6" s="37" t="str">
        <f t="shared" si="57"/>
        <v>0</v>
      </c>
      <c r="DP6" s="66">
        <f t="shared" si="58"/>
        <v>0</v>
      </c>
      <c r="DQ6" s="78">
        <f t="shared" si="59"/>
        <v>4.0133779264214047</v>
      </c>
      <c r="DR6" s="6"/>
      <c r="DS6" s="36"/>
      <c r="DT6" s="75">
        <f t="shared" si="60"/>
        <v>17.973732441471572</v>
      </c>
      <c r="DU6" s="18">
        <f t="shared" si="61"/>
        <v>0.69300338601456235</v>
      </c>
      <c r="DV6" s="13">
        <f t="shared" si="62"/>
        <v>0.37257768743432529</v>
      </c>
      <c r="DW6" s="14">
        <f t="shared" si="23"/>
        <v>0.83656308342089958</v>
      </c>
      <c r="DX6" s="14">
        <f t="shared" si="24"/>
        <v>0</v>
      </c>
      <c r="DY6" s="14">
        <f t="shared" si="63"/>
        <v>0.36399999999999999</v>
      </c>
      <c r="DZ6" s="15">
        <f t="shared" si="25"/>
        <v>7.3639999999999999</v>
      </c>
      <c r="EA6" s="14">
        <f t="shared" si="64"/>
        <v>0.72172492649460962</v>
      </c>
      <c r="EB6" s="14">
        <f t="shared" si="26"/>
        <v>0.14285714285714285</v>
      </c>
      <c r="EC6" s="14">
        <f t="shared" si="27"/>
        <v>0.30180327868852458</v>
      </c>
      <c r="ED6" s="14">
        <f t="shared" si="65"/>
        <v>0</v>
      </c>
      <c r="EE6" s="19">
        <f t="shared" si="66"/>
        <v>0</v>
      </c>
      <c r="EF6" s="67">
        <f t="shared" si="67"/>
        <v>3.6000000000000011E-2</v>
      </c>
      <c r="EG6" s="74">
        <f t="shared" si="68"/>
        <v>0.72900338601456238</v>
      </c>
      <c r="EH6" s="27">
        <f t="shared" si="69"/>
        <v>1.7102000081408908</v>
      </c>
      <c r="EI6" s="25">
        <f t="shared" si="70"/>
        <v>1.117733062302976</v>
      </c>
      <c r="EJ6" s="25">
        <f t="shared" si="71"/>
        <v>0</v>
      </c>
      <c r="EK6" s="26">
        <f t="shared" si="28"/>
        <v>0</v>
      </c>
      <c r="EL6" s="29">
        <f t="shared" si="72"/>
        <v>0.48780487804878053</v>
      </c>
      <c r="EM6" s="30">
        <f t="shared" si="29"/>
        <v>0.42857142857142855</v>
      </c>
      <c r="EN6" s="30">
        <f t="shared" si="30"/>
        <v>0.41666666666666669</v>
      </c>
      <c r="EO6" s="31">
        <f t="shared" si="73"/>
        <v>0.51219512195121952</v>
      </c>
      <c r="EP6" s="31">
        <f t="shared" si="31"/>
        <v>0.79347181701482083</v>
      </c>
      <c r="EQ6" s="31">
        <f t="shared" si="74"/>
        <v>1.3056669389660405</v>
      </c>
      <c r="ER6" s="93">
        <f t="shared" si="32"/>
        <v>0.44297623702351596</v>
      </c>
      <c r="ES6" s="109">
        <f t="shared" si="33"/>
        <v>167.93801794258121</v>
      </c>
      <c r="ET6" s="32">
        <f t="shared" si="34"/>
        <v>2.2561293688054254</v>
      </c>
      <c r="EV6" s="277"/>
      <c r="EW6" s="278"/>
      <c r="EX6" s="37">
        <f t="shared" ref="EX6:EX16" si="83">AC6</f>
        <v>0.7</v>
      </c>
      <c r="EY6" s="72">
        <f t="shared" si="75"/>
        <v>1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5"/>
        <v>9.9666666666666668</v>
      </c>
      <c r="FG6" s="182">
        <f t="shared" si="36"/>
        <v>1</v>
      </c>
      <c r="FH6" s="183" t="s">
        <v>52</v>
      </c>
      <c r="FI6" s="184">
        <f t="shared" si="76"/>
        <v>1</v>
      </c>
      <c r="FJ6" s="193">
        <f t="shared" si="77"/>
        <v>1</v>
      </c>
      <c r="FK6" s="185">
        <f t="shared" si="37"/>
        <v>1</v>
      </c>
      <c r="FL6" s="183" t="s">
        <v>52</v>
      </c>
      <c r="FM6" s="186">
        <f t="shared" si="38"/>
        <v>1</v>
      </c>
      <c r="FN6" s="193">
        <f t="shared" si="78"/>
        <v>1</v>
      </c>
      <c r="FO6" s="261">
        <f t="shared" si="79"/>
        <v>0</v>
      </c>
      <c r="FP6" s="183" t="s">
        <v>52</v>
      </c>
      <c r="FQ6" s="268">
        <f t="shared" si="80"/>
        <v>0</v>
      </c>
      <c r="FR6" s="196" t="str">
        <f t="shared" si="81"/>
        <v>0</v>
      </c>
      <c r="FS6" s="179">
        <f t="shared" si="39"/>
        <v>0</v>
      </c>
      <c r="FT6" s="179">
        <f t="shared" si="40"/>
        <v>1</v>
      </c>
      <c r="FU6" s="179">
        <f t="shared" si="41"/>
        <v>1</v>
      </c>
      <c r="FV6" s="187">
        <f t="shared" si="41"/>
        <v>0</v>
      </c>
      <c r="FW6" s="179">
        <f t="shared" si="41"/>
        <v>0</v>
      </c>
      <c r="FX6" s="179">
        <f t="shared" si="41"/>
        <v>0</v>
      </c>
      <c r="FY6" s="179">
        <f t="shared" si="41"/>
        <v>1</v>
      </c>
      <c r="FZ6" s="179">
        <f t="shared" si="41"/>
        <v>0</v>
      </c>
      <c r="GA6" s="179">
        <f t="shared" si="41"/>
        <v>0</v>
      </c>
      <c r="GB6" s="179">
        <f t="shared" si="41"/>
        <v>0</v>
      </c>
      <c r="GC6" s="191">
        <f t="shared" si="41"/>
        <v>3.7</v>
      </c>
      <c r="GD6" s="203">
        <f t="shared" si="82"/>
        <v>234.59424756454123</v>
      </c>
      <c r="GE6" s="179">
        <f t="shared" si="82"/>
        <v>0.95061751331936761</v>
      </c>
      <c r="GF6" s="179">
        <f t="shared" si="82"/>
        <v>4.9466087725229847E-2</v>
      </c>
      <c r="GG6" s="258">
        <f t="shared" si="82"/>
        <v>159.48476776954013</v>
      </c>
      <c r="GH6" s="179"/>
      <c r="GJ6" s="82"/>
      <c r="GK6" s="24"/>
      <c r="GL6" s="185">
        <f>(CQ6/CQ29)*(EY30-EX30)</f>
        <v>0</v>
      </c>
      <c r="GM6" s="185">
        <f>((E30/G30)*(1-(CJ30/(CJ30+CK29))))/((E30/G30)*(1-(CJ30/(CJ30+CK29)))+((1-(E30/G30)))*(CJ30/(CJ30+CK29)))</f>
        <v>0.75</v>
      </c>
      <c r="GN6" s="24">
        <f>GK6+(GL6/10)+(GJ6*GM6*(1-(CJ30/(CJ30+CK29))))+(CK6*(1-GM6))</f>
        <v>0.25</v>
      </c>
      <c r="GO6" s="213">
        <f>GN6/(DD6*EG30)</f>
        <v>1.696360012662607E-2</v>
      </c>
    </row>
    <row r="7" spans="1:197" x14ac:dyDescent="0.2">
      <c r="A7" s="139"/>
      <c r="B7" s="430" t="s">
        <v>117</v>
      </c>
      <c r="C7" s="431" t="s">
        <v>175</v>
      </c>
      <c r="D7" s="161">
        <v>9.3333333333333339</v>
      </c>
      <c r="E7" s="114">
        <f t="shared" si="0"/>
        <v>1</v>
      </c>
      <c r="F7" s="419" t="s">
        <v>52</v>
      </c>
      <c r="G7" s="115">
        <f t="shared" si="1"/>
        <v>2</v>
      </c>
      <c r="H7" s="116" t="s">
        <v>53</v>
      </c>
      <c r="I7" s="419">
        <f t="shared" si="42"/>
        <v>1</v>
      </c>
      <c r="J7" s="115" t="s">
        <v>54</v>
      </c>
      <c r="K7" s="116">
        <f t="shared" si="2"/>
        <v>1</v>
      </c>
      <c r="L7" s="419" t="s">
        <v>52</v>
      </c>
      <c r="M7" s="115">
        <f t="shared" si="3"/>
        <v>1</v>
      </c>
      <c r="N7" s="116" t="s">
        <v>53</v>
      </c>
      <c r="O7" s="419">
        <f t="shared" si="4"/>
        <v>1</v>
      </c>
      <c r="P7" s="115" t="s">
        <v>54</v>
      </c>
      <c r="Q7" s="116">
        <f t="shared" si="5"/>
        <v>0</v>
      </c>
      <c r="R7" s="419" t="s">
        <v>52</v>
      </c>
      <c r="S7" s="115">
        <f t="shared" si="43"/>
        <v>0</v>
      </c>
      <c r="T7" s="116" t="s">
        <v>53</v>
      </c>
      <c r="U7" s="419">
        <f t="shared" si="6"/>
        <v>0</v>
      </c>
      <c r="V7" s="115" t="s">
        <v>54</v>
      </c>
      <c r="W7" s="116">
        <f t="shared" si="7"/>
        <v>0</v>
      </c>
      <c r="X7" s="419" t="s">
        <v>52</v>
      </c>
      <c r="Y7" s="115">
        <f t="shared" si="8"/>
        <v>1</v>
      </c>
      <c r="Z7" s="116" t="s">
        <v>53</v>
      </c>
      <c r="AA7" s="419">
        <f t="shared" si="9"/>
        <v>0</v>
      </c>
      <c r="AB7" s="115" t="s">
        <v>54</v>
      </c>
      <c r="AC7" s="116">
        <f t="shared" si="44"/>
        <v>0</v>
      </c>
      <c r="AD7" s="419" t="s">
        <v>52</v>
      </c>
      <c r="AE7" s="117">
        <f t="shared" si="45"/>
        <v>0</v>
      </c>
      <c r="AF7" s="420"/>
      <c r="AG7" s="114">
        <f>IFERROR(AM7+AS7+AY7,"0")</f>
        <v>0</v>
      </c>
      <c r="AH7" s="419" t="s">
        <v>52</v>
      </c>
      <c r="AI7" s="115">
        <f t="shared" si="10"/>
        <v>0</v>
      </c>
      <c r="AJ7" s="116" t="s">
        <v>53</v>
      </c>
      <c r="AK7" s="419">
        <f t="shared" si="11"/>
        <v>0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0</v>
      </c>
      <c r="AZ7" s="244" t="s">
        <v>52</v>
      </c>
      <c r="BA7" s="245">
        <v>0</v>
      </c>
      <c r="BB7" s="246" t="s">
        <v>53</v>
      </c>
      <c r="BC7" s="244">
        <v>0</v>
      </c>
      <c r="BD7" s="245" t="s">
        <v>54</v>
      </c>
      <c r="BE7" s="116">
        <v>0</v>
      </c>
      <c r="BF7" s="419" t="s">
        <v>52</v>
      </c>
      <c r="BG7" s="117">
        <v>0</v>
      </c>
      <c r="BH7" s="115"/>
      <c r="BI7" s="114">
        <f>IFERROR(BO7+BU7+CA7,"0")</f>
        <v>1</v>
      </c>
      <c r="BJ7" s="419" t="s">
        <v>52</v>
      </c>
      <c r="BK7" s="115">
        <f t="shared" si="47"/>
        <v>2</v>
      </c>
      <c r="BL7" s="116" t="s">
        <v>53</v>
      </c>
      <c r="BM7" s="419">
        <f t="shared" si="13"/>
        <v>1</v>
      </c>
      <c r="BN7" s="115" t="s">
        <v>54</v>
      </c>
      <c r="BO7" s="246">
        <v>1</v>
      </c>
      <c r="BP7" s="244" t="s">
        <v>52</v>
      </c>
      <c r="BQ7" s="245">
        <v>1</v>
      </c>
      <c r="BR7" s="246" t="s">
        <v>53</v>
      </c>
      <c r="BS7" s="244">
        <v>1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1</v>
      </c>
      <c r="CD7" s="246" t="s">
        <v>53</v>
      </c>
      <c r="CE7" s="244">
        <v>0</v>
      </c>
      <c r="CF7" s="245" t="s">
        <v>54</v>
      </c>
      <c r="CG7" s="116">
        <v>0</v>
      </c>
      <c r="CH7" s="419" t="s">
        <v>52</v>
      </c>
      <c r="CI7" s="117">
        <v>0</v>
      </c>
      <c r="CJ7" s="140">
        <v>0</v>
      </c>
      <c r="CK7" s="148">
        <f t="shared" si="48"/>
        <v>2</v>
      </c>
      <c r="CL7" s="148">
        <v>0</v>
      </c>
      <c r="CM7" s="148">
        <v>2</v>
      </c>
      <c r="CN7" s="148">
        <f t="shared" si="49"/>
        <v>2</v>
      </c>
      <c r="CO7" s="175">
        <v>1</v>
      </c>
      <c r="CP7" s="140">
        <v>0</v>
      </c>
      <c r="CQ7" s="175">
        <v>0</v>
      </c>
      <c r="CR7" s="148">
        <v>0</v>
      </c>
      <c r="CS7" s="148">
        <v>0</v>
      </c>
      <c r="CT7" s="140">
        <v>0</v>
      </c>
      <c r="CU7" s="140">
        <v>0</v>
      </c>
      <c r="CV7" s="148">
        <f t="shared" si="50"/>
        <v>2</v>
      </c>
      <c r="CW7" s="140"/>
      <c r="CX7" s="140">
        <f t="shared" si="51"/>
        <v>114.81649948388448</v>
      </c>
      <c r="CY7" s="140">
        <f t="shared" si="14"/>
        <v>0.53808185035180089</v>
      </c>
      <c r="CZ7" s="165">
        <f t="shared" si="15"/>
        <v>0.13288709309843466</v>
      </c>
      <c r="DA7" s="164">
        <f t="shared" si="16"/>
        <v>150.57950900616933</v>
      </c>
      <c r="DB7" s="141"/>
      <c r="DC7" s="141"/>
      <c r="DD7" s="77">
        <f t="shared" si="52"/>
        <v>0.66985645933014371</v>
      </c>
      <c r="DE7" s="37">
        <f t="shared" si="53"/>
        <v>0.5</v>
      </c>
      <c r="DF7" s="37">
        <f t="shared" si="54"/>
        <v>0</v>
      </c>
      <c r="DG7" s="37">
        <f t="shared" si="55"/>
        <v>0.5</v>
      </c>
      <c r="DH7" s="37">
        <f t="shared" si="17"/>
        <v>0</v>
      </c>
      <c r="DI7" s="37">
        <f t="shared" si="18"/>
        <v>0.14217687074829929</v>
      </c>
      <c r="DJ7" s="37">
        <f t="shared" si="19"/>
        <v>0</v>
      </c>
      <c r="DK7" s="37">
        <f t="shared" si="20"/>
        <v>0</v>
      </c>
      <c r="DL7" s="37">
        <f t="shared" si="21"/>
        <v>0.24880952380952379</v>
      </c>
      <c r="DM7" s="37">
        <f t="shared" si="22"/>
        <v>7.2458806255159922E-2</v>
      </c>
      <c r="DN7" s="37">
        <f t="shared" si="56"/>
        <v>0</v>
      </c>
      <c r="DO7" s="37" t="str">
        <f t="shared" si="57"/>
        <v>0</v>
      </c>
      <c r="DP7" s="66">
        <f t="shared" si="58"/>
        <v>0</v>
      </c>
      <c r="DQ7" s="78">
        <f t="shared" si="59"/>
        <v>0</v>
      </c>
      <c r="DR7" s="6"/>
      <c r="DS7" s="36"/>
      <c r="DT7" s="75">
        <f t="shared" si="60"/>
        <v>11.87260714285714</v>
      </c>
      <c r="DU7" s="18">
        <f t="shared" si="61"/>
        <v>0.98682460611453715</v>
      </c>
      <c r="DV7" s="13">
        <f t="shared" si="62"/>
        <v>0.83834732746262541</v>
      </c>
      <c r="DW7" s="14">
        <f t="shared" si="23"/>
        <v>0.64661069014949824</v>
      </c>
      <c r="DX7" s="14">
        <f t="shared" si="24"/>
        <v>0.21052631578947367</v>
      </c>
      <c r="DY7" s="14" t="str">
        <f t="shared" si="63"/>
        <v>0</v>
      </c>
      <c r="DZ7" s="15">
        <f t="shared" si="25"/>
        <v>7.3639999999999999</v>
      </c>
      <c r="EA7" s="14">
        <f t="shared" si="64"/>
        <v>0.72172492649460962</v>
      </c>
      <c r="EB7" s="14">
        <f t="shared" si="26"/>
        <v>0.14285714285714285</v>
      </c>
      <c r="EC7" s="14">
        <f t="shared" si="27"/>
        <v>0.30180327868852458</v>
      </c>
      <c r="ED7" s="14">
        <f t="shared" si="65"/>
        <v>0</v>
      </c>
      <c r="EE7" s="19">
        <f t="shared" si="66"/>
        <v>0.8471428571428572</v>
      </c>
      <c r="EF7" s="67" t="str">
        <f t="shared" si="67"/>
        <v>0</v>
      </c>
      <c r="EG7" s="74">
        <f t="shared" si="68"/>
        <v>1.8339674632573943</v>
      </c>
      <c r="EH7" s="27">
        <f t="shared" si="69"/>
        <v>2.1056972429855354</v>
      </c>
      <c r="EI7" s="25">
        <f t="shared" si="70"/>
        <v>1.6766946549252508</v>
      </c>
      <c r="EJ7" s="25">
        <f t="shared" si="71"/>
        <v>0.56140350877192979</v>
      </c>
      <c r="EK7" s="26">
        <f t="shared" si="28"/>
        <v>0</v>
      </c>
      <c r="EL7" s="29">
        <f t="shared" si="72"/>
        <v>0.48780487804878053</v>
      </c>
      <c r="EM7" s="30">
        <f t="shared" si="29"/>
        <v>0.42857142857142855</v>
      </c>
      <c r="EN7" s="30">
        <f t="shared" si="30"/>
        <v>0.41666666666666669</v>
      </c>
      <c r="EO7" s="31">
        <f t="shared" si="73"/>
        <v>1.024390243902439</v>
      </c>
      <c r="EP7" s="31">
        <f t="shared" si="31"/>
        <v>0.74305053098377882</v>
      </c>
      <c r="EQ7" s="31">
        <f t="shared" si="74"/>
        <v>1.767440774886218</v>
      </c>
      <c r="ER7" s="93">
        <f t="shared" si="32"/>
        <v>0.64033324337475106</v>
      </c>
      <c r="ES7" s="109">
        <f t="shared" si="33"/>
        <v>167.93801794258121</v>
      </c>
      <c r="ET7" s="32">
        <f t="shared" si="34"/>
        <v>2.2561293688054254</v>
      </c>
      <c r="EV7" s="277"/>
      <c r="EW7" s="278"/>
      <c r="EX7" s="37">
        <f t="shared" si="83"/>
        <v>0</v>
      </c>
      <c r="EY7" s="72">
        <f t="shared" si="75"/>
        <v>0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5"/>
        <v>9.3333333333333339</v>
      </c>
      <c r="FG7" s="144">
        <f t="shared" si="36"/>
        <v>1</v>
      </c>
      <c r="FH7" s="419" t="s">
        <v>52</v>
      </c>
      <c r="FI7" s="145">
        <f t="shared" si="76"/>
        <v>2</v>
      </c>
      <c r="FJ7" s="194">
        <f t="shared" si="77"/>
        <v>0.5</v>
      </c>
      <c r="FK7" s="110">
        <f t="shared" si="37"/>
        <v>0</v>
      </c>
      <c r="FL7" s="419" t="s">
        <v>52</v>
      </c>
      <c r="FM7" s="168">
        <f t="shared" si="38"/>
        <v>1</v>
      </c>
      <c r="FN7" s="194">
        <f t="shared" si="78"/>
        <v>0</v>
      </c>
      <c r="FO7" s="262">
        <f t="shared" si="79"/>
        <v>0</v>
      </c>
      <c r="FP7" s="419" t="s">
        <v>52</v>
      </c>
      <c r="FQ7" s="274">
        <f t="shared" si="80"/>
        <v>0</v>
      </c>
      <c r="FR7" s="197" t="str">
        <f t="shared" si="81"/>
        <v>0</v>
      </c>
      <c r="FS7" s="140">
        <f t="shared" si="39"/>
        <v>0</v>
      </c>
      <c r="FT7" s="140">
        <f t="shared" si="40"/>
        <v>2</v>
      </c>
      <c r="FU7" s="140">
        <f t="shared" si="41"/>
        <v>2</v>
      </c>
      <c r="FV7" s="175">
        <f t="shared" si="41"/>
        <v>1</v>
      </c>
      <c r="FW7" s="140">
        <f t="shared" si="41"/>
        <v>0</v>
      </c>
      <c r="FX7" s="140">
        <f t="shared" si="41"/>
        <v>0</v>
      </c>
      <c r="FY7" s="140">
        <f t="shared" si="41"/>
        <v>0</v>
      </c>
      <c r="FZ7" s="140">
        <f t="shared" si="41"/>
        <v>0</v>
      </c>
      <c r="GA7" s="140">
        <f t="shared" si="41"/>
        <v>0</v>
      </c>
      <c r="GB7" s="140">
        <f t="shared" si="41"/>
        <v>0</v>
      </c>
      <c r="GC7" s="192">
        <f t="shared" si="41"/>
        <v>2</v>
      </c>
      <c r="GD7" s="202">
        <f t="shared" si="82"/>
        <v>114.81649948388448</v>
      </c>
      <c r="GE7" s="140">
        <f t="shared" si="82"/>
        <v>0.53808185035180089</v>
      </c>
      <c r="GF7" s="140">
        <f t="shared" si="82"/>
        <v>0.13288709309843466</v>
      </c>
      <c r="GG7" s="259">
        <f t="shared" si="82"/>
        <v>150.57950900616933</v>
      </c>
      <c r="GH7" s="140"/>
      <c r="GJ7" s="82"/>
      <c r="GK7" s="24"/>
      <c r="GL7" s="185">
        <f>(CQ7/CQ31)*(EY32-EX32)</f>
        <v>0</v>
      </c>
      <c r="GM7" s="185">
        <f>((E32/G32)*(1-(CJ32/(CJ32+CK31))))/((E32/G32)*(1-(CJ32/(CJ32+CK31)))+((1-(E32/G32)))*(CJ32/(CJ32+CK31)))</f>
        <v>0.75</v>
      </c>
      <c r="GN7" s="24">
        <f>GK7+(GL7/10)+(GJ7*GM7*(1-(CJ32/(CJ32+CK31))))+(CK7*(1-GM7))</f>
        <v>0.5</v>
      </c>
      <c r="GO7" s="213">
        <f>GN7/(DD7*EG32)</f>
        <v>3.6229403127579961E-2</v>
      </c>
    </row>
    <row r="8" spans="1:197" x14ac:dyDescent="0.2">
      <c r="A8" s="139"/>
      <c r="B8" s="89" t="s">
        <v>82</v>
      </c>
      <c r="C8" s="41" t="s">
        <v>208</v>
      </c>
      <c r="D8" s="161">
        <v>10.216666666666667</v>
      </c>
      <c r="E8" s="114">
        <f t="shared" si="0"/>
        <v>6</v>
      </c>
      <c r="F8" s="419" t="s">
        <v>52</v>
      </c>
      <c r="G8" s="115">
        <f t="shared" si="1"/>
        <v>7</v>
      </c>
      <c r="H8" s="116" t="s">
        <v>53</v>
      </c>
      <c r="I8" s="419">
        <f t="shared" si="42"/>
        <v>3</v>
      </c>
      <c r="J8" s="115" t="s">
        <v>54</v>
      </c>
      <c r="K8" s="116">
        <f t="shared" si="2"/>
        <v>3</v>
      </c>
      <c r="L8" s="419" t="s">
        <v>52</v>
      </c>
      <c r="M8" s="115">
        <f t="shared" si="3"/>
        <v>3</v>
      </c>
      <c r="N8" s="116" t="s">
        <v>53</v>
      </c>
      <c r="O8" s="419">
        <f t="shared" si="4"/>
        <v>2</v>
      </c>
      <c r="P8" s="115" t="s">
        <v>54</v>
      </c>
      <c r="Q8" s="116">
        <f t="shared" si="5"/>
        <v>2</v>
      </c>
      <c r="R8" s="419" t="s">
        <v>52</v>
      </c>
      <c r="S8" s="115">
        <f t="shared" si="43"/>
        <v>2</v>
      </c>
      <c r="T8" s="116" t="s">
        <v>53</v>
      </c>
      <c r="U8" s="419">
        <f t="shared" si="6"/>
        <v>0</v>
      </c>
      <c r="V8" s="115" t="s">
        <v>54</v>
      </c>
      <c r="W8" s="116">
        <f t="shared" si="7"/>
        <v>1</v>
      </c>
      <c r="X8" s="419" t="s">
        <v>52</v>
      </c>
      <c r="Y8" s="115">
        <f t="shared" si="8"/>
        <v>2</v>
      </c>
      <c r="Z8" s="116" t="s">
        <v>53</v>
      </c>
      <c r="AA8" s="419">
        <f t="shared" si="9"/>
        <v>1</v>
      </c>
      <c r="AB8" s="115" t="s">
        <v>54</v>
      </c>
      <c r="AC8" s="116">
        <f t="shared" si="44"/>
        <v>0.6</v>
      </c>
      <c r="AD8" s="419" t="s">
        <v>52</v>
      </c>
      <c r="AE8" s="117">
        <f t="shared" si="45"/>
        <v>1</v>
      </c>
      <c r="AF8" s="420"/>
      <c r="AG8" s="114">
        <f t="shared" si="46"/>
        <v>5</v>
      </c>
      <c r="AH8" s="419" t="s">
        <v>52</v>
      </c>
      <c r="AI8" s="115">
        <f t="shared" si="10"/>
        <v>6</v>
      </c>
      <c r="AJ8" s="116" t="s">
        <v>53</v>
      </c>
      <c r="AK8" s="419">
        <f t="shared" si="11"/>
        <v>2</v>
      </c>
      <c r="AL8" s="115" t="s">
        <v>54</v>
      </c>
      <c r="AM8" s="246">
        <v>2</v>
      </c>
      <c r="AN8" s="244" t="s">
        <v>52</v>
      </c>
      <c r="AO8" s="245">
        <v>2</v>
      </c>
      <c r="AP8" s="246" t="s">
        <v>53</v>
      </c>
      <c r="AQ8" s="244">
        <v>1</v>
      </c>
      <c r="AR8" s="245" t="s">
        <v>54</v>
      </c>
      <c r="AS8" s="246">
        <v>2</v>
      </c>
      <c r="AT8" s="244" t="s">
        <v>52</v>
      </c>
      <c r="AU8" s="245">
        <v>2</v>
      </c>
      <c r="AV8" s="246" t="s">
        <v>53</v>
      </c>
      <c r="AW8" s="244">
        <v>0</v>
      </c>
      <c r="AX8" s="245" t="s">
        <v>54</v>
      </c>
      <c r="AY8" s="246">
        <v>1</v>
      </c>
      <c r="AZ8" s="244" t="s">
        <v>52</v>
      </c>
      <c r="BA8" s="245">
        <v>2</v>
      </c>
      <c r="BB8" s="246" t="s">
        <v>53</v>
      </c>
      <c r="BC8" s="244">
        <v>1</v>
      </c>
      <c r="BD8" s="245" t="s">
        <v>54</v>
      </c>
      <c r="BE8" s="116">
        <v>0</v>
      </c>
      <c r="BF8" s="419" t="s">
        <v>52</v>
      </c>
      <c r="BG8" s="117">
        <v>0</v>
      </c>
      <c r="BH8" s="115"/>
      <c r="BI8" s="114">
        <f t="shared" si="12"/>
        <v>1</v>
      </c>
      <c r="BJ8" s="419" t="s">
        <v>52</v>
      </c>
      <c r="BK8" s="115">
        <f t="shared" si="47"/>
        <v>1</v>
      </c>
      <c r="BL8" s="116" t="s">
        <v>53</v>
      </c>
      <c r="BM8" s="419">
        <f t="shared" si="13"/>
        <v>1</v>
      </c>
      <c r="BN8" s="115" t="s">
        <v>54</v>
      </c>
      <c r="BO8" s="246">
        <v>1</v>
      </c>
      <c r="BP8" s="244" t="s">
        <v>52</v>
      </c>
      <c r="BQ8" s="245">
        <v>1</v>
      </c>
      <c r="BR8" s="246" t="s">
        <v>53</v>
      </c>
      <c r="BS8" s="244">
        <v>1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19" t="s">
        <v>52</v>
      </c>
      <c r="CI8" s="117">
        <v>0</v>
      </c>
      <c r="CJ8" s="140">
        <v>0</v>
      </c>
      <c r="CK8" s="148">
        <f t="shared" si="48"/>
        <v>2</v>
      </c>
      <c r="CL8" s="148">
        <v>1</v>
      </c>
      <c r="CM8" s="148">
        <v>1</v>
      </c>
      <c r="CN8" s="148">
        <f t="shared" si="49"/>
        <v>2</v>
      </c>
      <c r="CO8" s="175">
        <v>1</v>
      </c>
      <c r="CP8" s="140">
        <v>2</v>
      </c>
      <c r="CQ8" s="175">
        <v>0</v>
      </c>
      <c r="CR8" s="148">
        <v>1</v>
      </c>
      <c r="CS8" s="148">
        <v>0</v>
      </c>
      <c r="CT8" s="140">
        <v>0</v>
      </c>
      <c r="CU8" s="140">
        <v>0</v>
      </c>
      <c r="CV8" s="148">
        <f t="shared" si="50"/>
        <v>13.6</v>
      </c>
      <c r="CW8" s="140"/>
      <c r="CX8" s="140">
        <f t="shared" si="51"/>
        <v>185.82683359385402</v>
      </c>
      <c r="CY8" s="140">
        <f t="shared" si="14"/>
        <v>0.86646808962788036</v>
      </c>
      <c r="CZ8" s="165">
        <f t="shared" si="15"/>
        <v>0.2338119588461012</v>
      </c>
      <c r="DA8" s="164">
        <f t="shared" si="16"/>
        <v>83.726126828465638</v>
      </c>
      <c r="DB8" s="141"/>
      <c r="DC8" s="141"/>
      <c r="DD8" s="77">
        <f t="shared" si="52"/>
        <v>0.73325358851674649</v>
      </c>
      <c r="DE8" s="37">
        <f t="shared" si="53"/>
        <v>0.8571428571428571</v>
      </c>
      <c r="DF8" s="37">
        <f t="shared" si="54"/>
        <v>0.5</v>
      </c>
      <c r="DG8" s="37">
        <f t="shared" si="55"/>
        <v>0.9285714285714286</v>
      </c>
      <c r="DH8" s="37">
        <f t="shared" si="17"/>
        <v>0</v>
      </c>
      <c r="DI8" s="37">
        <f t="shared" si="18"/>
        <v>0.194826380797017</v>
      </c>
      <c r="DJ8" s="37">
        <f t="shared" si="19"/>
        <v>0</v>
      </c>
      <c r="DK8" s="37">
        <f t="shared" si="20"/>
        <v>0</v>
      </c>
      <c r="DL8" s="37">
        <f t="shared" si="21"/>
        <v>0.15153162950879098</v>
      </c>
      <c r="DM8" s="37">
        <f t="shared" si="22"/>
        <v>0.15470705714580305</v>
      </c>
      <c r="DN8" s="37">
        <f t="shared" si="56"/>
        <v>0</v>
      </c>
      <c r="DO8" s="37" t="str">
        <f t="shared" si="57"/>
        <v>0</v>
      </c>
      <c r="DP8" s="66">
        <f t="shared" si="58"/>
        <v>0</v>
      </c>
      <c r="DQ8" s="78">
        <f t="shared" si="59"/>
        <v>3.9151712887438825</v>
      </c>
      <c r="DR8" s="6"/>
      <c r="DS8" s="36"/>
      <c r="DT8" s="75">
        <f t="shared" si="60"/>
        <v>59.920580750407829</v>
      </c>
      <c r="DU8" s="18">
        <f t="shared" si="61"/>
        <v>3.9285331590776082</v>
      </c>
      <c r="DV8" s="13">
        <f t="shared" si="62"/>
        <v>3.9257366556442013</v>
      </c>
      <c r="DW8" s="14">
        <f t="shared" si="23"/>
        <v>0.74460735438413295</v>
      </c>
      <c r="DX8" s="14">
        <f t="shared" si="24"/>
        <v>0.18103448275862069</v>
      </c>
      <c r="DY8" s="14">
        <f t="shared" si="63"/>
        <v>0.33600000000000002</v>
      </c>
      <c r="DZ8" s="15">
        <f t="shared" si="25"/>
        <v>15.336</v>
      </c>
      <c r="EA8" s="14">
        <f t="shared" si="64"/>
        <v>0.48099360180654888</v>
      </c>
      <c r="EB8" s="14">
        <f t="shared" si="26"/>
        <v>0.42857142857142855</v>
      </c>
      <c r="EC8" s="14">
        <f t="shared" si="27"/>
        <v>0.41005347593582891</v>
      </c>
      <c r="ED8" s="14">
        <f t="shared" si="65"/>
        <v>0</v>
      </c>
      <c r="EE8" s="19">
        <f t="shared" si="66"/>
        <v>0.54142857142857137</v>
      </c>
      <c r="EF8" s="67">
        <f t="shared" si="67"/>
        <v>6.4000000000000015E-2</v>
      </c>
      <c r="EG8" s="74">
        <f t="shared" si="68"/>
        <v>4.5339617305061797</v>
      </c>
      <c r="EH8" s="27">
        <f t="shared" si="69"/>
        <v>8.4253175201567423</v>
      </c>
      <c r="EI8" s="25">
        <f t="shared" si="70"/>
        <v>8.5057627538957696</v>
      </c>
      <c r="EJ8" s="25">
        <f t="shared" si="71"/>
        <v>0.42241379310344829</v>
      </c>
      <c r="EK8" s="26">
        <f t="shared" si="28"/>
        <v>0</v>
      </c>
      <c r="EL8" s="29">
        <f t="shared" si="72"/>
        <v>0.75</v>
      </c>
      <c r="EM8" s="30">
        <f t="shared" si="29"/>
        <v>0.14285714285714285</v>
      </c>
      <c r="EN8" s="30">
        <f t="shared" si="30"/>
        <v>0.33333333333333331</v>
      </c>
      <c r="EO8" s="31">
        <f t="shared" si="73"/>
        <v>0.5</v>
      </c>
      <c r="EP8" s="31">
        <f t="shared" si="31"/>
        <v>1.304458133971292</v>
      </c>
      <c r="EQ8" s="31">
        <f t="shared" si="74"/>
        <v>1.804458133971292</v>
      </c>
      <c r="ER8" s="93">
        <f t="shared" si="32"/>
        <v>0.46527067941584294</v>
      </c>
      <c r="ES8" s="109">
        <f t="shared" si="33"/>
        <v>70.710624671772521</v>
      </c>
      <c r="ET8" s="32">
        <f t="shared" si="34"/>
        <v>2.5393807713199346</v>
      </c>
      <c r="EV8" s="277"/>
      <c r="EW8" s="278"/>
      <c r="EX8" s="37">
        <f t="shared" si="83"/>
        <v>0.6</v>
      </c>
      <c r="EY8" s="72">
        <f t="shared" si="75"/>
        <v>1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5"/>
        <v>10.216666666666667</v>
      </c>
      <c r="FG8" s="182">
        <f t="shared" si="36"/>
        <v>6</v>
      </c>
      <c r="FH8" s="183" t="s">
        <v>52</v>
      </c>
      <c r="FI8" s="184">
        <f t="shared" si="76"/>
        <v>7</v>
      </c>
      <c r="FJ8" s="193">
        <f t="shared" si="77"/>
        <v>0.8571428571428571</v>
      </c>
      <c r="FK8" s="185">
        <f t="shared" si="37"/>
        <v>1</v>
      </c>
      <c r="FL8" s="183" t="s">
        <v>52</v>
      </c>
      <c r="FM8" s="186">
        <f t="shared" si="38"/>
        <v>2</v>
      </c>
      <c r="FN8" s="193">
        <f t="shared" si="78"/>
        <v>0.5</v>
      </c>
      <c r="FO8" s="261">
        <f t="shared" si="79"/>
        <v>0</v>
      </c>
      <c r="FP8" s="183" t="s">
        <v>52</v>
      </c>
      <c r="FQ8" s="268">
        <f t="shared" si="80"/>
        <v>0</v>
      </c>
      <c r="FR8" s="196" t="str">
        <f t="shared" si="81"/>
        <v>0</v>
      </c>
      <c r="FS8" s="179">
        <f t="shared" si="39"/>
        <v>0</v>
      </c>
      <c r="FT8" s="179">
        <f t="shared" si="40"/>
        <v>2</v>
      </c>
      <c r="FU8" s="179">
        <f t="shared" si="41"/>
        <v>2</v>
      </c>
      <c r="FV8" s="187">
        <f t="shared" si="41"/>
        <v>1</v>
      </c>
      <c r="FW8" s="179">
        <f t="shared" si="41"/>
        <v>2</v>
      </c>
      <c r="FX8" s="179">
        <f t="shared" si="41"/>
        <v>0</v>
      </c>
      <c r="FY8" s="179">
        <f t="shared" si="41"/>
        <v>1</v>
      </c>
      <c r="FZ8" s="179">
        <f t="shared" si="41"/>
        <v>0</v>
      </c>
      <c r="GA8" s="179">
        <f t="shared" si="41"/>
        <v>0</v>
      </c>
      <c r="GB8" s="179">
        <f t="shared" si="41"/>
        <v>0</v>
      </c>
      <c r="GC8" s="191">
        <f t="shared" si="41"/>
        <v>13.6</v>
      </c>
      <c r="GD8" s="203">
        <f t="shared" si="82"/>
        <v>185.82683359385402</v>
      </c>
      <c r="GE8" s="179">
        <f t="shared" si="82"/>
        <v>0.86646808962788036</v>
      </c>
      <c r="GF8" s="179">
        <f t="shared" si="82"/>
        <v>0.2338119588461012</v>
      </c>
      <c r="GG8" s="258">
        <f t="shared" si="82"/>
        <v>83.726126828465638</v>
      </c>
      <c r="GH8" s="179"/>
      <c r="GJ8" s="82"/>
      <c r="GK8" s="24"/>
      <c r="GL8" s="185">
        <f>(CQ8/CQ33)*(EY34-EX34)</f>
        <v>0</v>
      </c>
      <c r="GM8" s="185">
        <f>((E34/G34)*(1-(CJ34/(CJ34+CK33))))/((E34/G34)*(1-(CJ34/(CJ34+CK33)))+((1-(E34/G34)))*(CJ34/(CJ34+CK33)))</f>
        <v>0.75</v>
      </c>
      <c r="GN8" s="24">
        <f>GK8+(GL8/10)+(GJ8*GM8*(1-(CJ34/(CJ34+CK33))))+(CK8*(1-GM8))</f>
        <v>0.5</v>
      </c>
      <c r="GO8" s="213">
        <f>GN8/(DD8*EG34)</f>
        <v>3.309700775113341E-2</v>
      </c>
    </row>
    <row r="9" spans="1:197" x14ac:dyDescent="0.2">
      <c r="A9" s="139"/>
      <c r="B9" s="430" t="s">
        <v>117</v>
      </c>
      <c r="C9" s="431" t="s">
        <v>209</v>
      </c>
      <c r="D9" s="161">
        <v>12.716666666666667</v>
      </c>
      <c r="E9" s="114">
        <f t="shared" si="0"/>
        <v>1</v>
      </c>
      <c r="F9" s="419" t="s">
        <v>52</v>
      </c>
      <c r="G9" s="115">
        <f t="shared" si="1"/>
        <v>4</v>
      </c>
      <c r="H9" s="116" t="s">
        <v>53</v>
      </c>
      <c r="I9" s="419">
        <f t="shared" si="42"/>
        <v>1</v>
      </c>
      <c r="J9" s="115" t="s">
        <v>54</v>
      </c>
      <c r="K9" s="116">
        <f t="shared" si="2"/>
        <v>0</v>
      </c>
      <c r="L9" s="419" t="s">
        <v>52</v>
      </c>
      <c r="M9" s="115">
        <f t="shared" si="3"/>
        <v>0</v>
      </c>
      <c r="N9" s="116" t="s">
        <v>53</v>
      </c>
      <c r="O9" s="419">
        <f t="shared" si="4"/>
        <v>0</v>
      </c>
      <c r="P9" s="115" t="s">
        <v>54</v>
      </c>
      <c r="Q9" s="116">
        <f t="shared" si="5"/>
        <v>0</v>
      </c>
      <c r="R9" s="419" t="s">
        <v>52</v>
      </c>
      <c r="S9" s="115">
        <f t="shared" si="43"/>
        <v>1</v>
      </c>
      <c r="T9" s="116" t="s">
        <v>53</v>
      </c>
      <c r="U9" s="419">
        <f t="shared" si="6"/>
        <v>0</v>
      </c>
      <c r="V9" s="115" t="s">
        <v>54</v>
      </c>
      <c r="W9" s="116">
        <f t="shared" si="7"/>
        <v>1</v>
      </c>
      <c r="X9" s="419" t="s">
        <v>52</v>
      </c>
      <c r="Y9" s="115">
        <f t="shared" si="8"/>
        <v>3</v>
      </c>
      <c r="Z9" s="116" t="s">
        <v>53</v>
      </c>
      <c r="AA9" s="419">
        <f t="shared" si="9"/>
        <v>1</v>
      </c>
      <c r="AB9" s="115" t="s">
        <v>54</v>
      </c>
      <c r="AC9" s="116">
        <f t="shared" si="44"/>
        <v>0</v>
      </c>
      <c r="AD9" s="419" t="s">
        <v>52</v>
      </c>
      <c r="AE9" s="117">
        <f t="shared" si="45"/>
        <v>0</v>
      </c>
      <c r="AF9" s="420"/>
      <c r="AG9" s="114">
        <f t="shared" si="46"/>
        <v>0</v>
      </c>
      <c r="AH9" s="419" t="s">
        <v>52</v>
      </c>
      <c r="AI9" s="115">
        <f t="shared" si="10"/>
        <v>2</v>
      </c>
      <c r="AJ9" s="116" t="s">
        <v>53</v>
      </c>
      <c r="AK9" s="419">
        <f t="shared" si="11"/>
        <v>0</v>
      </c>
      <c r="AL9" s="115" t="s">
        <v>54</v>
      </c>
      <c r="AM9" s="246">
        <v>0</v>
      </c>
      <c r="AN9" s="244" t="s">
        <v>52</v>
      </c>
      <c r="AO9" s="245">
        <v>0</v>
      </c>
      <c r="AP9" s="246" t="s">
        <v>53</v>
      </c>
      <c r="AQ9" s="244">
        <v>0</v>
      </c>
      <c r="AR9" s="245" t="s">
        <v>54</v>
      </c>
      <c r="AS9" s="246">
        <v>0</v>
      </c>
      <c r="AT9" s="244" t="s">
        <v>52</v>
      </c>
      <c r="AU9" s="245">
        <v>1</v>
      </c>
      <c r="AV9" s="246" t="s">
        <v>53</v>
      </c>
      <c r="AW9" s="244">
        <v>0</v>
      </c>
      <c r="AX9" s="245" t="s">
        <v>54</v>
      </c>
      <c r="AY9" s="246">
        <v>0</v>
      </c>
      <c r="AZ9" s="244" t="s">
        <v>52</v>
      </c>
      <c r="BA9" s="245">
        <v>1</v>
      </c>
      <c r="BB9" s="246" t="s">
        <v>53</v>
      </c>
      <c r="BC9" s="244">
        <v>0</v>
      </c>
      <c r="BD9" s="245" t="s">
        <v>54</v>
      </c>
      <c r="BE9" s="116">
        <v>0</v>
      </c>
      <c r="BF9" s="419" t="s">
        <v>52</v>
      </c>
      <c r="BG9" s="117">
        <v>0</v>
      </c>
      <c r="BH9" s="115"/>
      <c r="BI9" s="114">
        <f t="shared" si="12"/>
        <v>1</v>
      </c>
      <c r="BJ9" s="419" t="s">
        <v>52</v>
      </c>
      <c r="BK9" s="115">
        <f t="shared" si="47"/>
        <v>2</v>
      </c>
      <c r="BL9" s="116" t="s">
        <v>53</v>
      </c>
      <c r="BM9" s="419">
        <f t="shared" si="13"/>
        <v>1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1</v>
      </c>
      <c r="CB9" s="244" t="s">
        <v>52</v>
      </c>
      <c r="CC9" s="245">
        <v>2</v>
      </c>
      <c r="CD9" s="246" t="s">
        <v>53</v>
      </c>
      <c r="CE9" s="244">
        <v>1</v>
      </c>
      <c r="CF9" s="245" t="s">
        <v>54</v>
      </c>
      <c r="CG9" s="116">
        <v>0</v>
      </c>
      <c r="CH9" s="419" t="s">
        <v>52</v>
      </c>
      <c r="CI9" s="117">
        <v>0</v>
      </c>
      <c r="CJ9" s="140">
        <v>1</v>
      </c>
      <c r="CK9" s="148">
        <f t="shared" si="48"/>
        <v>1</v>
      </c>
      <c r="CL9" s="148">
        <v>0</v>
      </c>
      <c r="CM9" s="148">
        <v>1</v>
      </c>
      <c r="CN9" s="148">
        <f t="shared" si="49"/>
        <v>2</v>
      </c>
      <c r="CO9" s="175">
        <v>2</v>
      </c>
      <c r="CP9" s="140">
        <v>0</v>
      </c>
      <c r="CQ9" s="175">
        <v>1</v>
      </c>
      <c r="CR9" s="148">
        <v>0</v>
      </c>
      <c r="CS9" s="148">
        <v>0</v>
      </c>
      <c r="CT9" s="140">
        <v>1</v>
      </c>
      <c r="CU9" s="140">
        <v>0</v>
      </c>
      <c r="CV9" s="148">
        <f t="shared" si="50"/>
        <v>3</v>
      </c>
      <c r="CW9" s="140"/>
      <c r="CX9" s="140">
        <f t="shared" si="51"/>
        <v>82.625377214939448</v>
      </c>
      <c r="CY9" s="140">
        <f t="shared" si="14"/>
        <v>0.29582353440686315</v>
      </c>
      <c r="CZ9" s="165">
        <f t="shared" si="15"/>
        <v>0.26745556840321638</v>
      </c>
      <c r="DA9" s="164">
        <f t="shared" si="16"/>
        <v>160.41253095832207</v>
      </c>
      <c r="DB9" s="141"/>
      <c r="DC9" s="141"/>
      <c r="DD9" s="77">
        <f t="shared" si="52"/>
        <v>0.91267942583732065</v>
      </c>
      <c r="DE9" s="37">
        <f t="shared" si="53"/>
        <v>0.25</v>
      </c>
      <c r="DF9" s="37">
        <f t="shared" si="54"/>
        <v>0.33333333333333331</v>
      </c>
      <c r="DG9" s="37">
        <f t="shared" si="55"/>
        <v>0.375</v>
      </c>
      <c r="DH9" s="37">
        <f t="shared" si="17"/>
        <v>7.8262497659614294E-2</v>
      </c>
      <c r="DI9" s="37">
        <f t="shared" si="18"/>
        <v>5.2174998439742867E-2</v>
      </c>
      <c r="DJ9" s="37">
        <f t="shared" si="19"/>
        <v>0</v>
      </c>
      <c r="DK9" s="37">
        <f t="shared" si="20"/>
        <v>0</v>
      </c>
      <c r="DL9" s="37">
        <f t="shared" si="21"/>
        <v>0.36522498907820006</v>
      </c>
      <c r="DM9" s="37">
        <f t="shared" si="22"/>
        <v>0.10636155046628981</v>
      </c>
      <c r="DN9" s="37">
        <f t="shared" si="56"/>
        <v>0.19883966353981269</v>
      </c>
      <c r="DO9" s="37">
        <f t="shared" si="57"/>
        <v>2</v>
      </c>
      <c r="DP9" s="66">
        <f t="shared" si="58"/>
        <v>3.145478374836173</v>
      </c>
      <c r="DQ9" s="78">
        <f t="shared" si="59"/>
        <v>0</v>
      </c>
      <c r="DR9" s="6"/>
      <c r="DS9" s="36"/>
      <c r="DT9" s="75">
        <f t="shared" si="60"/>
        <v>5.6836435124508533</v>
      </c>
      <c r="DU9" s="18">
        <f t="shared" si="61"/>
        <v>1.4877491197707235</v>
      </c>
      <c r="DV9" s="13">
        <f t="shared" si="62"/>
        <v>0.90860369957091802</v>
      </c>
      <c r="DW9" s="14">
        <f t="shared" si="23"/>
        <v>0.48744693562177055</v>
      </c>
      <c r="DX9" s="14">
        <f t="shared" si="24"/>
        <v>0.44117647058823528</v>
      </c>
      <c r="DY9" s="14" t="str">
        <f t="shared" si="63"/>
        <v>0</v>
      </c>
      <c r="DZ9" s="15">
        <f t="shared" si="25"/>
        <v>7.3639999999999999</v>
      </c>
      <c r="EA9" s="14">
        <f t="shared" si="64"/>
        <v>0.72172492649460962</v>
      </c>
      <c r="EB9" s="14">
        <f t="shared" si="26"/>
        <v>0.14285714285714285</v>
      </c>
      <c r="EC9" s="14">
        <f t="shared" si="27"/>
        <v>0.30180327868852458</v>
      </c>
      <c r="ED9" s="14">
        <f t="shared" si="65"/>
        <v>0.21781894912730759</v>
      </c>
      <c r="EE9" s="19">
        <f t="shared" si="66"/>
        <v>2.5414285714285718</v>
      </c>
      <c r="EF9" s="67" t="str">
        <f t="shared" si="67"/>
        <v>0</v>
      </c>
      <c r="EG9" s="74">
        <f t="shared" si="68"/>
        <v>5.0291776911992958</v>
      </c>
      <c r="EH9" s="27">
        <f t="shared" si="69"/>
        <v>4.1553770381630004</v>
      </c>
      <c r="EI9" s="25">
        <f t="shared" si="70"/>
        <v>2.7258110987127542</v>
      </c>
      <c r="EJ9" s="25">
        <f t="shared" si="71"/>
        <v>1.1029411764705883</v>
      </c>
      <c r="EK9" s="26">
        <f t="shared" si="28"/>
        <v>0.55312525104299992</v>
      </c>
      <c r="EL9" s="29">
        <f t="shared" si="72"/>
        <v>0.48780487804878053</v>
      </c>
      <c r="EM9" s="30">
        <f t="shared" si="29"/>
        <v>0.42857142857142855</v>
      </c>
      <c r="EN9" s="30">
        <f t="shared" si="30"/>
        <v>0.41666666666666669</v>
      </c>
      <c r="EO9" s="31">
        <f t="shared" si="73"/>
        <v>0.51219512195121952</v>
      </c>
      <c r="EP9" s="31">
        <f t="shared" si="31"/>
        <v>1.0764063484653985</v>
      </c>
      <c r="EQ9" s="31">
        <f t="shared" si="74"/>
        <v>1.588601470416618</v>
      </c>
      <c r="ER9" s="93">
        <f t="shared" si="32"/>
        <v>0.42241528866634831</v>
      </c>
      <c r="ES9" s="109">
        <f t="shared" si="33"/>
        <v>167.93801794258121</v>
      </c>
      <c r="ET9" s="32">
        <f t="shared" si="34"/>
        <v>2.2561293688054254</v>
      </c>
      <c r="EV9" s="277"/>
      <c r="EW9" s="278"/>
      <c r="EX9" s="37">
        <f t="shared" si="83"/>
        <v>0</v>
      </c>
      <c r="EY9" s="72">
        <f t="shared" si="75"/>
        <v>0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5"/>
        <v>12.716666666666667</v>
      </c>
      <c r="FG9" s="144">
        <f t="shared" si="36"/>
        <v>1</v>
      </c>
      <c r="FH9" s="419" t="s">
        <v>52</v>
      </c>
      <c r="FI9" s="145">
        <f t="shared" si="76"/>
        <v>4</v>
      </c>
      <c r="FJ9" s="194">
        <f t="shared" si="77"/>
        <v>0.25</v>
      </c>
      <c r="FK9" s="110">
        <f t="shared" si="37"/>
        <v>1</v>
      </c>
      <c r="FL9" s="419" t="s">
        <v>52</v>
      </c>
      <c r="FM9" s="168">
        <f t="shared" si="38"/>
        <v>3</v>
      </c>
      <c r="FN9" s="194">
        <f t="shared" si="78"/>
        <v>0.33333333333333331</v>
      </c>
      <c r="FO9" s="262">
        <f t="shared" si="79"/>
        <v>0</v>
      </c>
      <c r="FP9" s="419" t="s">
        <v>52</v>
      </c>
      <c r="FQ9" s="274">
        <f t="shared" si="80"/>
        <v>0</v>
      </c>
      <c r="FR9" s="197" t="str">
        <f t="shared" si="81"/>
        <v>0</v>
      </c>
      <c r="FS9" s="140">
        <f t="shared" si="39"/>
        <v>1</v>
      </c>
      <c r="FT9" s="140">
        <f t="shared" si="40"/>
        <v>1</v>
      </c>
      <c r="FU9" s="140">
        <f t="shared" si="41"/>
        <v>2</v>
      </c>
      <c r="FV9" s="175">
        <f t="shared" si="41"/>
        <v>2</v>
      </c>
      <c r="FW9" s="140">
        <f t="shared" si="41"/>
        <v>0</v>
      </c>
      <c r="FX9" s="140">
        <f t="shared" si="41"/>
        <v>1</v>
      </c>
      <c r="FY9" s="140">
        <f t="shared" si="41"/>
        <v>0</v>
      </c>
      <c r="FZ9" s="140">
        <f t="shared" si="41"/>
        <v>0</v>
      </c>
      <c r="GA9" s="140">
        <f t="shared" si="41"/>
        <v>1</v>
      </c>
      <c r="GB9" s="140">
        <f t="shared" si="41"/>
        <v>0</v>
      </c>
      <c r="GC9" s="192">
        <f t="shared" si="41"/>
        <v>3</v>
      </c>
      <c r="GD9" s="202">
        <f t="shared" si="82"/>
        <v>82.625377214939448</v>
      </c>
      <c r="GE9" s="140">
        <f t="shared" si="82"/>
        <v>0.29582353440686315</v>
      </c>
      <c r="GF9" s="140">
        <f t="shared" si="82"/>
        <v>0.26745556840321638</v>
      </c>
      <c r="GG9" s="259">
        <f t="shared" si="82"/>
        <v>160.41253095832207</v>
      </c>
      <c r="GH9" s="140"/>
      <c r="GJ9" s="82"/>
      <c r="GK9" s="24"/>
      <c r="GL9" s="185">
        <f>(CQ9/CQ35)*(EY36-EX36)</f>
        <v>0.4</v>
      </c>
      <c r="GM9" s="185">
        <f>((E36/G36)*(1-(CJ36/(CJ36+CK35))))/((E36/G36)*(1-(CJ36/(CJ36+CK35)))+((1-(E36/G36)))*(CJ36/(CJ36+CK35)))</f>
        <v>0.48780487804878053</v>
      </c>
      <c r="GN9" s="24">
        <f>GK9+(GL9/10)+(GJ9*GM9*(1-(CJ36/(CJ36+CK35))))+(CK9*(1-GM9))</f>
        <v>0.55219512195121956</v>
      </c>
      <c r="GO9" s="213">
        <f>GN9/(DD9*EG36)</f>
        <v>2.287796402015729E-2</v>
      </c>
    </row>
    <row r="10" spans="1:197" x14ac:dyDescent="0.2">
      <c r="A10" s="139"/>
      <c r="B10" s="89" t="s">
        <v>82</v>
      </c>
      <c r="C10" s="41" t="s">
        <v>210</v>
      </c>
      <c r="D10" s="161">
        <v>7.8</v>
      </c>
      <c r="E10" s="114">
        <f t="shared" si="0"/>
        <v>0</v>
      </c>
      <c r="F10" s="419" t="s">
        <v>52</v>
      </c>
      <c r="G10" s="115">
        <f t="shared" si="1"/>
        <v>3</v>
      </c>
      <c r="H10" s="116" t="s">
        <v>53</v>
      </c>
      <c r="I10" s="419">
        <f t="shared" si="42"/>
        <v>0</v>
      </c>
      <c r="J10" s="115" t="s">
        <v>54</v>
      </c>
      <c r="K10" s="116">
        <f t="shared" si="2"/>
        <v>0</v>
      </c>
      <c r="L10" s="419" t="s">
        <v>52</v>
      </c>
      <c r="M10" s="115">
        <f t="shared" si="3"/>
        <v>1</v>
      </c>
      <c r="N10" s="116" t="s">
        <v>53</v>
      </c>
      <c r="O10" s="419">
        <f t="shared" si="4"/>
        <v>0</v>
      </c>
      <c r="P10" s="115" t="s">
        <v>54</v>
      </c>
      <c r="Q10" s="116">
        <f t="shared" si="5"/>
        <v>0</v>
      </c>
      <c r="R10" s="419" t="s">
        <v>52</v>
      </c>
      <c r="S10" s="115">
        <f t="shared" si="43"/>
        <v>1</v>
      </c>
      <c r="T10" s="116" t="s">
        <v>53</v>
      </c>
      <c r="U10" s="419">
        <f t="shared" si="6"/>
        <v>0</v>
      </c>
      <c r="V10" s="115" t="s">
        <v>54</v>
      </c>
      <c r="W10" s="116">
        <f t="shared" si="7"/>
        <v>0</v>
      </c>
      <c r="X10" s="419" t="s">
        <v>52</v>
      </c>
      <c r="Y10" s="115">
        <f t="shared" si="8"/>
        <v>1</v>
      </c>
      <c r="Z10" s="116" t="s">
        <v>53</v>
      </c>
      <c r="AA10" s="419">
        <f t="shared" si="9"/>
        <v>0</v>
      </c>
      <c r="AB10" s="115" t="s">
        <v>54</v>
      </c>
      <c r="AC10" s="116">
        <f t="shared" si="44"/>
        <v>0</v>
      </c>
      <c r="AD10" s="419" t="s">
        <v>52</v>
      </c>
      <c r="AE10" s="117">
        <f t="shared" si="45"/>
        <v>0</v>
      </c>
      <c r="AF10" s="420"/>
      <c r="AG10" s="114">
        <f t="shared" si="46"/>
        <v>0</v>
      </c>
      <c r="AH10" s="419" t="s">
        <v>52</v>
      </c>
      <c r="AI10" s="115">
        <f t="shared" si="10"/>
        <v>3</v>
      </c>
      <c r="AJ10" s="116" t="s">
        <v>53</v>
      </c>
      <c r="AK10" s="419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1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1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1</v>
      </c>
      <c r="BB10" s="246" t="s">
        <v>53</v>
      </c>
      <c r="BC10" s="244">
        <v>0</v>
      </c>
      <c r="BD10" s="245" t="s">
        <v>54</v>
      </c>
      <c r="BE10" s="116">
        <v>0</v>
      </c>
      <c r="BF10" s="419" t="s">
        <v>52</v>
      </c>
      <c r="BG10" s="117">
        <v>0</v>
      </c>
      <c r="BH10" s="115"/>
      <c r="BI10" s="114">
        <f t="shared" si="12"/>
        <v>0</v>
      </c>
      <c r="BJ10" s="419" t="s">
        <v>52</v>
      </c>
      <c r="BK10" s="115">
        <f t="shared" si="47"/>
        <v>0</v>
      </c>
      <c r="BL10" s="116" t="s">
        <v>53</v>
      </c>
      <c r="BM10" s="419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19" t="s">
        <v>52</v>
      </c>
      <c r="CI10" s="117">
        <v>0</v>
      </c>
      <c r="CJ10" s="140">
        <v>0</v>
      </c>
      <c r="CK10" s="148">
        <f t="shared" si="48"/>
        <v>0</v>
      </c>
      <c r="CL10" s="148">
        <v>0</v>
      </c>
      <c r="CM10" s="148">
        <v>0</v>
      </c>
      <c r="CN10" s="148">
        <f t="shared" si="49"/>
        <v>0</v>
      </c>
      <c r="CO10" s="175">
        <v>0</v>
      </c>
      <c r="CP10" s="140">
        <v>3</v>
      </c>
      <c r="CQ10" s="175">
        <v>1</v>
      </c>
      <c r="CR10" s="148">
        <v>0</v>
      </c>
      <c r="CS10" s="148">
        <v>1</v>
      </c>
      <c r="CT10" s="140">
        <v>0</v>
      </c>
      <c r="CU10" s="140">
        <v>0</v>
      </c>
      <c r="CV10" s="148">
        <f t="shared" si="50"/>
        <v>0</v>
      </c>
      <c r="CW10" s="140"/>
      <c r="CX10" s="140">
        <f t="shared" si="51"/>
        <v>0</v>
      </c>
      <c r="CY10" s="140">
        <f t="shared" si="14"/>
        <v>0</v>
      </c>
      <c r="CZ10" s="165">
        <f t="shared" si="15"/>
        <v>0.10971497700095538</v>
      </c>
      <c r="DA10" s="164">
        <f t="shared" si="16"/>
        <v>72.503646411364699</v>
      </c>
      <c r="DB10" s="141"/>
      <c r="DC10" s="141"/>
      <c r="DD10" s="77">
        <f t="shared" si="52"/>
        <v>0.55980861244019142</v>
      </c>
      <c r="DE10" s="37">
        <f t="shared" si="53"/>
        <v>0</v>
      </c>
      <c r="DF10" s="37">
        <f t="shared" si="54"/>
        <v>0</v>
      </c>
      <c r="DG10" s="37">
        <f t="shared" si="55"/>
        <v>0</v>
      </c>
      <c r="DH10" s="37">
        <f t="shared" si="17"/>
        <v>0</v>
      </c>
      <c r="DI10" s="37">
        <f t="shared" si="18"/>
        <v>0</v>
      </c>
      <c r="DJ10" s="37">
        <f t="shared" si="19"/>
        <v>0</v>
      </c>
      <c r="DK10" s="37">
        <f t="shared" si="20"/>
        <v>6.7546599736735949E-2</v>
      </c>
      <c r="DL10" s="37">
        <f t="shared" si="21"/>
        <v>0</v>
      </c>
      <c r="DM10" s="37">
        <f t="shared" si="22"/>
        <v>0.20263979921020783</v>
      </c>
      <c r="DN10" s="37">
        <f t="shared" si="56"/>
        <v>0</v>
      </c>
      <c r="DO10" s="37" t="str">
        <f t="shared" si="57"/>
        <v>0</v>
      </c>
      <c r="DP10" s="66">
        <f t="shared" si="58"/>
        <v>5.1282051282051286</v>
      </c>
      <c r="DQ10" s="78">
        <f t="shared" si="59"/>
        <v>0</v>
      </c>
      <c r="DR10" s="6"/>
      <c r="DS10" s="36"/>
      <c r="DT10" s="75">
        <f t="shared" si="60"/>
        <v>-10.365</v>
      </c>
      <c r="DU10" s="18">
        <f t="shared" si="61"/>
        <v>0</v>
      </c>
      <c r="DV10" s="13">
        <f t="shared" si="62"/>
        <v>0</v>
      </c>
      <c r="DW10" s="14">
        <f t="shared" si="23"/>
        <v>0.64702392344497595</v>
      </c>
      <c r="DX10" s="14">
        <f t="shared" si="24"/>
        <v>0</v>
      </c>
      <c r="DY10" s="14" t="str">
        <f t="shared" si="63"/>
        <v>0</v>
      </c>
      <c r="DZ10" s="15">
        <f t="shared" si="25"/>
        <v>15.336</v>
      </c>
      <c r="EA10" s="14">
        <f t="shared" si="64"/>
        <v>0.48099360180654888</v>
      </c>
      <c r="EB10" s="14">
        <f t="shared" si="26"/>
        <v>0.42857142857142855</v>
      </c>
      <c r="EC10" s="14">
        <f t="shared" si="27"/>
        <v>0.41005347593582891</v>
      </c>
      <c r="ED10" s="14">
        <f t="shared" si="65"/>
        <v>0</v>
      </c>
      <c r="EE10" s="19">
        <f t="shared" si="66"/>
        <v>1.6242857142857141</v>
      </c>
      <c r="EF10" s="67" t="str">
        <f t="shared" si="67"/>
        <v>0</v>
      </c>
      <c r="EG10" s="74">
        <f t="shared" si="68"/>
        <v>1.6242857142857141</v>
      </c>
      <c r="EH10" s="27">
        <f t="shared" si="69"/>
        <v>0</v>
      </c>
      <c r="EI10" s="25">
        <f t="shared" si="70"/>
        <v>0</v>
      </c>
      <c r="EJ10" s="25">
        <f t="shared" si="71"/>
        <v>0</v>
      </c>
      <c r="EK10" s="26">
        <f t="shared" si="28"/>
        <v>0</v>
      </c>
      <c r="EL10" s="29">
        <f t="shared" si="72"/>
        <v>0.75</v>
      </c>
      <c r="EM10" s="30">
        <f t="shared" si="29"/>
        <v>0.14285714285714285</v>
      </c>
      <c r="EN10" s="30">
        <f t="shared" si="30"/>
        <v>0.33333333333333331</v>
      </c>
      <c r="EO10" s="31">
        <f t="shared" si="73"/>
        <v>1</v>
      </c>
      <c r="EP10" s="31">
        <f t="shared" si="31"/>
        <v>1.0318995215311004</v>
      </c>
      <c r="EQ10" s="31">
        <f t="shared" si="74"/>
        <v>2.0318995215311002</v>
      </c>
      <c r="ER10" s="93">
        <f t="shared" si="32"/>
        <v>0.68623951843063258</v>
      </c>
      <c r="ES10" s="109">
        <f t="shared" si="33"/>
        <v>70.710624671772521</v>
      </c>
      <c r="ET10" s="32">
        <f t="shared" si="34"/>
        <v>2.5393807713199346</v>
      </c>
      <c r="EV10" s="277"/>
      <c r="EW10" s="278"/>
      <c r="EX10" s="37">
        <f t="shared" si="83"/>
        <v>0</v>
      </c>
      <c r="EY10" s="72">
        <f t="shared" si="75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5"/>
        <v>7.8</v>
      </c>
      <c r="FG10" s="182">
        <f t="shared" si="36"/>
        <v>0</v>
      </c>
      <c r="FH10" s="183" t="s">
        <v>52</v>
      </c>
      <c r="FI10" s="184">
        <f t="shared" si="76"/>
        <v>3</v>
      </c>
      <c r="FJ10" s="193">
        <f t="shared" si="77"/>
        <v>0</v>
      </c>
      <c r="FK10" s="185">
        <f t="shared" si="37"/>
        <v>0</v>
      </c>
      <c r="FL10" s="183" t="s">
        <v>52</v>
      </c>
      <c r="FM10" s="186">
        <f t="shared" si="38"/>
        <v>1</v>
      </c>
      <c r="FN10" s="193">
        <f t="shared" si="78"/>
        <v>0</v>
      </c>
      <c r="FO10" s="261">
        <f t="shared" si="79"/>
        <v>0</v>
      </c>
      <c r="FP10" s="183" t="s">
        <v>52</v>
      </c>
      <c r="FQ10" s="268">
        <f t="shared" si="80"/>
        <v>0</v>
      </c>
      <c r="FR10" s="196" t="str">
        <f t="shared" si="81"/>
        <v>0</v>
      </c>
      <c r="FS10" s="179">
        <f t="shared" si="39"/>
        <v>0</v>
      </c>
      <c r="FT10" s="179">
        <f t="shared" si="40"/>
        <v>0</v>
      </c>
      <c r="FU10" s="179">
        <f t="shared" si="41"/>
        <v>0</v>
      </c>
      <c r="FV10" s="187">
        <f t="shared" si="41"/>
        <v>0</v>
      </c>
      <c r="FW10" s="179">
        <f t="shared" si="41"/>
        <v>3</v>
      </c>
      <c r="FX10" s="179">
        <f t="shared" si="41"/>
        <v>1</v>
      </c>
      <c r="FY10" s="179">
        <f t="shared" si="41"/>
        <v>0</v>
      </c>
      <c r="FZ10" s="179">
        <f t="shared" si="41"/>
        <v>1</v>
      </c>
      <c r="GA10" s="179">
        <f t="shared" si="41"/>
        <v>0</v>
      </c>
      <c r="GB10" s="179">
        <f t="shared" si="41"/>
        <v>0</v>
      </c>
      <c r="GC10" s="191">
        <f t="shared" si="41"/>
        <v>0</v>
      </c>
      <c r="GD10" s="203">
        <f t="shared" si="82"/>
        <v>0</v>
      </c>
      <c r="GE10" s="179">
        <f t="shared" si="82"/>
        <v>0</v>
      </c>
      <c r="GF10" s="179">
        <f t="shared" si="82"/>
        <v>0.10971497700095538</v>
      </c>
      <c r="GG10" s="258">
        <f t="shared" si="82"/>
        <v>72.503646411364699</v>
      </c>
      <c r="GH10" s="179"/>
      <c r="GJ10" s="82"/>
      <c r="GK10" s="24"/>
      <c r="GL10" s="185">
        <f>(CQ10/CQ37)*(EY38-EX38)</f>
        <v>0.30000000000000004</v>
      </c>
      <c r="GM10" s="185">
        <f>((E38/G38)*(1-(CJ38/(CJ38+CK37))))/((E38/G38)*(1-(CJ38/(CJ38+CK37)))+((1-(E38/G38)))*(CJ38/(CJ38+CK37)))</f>
        <v>0.75</v>
      </c>
      <c r="GN10" s="24">
        <f>GK10+(GL10/10)+(GJ10*GM10*(1-(CJ38/(CJ38+CK37))))+(CK10*(1-GM10))</f>
        <v>3.0000000000000006E-2</v>
      </c>
      <c r="GO10" s="213">
        <f>GN10/(DD10*EG38)</f>
        <v>2.6010853527493314E-3</v>
      </c>
    </row>
    <row r="11" spans="1:197" x14ac:dyDescent="0.2">
      <c r="A11" s="139"/>
      <c r="B11" s="430" t="s">
        <v>117</v>
      </c>
      <c r="C11" s="431" t="s">
        <v>211</v>
      </c>
      <c r="D11" s="161">
        <v>7.05</v>
      </c>
      <c r="E11" s="114">
        <f t="shared" si="0"/>
        <v>2</v>
      </c>
      <c r="F11" s="419" t="s">
        <v>52</v>
      </c>
      <c r="G11" s="115">
        <f t="shared" si="1"/>
        <v>2</v>
      </c>
      <c r="H11" s="116" t="s">
        <v>53</v>
      </c>
      <c r="I11" s="419">
        <f t="shared" si="42"/>
        <v>2</v>
      </c>
      <c r="J11" s="115" t="s">
        <v>54</v>
      </c>
      <c r="K11" s="116">
        <f t="shared" si="2"/>
        <v>0</v>
      </c>
      <c r="L11" s="419" t="s">
        <v>52</v>
      </c>
      <c r="M11" s="115">
        <f t="shared" si="3"/>
        <v>0</v>
      </c>
      <c r="N11" s="116" t="s">
        <v>53</v>
      </c>
      <c r="O11" s="419">
        <f t="shared" si="4"/>
        <v>0</v>
      </c>
      <c r="P11" s="115" t="s">
        <v>54</v>
      </c>
      <c r="Q11" s="116">
        <f t="shared" si="5"/>
        <v>0</v>
      </c>
      <c r="R11" s="419" t="s">
        <v>52</v>
      </c>
      <c r="S11" s="115">
        <f t="shared" si="43"/>
        <v>0</v>
      </c>
      <c r="T11" s="116" t="s">
        <v>53</v>
      </c>
      <c r="U11" s="419">
        <f t="shared" si="6"/>
        <v>0</v>
      </c>
      <c r="V11" s="115" t="s">
        <v>54</v>
      </c>
      <c r="W11" s="116">
        <f t="shared" si="7"/>
        <v>2</v>
      </c>
      <c r="X11" s="419" t="s">
        <v>52</v>
      </c>
      <c r="Y11" s="115">
        <f t="shared" si="8"/>
        <v>2</v>
      </c>
      <c r="Z11" s="116" t="s">
        <v>53</v>
      </c>
      <c r="AA11" s="419">
        <f t="shared" si="9"/>
        <v>2</v>
      </c>
      <c r="AB11" s="115" t="s">
        <v>54</v>
      </c>
      <c r="AC11" s="116">
        <f t="shared" si="44"/>
        <v>0</v>
      </c>
      <c r="AD11" s="419" t="s">
        <v>52</v>
      </c>
      <c r="AE11" s="117">
        <f t="shared" si="45"/>
        <v>0</v>
      </c>
      <c r="AF11" s="420"/>
      <c r="AG11" s="114">
        <f t="shared" si="46"/>
        <v>2</v>
      </c>
      <c r="AH11" s="419" t="s">
        <v>52</v>
      </c>
      <c r="AI11" s="115">
        <f t="shared" si="10"/>
        <v>2</v>
      </c>
      <c r="AJ11" s="116" t="s">
        <v>53</v>
      </c>
      <c r="AK11" s="419">
        <f t="shared" si="11"/>
        <v>2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2</v>
      </c>
      <c r="AZ11" s="244" t="s">
        <v>52</v>
      </c>
      <c r="BA11" s="245">
        <v>2</v>
      </c>
      <c r="BB11" s="246" t="s">
        <v>53</v>
      </c>
      <c r="BC11" s="244">
        <v>2</v>
      </c>
      <c r="BD11" s="245" t="s">
        <v>54</v>
      </c>
      <c r="BE11" s="116">
        <v>0</v>
      </c>
      <c r="BF11" s="419" t="s">
        <v>52</v>
      </c>
      <c r="BG11" s="117">
        <v>0</v>
      </c>
      <c r="BH11" s="115"/>
      <c r="BI11" s="114">
        <f t="shared" si="12"/>
        <v>0</v>
      </c>
      <c r="BJ11" s="419" t="s">
        <v>52</v>
      </c>
      <c r="BK11" s="115">
        <f t="shared" si="47"/>
        <v>0</v>
      </c>
      <c r="BL11" s="116" t="s">
        <v>53</v>
      </c>
      <c r="BM11" s="419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419" t="s">
        <v>52</v>
      </c>
      <c r="CI11" s="117">
        <v>0</v>
      </c>
      <c r="CJ11" s="140">
        <v>0</v>
      </c>
      <c r="CK11" s="148">
        <f t="shared" si="48"/>
        <v>2</v>
      </c>
      <c r="CL11" s="148">
        <v>0</v>
      </c>
      <c r="CM11" s="148">
        <v>2</v>
      </c>
      <c r="CN11" s="148">
        <f t="shared" si="49"/>
        <v>2</v>
      </c>
      <c r="CO11" s="175">
        <v>0</v>
      </c>
      <c r="CP11" s="140">
        <v>2</v>
      </c>
      <c r="CQ11" s="175">
        <v>0</v>
      </c>
      <c r="CR11" s="148">
        <v>0</v>
      </c>
      <c r="CS11" s="148">
        <v>0</v>
      </c>
      <c r="CT11" s="140">
        <v>1</v>
      </c>
      <c r="CU11" s="140">
        <v>0</v>
      </c>
      <c r="CV11" s="148">
        <f t="shared" si="50"/>
        <v>6</v>
      </c>
      <c r="CW11" s="140"/>
      <c r="CX11" s="140">
        <f t="shared" si="51"/>
        <v>40.544963709600509</v>
      </c>
      <c r="CY11" s="140">
        <f t="shared" si="14"/>
        <v>0.13514987903200168</v>
      </c>
      <c r="CZ11" s="165">
        <f t="shared" si="15"/>
        <v>0.11091696664032369</v>
      </c>
      <c r="DA11" s="164">
        <f t="shared" si="16"/>
        <v>145.15574471808097</v>
      </c>
      <c r="DB11" s="141"/>
      <c r="DC11" s="141"/>
      <c r="DD11" s="77">
        <f t="shared" si="52"/>
        <v>0.5059808612440192</v>
      </c>
      <c r="DE11" s="37">
        <f t="shared" si="53"/>
        <v>1</v>
      </c>
      <c r="DF11" s="37">
        <f t="shared" si="54"/>
        <v>1</v>
      </c>
      <c r="DG11" s="37">
        <f t="shared" si="55"/>
        <v>1.5</v>
      </c>
      <c r="DH11" s="37">
        <f t="shared" si="17"/>
        <v>0</v>
      </c>
      <c r="DI11" s="37">
        <f t="shared" si="18"/>
        <v>0.1882246988629967</v>
      </c>
      <c r="DJ11" s="37">
        <f t="shared" si="19"/>
        <v>0</v>
      </c>
      <c r="DK11" s="37">
        <f t="shared" si="20"/>
        <v>0</v>
      </c>
      <c r="DL11" s="37">
        <f t="shared" si="21"/>
        <v>0</v>
      </c>
      <c r="DM11" s="37">
        <f t="shared" si="22"/>
        <v>0.19185310403257474</v>
      </c>
      <c r="DN11" s="37">
        <f t="shared" si="56"/>
        <v>0.86485012096799829</v>
      </c>
      <c r="DO11" s="37">
        <f t="shared" si="57"/>
        <v>0</v>
      </c>
      <c r="DP11" s="66">
        <f t="shared" si="58"/>
        <v>0</v>
      </c>
      <c r="DQ11" s="78">
        <f t="shared" si="59"/>
        <v>0</v>
      </c>
      <c r="DR11" s="6"/>
      <c r="DS11" s="36"/>
      <c r="DT11" s="75">
        <f t="shared" si="60"/>
        <v>35.581702127659575</v>
      </c>
      <c r="DU11" s="18">
        <f t="shared" si="61"/>
        <v>0.15626971165909403</v>
      </c>
      <c r="DV11" s="13">
        <f t="shared" si="62"/>
        <v>0.16609555617303373</v>
      </c>
      <c r="DW11" s="14">
        <f t="shared" si="23"/>
        <v>1.2226029625513108</v>
      </c>
      <c r="DX11" s="14">
        <f t="shared" si="24"/>
        <v>0</v>
      </c>
      <c r="DY11" s="14" t="str">
        <f t="shared" si="63"/>
        <v>0</v>
      </c>
      <c r="DZ11" s="15">
        <f t="shared" si="25"/>
        <v>7.3639999999999999</v>
      </c>
      <c r="EA11" s="14">
        <f t="shared" si="64"/>
        <v>0.72172492649460962</v>
      </c>
      <c r="EB11" s="14">
        <f t="shared" si="26"/>
        <v>0.14285714285714285</v>
      </c>
      <c r="EC11" s="14">
        <f t="shared" si="27"/>
        <v>0.30180327868852458</v>
      </c>
      <c r="ED11" s="14">
        <f t="shared" si="65"/>
        <v>0</v>
      </c>
      <c r="EE11" s="19">
        <f t="shared" si="66"/>
        <v>0</v>
      </c>
      <c r="EF11" s="67" t="str">
        <f t="shared" si="67"/>
        <v>0</v>
      </c>
      <c r="EG11" s="74">
        <f t="shared" si="68"/>
        <v>1.1562697116590941</v>
      </c>
      <c r="EH11" s="27">
        <f t="shared" si="69"/>
        <v>0.46880913497728216</v>
      </c>
      <c r="EI11" s="25">
        <f t="shared" si="70"/>
        <v>0.49828666851910119</v>
      </c>
      <c r="EJ11" s="25">
        <f t="shared" si="71"/>
        <v>0</v>
      </c>
      <c r="EK11" s="26">
        <f t="shared" si="28"/>
        <v>0</v>
      </c>
      <c r="EL11" s="29">
        <f t="shared" si="72"/>
        <v>0.48780487804878053</v>
      </c>
      <c r="EM11" s="30">
        <f t="shared" si="29"/>
        <v>0.42857142857142855</v>
      </c>
      <c r="EN11" s="30">
        <f t="shared" si="30"/>
        <v>0.41666666666666669</v>
      </c>
      <c r="EO11" s="31">
        <f t="shared" si="73"/>
        <v>1.024390243902439</v>
      </c>
      <c r="EP11" s="31">
        <f t="shared" si="31"/>
        <v>0.56126852608238997</v>
      </c>
      <c r="EQ11" s="31">
        <f t="shared" si="74"/>
        <v>1.585658769984829</v>
      </c>
      <c r="ER11" s="93">
        <f t="shared" si="32"/>
        <v>0.76053389239515978</v>
      </c>
      <c r="ES11" s="109">
        <f t="shared" si="33"/>
        <v>167.93801794258121</v>
      </c>
      <c r="ET11" s="32">
        <f t="shared" si="34"/>
        <v>2.2561293688054254</v>
      </c>
      <c r="EV11" s="277"/>
      <c r="EW11" s="278"/>
      <c r="EX11" s="37">
        <f t="shared" si="83"/>
        <v>0</v>
      </c>
      <c r="EY11" s="72">
        <f t="shared" si="75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5"/>
        <v>7.05</v>
      </c>
      <c r="FG11" s="144">
        <f t="shared" si="36"/>
        <v>2</v>
      </c>
      <c r="FH11" s="419" t="s">
        <v>52</v>
      </c>
      <c r="FI11" s="145">
        <f t="shared" si="76"/>
        <v>2</v>
      </c>
      <c r="FJ11" s="194">
        <f t="shared" si="77"/>
        <v>1</v>
      </c>
      <c r="FK11" s="110">
        <f t="shared" si="37"/>
        <v>2</v>
      </c>
      <c r="FL11" s="419" t="s">
        <v>52</v>
      </c>
      <c r="FM11" s="168">
        <f t="shared" si="38"/>
        <v>2</v>
      </c>
      <c r="FN11" s="194">
        <f t="shared" si="78"/>
        <v>1</v>
      </c>
      <c r="FO11" s="262">
        <f t="shared" si="79"/>
        <v>0</v>
      </c>
      <c r="FP11" s="419" t="s">
        <v>52</v>
      </c>
      <c r="FQ11" s="274">
        <f t="shared" si="80"/>
        <v>0</v>
      </c>
      <c r="FR11" s="197" t="str">
        <f t="shared" si="81"/>
        <v>0</v>
      </c>
      <c r="FS11" s="140">
        <f t="shared" si="39"/>
        <v>0</v>
      </c>
      <c r="FT11" s="140">
        <f t="shared" si="40"/>
        <v>2</v>
      </c>
      <c r="FU11" s="140">
        <f t="shared" si="41"/>
        <v>2</v>
      </c>
      <c r="FV11" s="175">
        <f t="shared" si="41"/>
        <v>0</v>
      </c>
      <c r="FW11" s="140">
        <f t="shared" si="41"/>
        <v>2</v>
      </c>
      <c r="FX11" s="140">
        <f t="shared" si="41"/>
        <v>0</v>
      </c>
      <c r="FY11" s="140">
        <f t="shared" si="41"/>
        <v>0</v>
      </c>
      <c r="FZ11" s="140">
        <f t="shared" si="41"/>
        <v>0</v>
      </c>
      <c r="GA11" s="140">
        <f t="shared" si="41"/>
        <v>1</v>
      </c>
      <c r="GB11" s="140">
        <f t="shared" si="41"/>
        <v>0</v>
      </c>
      <c r="GC11" s="192">
        <f t="shared" si="41"/>
        <v>6</v>
      </c>
      <c r="GD11" s="202">
        <f t="shared" si="82"/>
        <v>40.544963709600509</v>
      </c>
      <c r="GE11" s="140">
        <f t="shared" si="82"/>
        <v>0.13514987903200168</v>
      </c>
      <c r="GF11" s="140">
        <f t="shared" si="82"/>
        <v>0.11091696664032369</v>
      </c>
      <c r="GG11" s="259">
        <f t="shared" si="82"/>
        <v>145.15574471808097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89" t="s">
        <v>82</v>
      </c>
      <c r="C12" s="41" t="s">
        <v>212</v>
      </c>
      <c r="D12" s="161">
        <v>3.7166666666666668</v>
      </c>
      <c r="E12" s="114">
        <f t="shared" si="0"/>
        <v>1</v>
      </c>
      <c r="F12" s="419" t="s">
        <v>52</v>
      </c>
      <c r="G12" s="115">
        <f t="shared" si="1"/>
        <v>3</v>
      </c>
      <c r="H12" s="116" t="s">
        <v>53</v>
      </c>
      <c r="I12" s="419">
        <f t="shared" si="42"/>
        <v>1</v>
      </c>
      <c r="J12" s="115" t="s">
        <v>54</v>
      </c>
      <c r="K12" s="116">
        <f t="shared" si="2"/>
        <v>1</v>
      </c>
      <c r="L12" s="419" t="s">
        <v>52</v>
      </c>
      <c r="M12" s="115">
        <f t="shared" si="3"/>
        <v>3</v>
      </c>
      <c r="N12" s="116" t="s">
        <v>53</v>
      </c>
      <c r="O12" s="419">
        <f t="shared" si="4"/>
        <v>1</v>
      </c>
      <c r="P12" s="115" t="s">
        <v>54</v>
      </c>
      <c r="Q12" s="116">
        <f t="shared" si="5"/>
        <v>0</v>
      </c>
      <c r="R12" s="419" t="s">
        <v>52</v>
      </c>
      <c r="S12" s="115">
        <f t="shared" si="43"/>
        <v>0</v>
      </c>
      <c r="T12" s="116" t="s">
        <v>53</v>
      </c>
      <c r="U12" s="419">
        <f t="shared" si="6"/>
        <v>0</v>
      </c>
      <c r="V12" s="115" t="s">
        <v>54</v>
      </c>
      <c r="W12" s="116">
        <f t="shared" si="7"/>
        <v>0</v>
      </c>
      <c r="X12" s="419" t="s">
        <v>52</v>
      </c>
      <c r="Y12" s="115">
        <f t="shared" si="8"/>
        <v>0</v>
      </c>
      <c r="Z12" s="116" t="s">
        <v>53</v>
      </c>
      <c r="AA12" s="419">
        <f t="shared" si="9"/>
        <v>0</v>
      </c>
      <c r="AB12" s="115" t="s">
        <v>54</v>
      </c>
      <c r="AC12" s="116">
        <f t="shared" si="44"/>
        <v>0</v>
      </c>
      <c r="AD12" s="419" t="s">
        <v>52</v>
      </c>
      <c r="AE12" s="117">
        <f t="shared" si="45"/>
        <v>0</v>
      </c>
      <c r="AF12" s="420"/>
      <c r="AG12" s="114">
        <f t="shared" si="46"/>
        <v>0</v>
      </c>
      <c r="AH12" s="419" t="s">
        <v>52</v>
      </c>
      <c r="AI12" s="115">
        <f t="shared" si="10"/>
        <v>1</v>
      </c>
      <c r="AJ12" s="116" t="s">
        <v>53</v>
      </c>
      <c r="AK12" s="419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1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419" t="s">
        <v>52</v>
      </c>
      <c r="BG12" s="117">
        <v>0</v>
      </c>
      <c r="BH12" s="115"/>
      <c r="BI12" s="114">
        <f t="shared" si="12"/>
        <v>1</v>
      </c>
      <c r="BJ12" s="419" t="s">
        <v>52</v>
      </c>
      <c r="BK12" s="115">
        <f t="shared" si="47"/>
        <v>2</v>
      </c>
      <c r="BL12" s="116" t="s">
        <v>53</v>
      </c>
      <c r="BM12" s="419">
        <f t="shared" si="13"/>
        <v>1</v>
      </c>
      <c r="BN12" s="115" t="s">
        <v>54</v>
      </c>
      <c r="BO12" s="246">
        <v>1</v>
      </c>
      <c r="BP12" s="244" t="s">
        <v>52</v>
      </c>
      <c r="BQ12" s="245">
        <v>2</v>
      </c>
      <c r="BR12" s="246" t="s">
        <v>53</v>
      </c>
      <c r="BS12" s="244">
        <v>1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419" t="s">
        <v>52</v>
      </c>
      <c r="CI12" s="117">
        <v>0</v>
      </c>
      <c r="CJ12" s="140">
        <v>1</v>
      </c>
      <c r="CK12" s="148">
        <f t="shared" si="48"/>
        <v>0</v>
      </c>
      <c r="CL12" s="148">
        <v>0</v>
      </c>
      <c r="CM12" s="148">
        <v>0</v>
      </c>
      <c r="CN12" s="148">
        <f t="shared" si="49"/>
        <v>1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50"/>
        <v>2</v>
      </c>
      <c r="CW12" s="140"/>
      <c r="CX12" s="140">
        <f t="shared" si="51"/>
        <v>96.870540730328187</v>
      </c>
      <c r="CY12" s="140">
        <f t="shared" si="14"/>
        <v>0.47203751469951122</v>
      </c>
      <c r="CZ12" s="165">
        <f t="shared" si="15"/>
        <v>0.29074521958025068</v>
      </c>
      <c r="DA12" s="164">
        <f t="shared" si="16"/>
        <v>90.273795596858079</v>
      </c>
      <c r="DB12" s="141"/>
      <c r="DC12" s="141"/>
      <c r="DD12" s="77">
        <f t="shared" si="52"/>
        <v>0.26674641148325362</v>
      </c>
      <c r="DE12" s="37">
        <f t="shared" si="53"/>
        <v>0.33333333333333331</v>
      </c>
      <c r="DF12" s="37" t="str">
        <f t="shared" si="54"/>
        <v>0</v>
      </c>
      <c r="DG12" s="37">
        <f t="shared" si="55"/>
        <v>0.33333333333333331</v>
      </c>
      <c r="DH12" s="37">
        <f t="shared" si="17"/>
        <v>0.17851804398889598</v>
      </c>
      <c r="DI12" s="37">
        <f t="shared" si="18"/>
        <v>0</v>
      </c>
      <c r="DJ12" s="37">
        <f t="shared" si="19"/>
        <v>0</v>
      </c>
      <c r="DK12" s="37">
        <f t="shared" si="20"/>
        <v>0</v>
      </c>
      <c r="DL12" s="37">
        <f t="shared" si="21"/>
        <v>0</v>
      </c>
      <c r="DM12" s="37">
        <f t="shared" si="22"/>
        <v>0</v>
      </c>
      <c r="DN12" s="37">
        <f t="shared" si="56"/>
        <v>0</v>
      </c>
      <c r="DO12" s="37" t="str">
        <f t="shared" si="57"/>
        <v>0</v>
      </c>
      <c r="DP12" s="66">
        <f t="shared" si="58"/>
        <v>0</v>
      </c>
      <c r="DQ12" s="78">
        <f t="shared" si="59"/>
        <v>0</v>
      </c>
      <c r="DR12" s="6"/>
      <c r="DS12" s="36"/>
      <c r="DT12" s="75">
        <f t="shared" si="60"/>
        <v>12.570403587443947</v>
      </c>
      <c r="DU12" s="18">
        <f t="shared" si="61"/>
        <v>0.96815438354105754</v>
      </c>
      <c r="DV12" s="13">
        <f t="shared" si="62"/>
        <v>0.871833505599936</v>
      </c>
      <c r="DW12" s="14">
        <f t="shared" si="23"/>
        <v>0.76899896640038434</v>
      </c>
      <c r="DX12" s="14">
        <f t="shared" si="24"/>
        <v>0</v>
      </c>
      <c r="DY12" s="14" t="str">
        <f t="shared" si="63"/>
        <v>0</v>
      </c>
      <c r="DZ12" s="15">
        <f t="shared" si="25"/>
        <v>15.336</v>
      </c>
      <c r="EA12" s="14">
        <f t="shared" si="64"/>
        <v>0.48099360180654888</v>
      </c>
      <c r="EB12" s="14">
        <f t="shared" si="26"/>
        <v>0.42857142857142855</v>
      </c>
      <c r="EC12" s="14">
        <f t="shared" si="27"/>
        <v>0.41005347593582891</v>
      </c>
      <c r="ED12" s="14">
        <f t="shared" si="65"/>
        <v>0.19723309832366936</v>
      </c>
      <c r="EE12" s="19">
        <f t="shared" si="66"/>
        <v>1.0828571428571427</v>
      </c>
      <c r="EF12" s="67" t="str">
        <f t="shared" si="67"/>
        <v>0</v>
      </c>
      <c r="EG12" s="74">
        <f t="shared" si="68"/>
        <v>2.0510115263982005</v>
      </c>
      <c r="EH12" s="27">
        <f t="shared" si="69"/>
        <v>1.9868259560632948</v>
      </c>
      <c r="EI12" s="25">
        <f t="shared" si="70"/>
        <v>1.743667011199872</v>
      </c>
      <c r="EJ12" s="25">
        <f t="shared" si="71"/>
        <v>0</v>
      </c>
      <c r="EK12" s="26">
        <f t="shared" si="28"/>
        <v>0.44498338562851858</v>
      </c>
      <c r="EL12" s="29">
        <f t="shared" si="72"/>
        <v>0.75</v>
      </c>
      <c r="EM12" s="30">
        <f t="shared" si="29"/>
        <v>0.14285714285714285</v>
      </c>
      <c r="EN12" s="30">
        <f t="shared" si="30"/>
        <v>0.33333333333333331</v>
      </c>
      <c r="EO12" s="31">
        <f t="shared" si="73"/>
        <v>0</v>
      </c>
      <c r="EP12" s="31">
        <f t="shared" si="31"/>
        <v>0.47454186602870818</v>
      </c>
      <c r="EQ12" s="31">
        <f t="shared" si="74"/>
        <v>0.47454186602870818</v>
      </c>
      <c r="ER12" s="93">
        <f t="shared" si="32"/>
        <v>0.33634813179434048</v>
      </c>
      <c r="ES12" s="109">
        <f t="shared" si="33"/>
        <v>70.710624671772521</v>
      </c>
      <c r="ET12" s="32">
        <f t="shared" si="34"/>
        <v>2.5393807713199346</v>
      </c>
      <c r="EV12" s="277"/>
      <c r="EW12" s="278"/>
      <c r="EX12" s="37">
        <f t="shared" si="83"/>
        <v>0</v>
      </c>
      <c r="EY12" s="72">
        <f t="shared" si="75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5"/>
        <v>3.7166666666666668</v>
      </c>
      <c r="FG12" s="182">
        <f t="shared" si="36"/>
        <v>1</v>
      </c>
      <c r="FH12" s="183" t="s">
        <v>52</v>
      </c>
      <c r="FI12" s="184">
        <f t="shared" si="76"/>
        <v>3</v>
      </c>
      <c r="FJ12" s="193">
        <f t="shared" si="77"/>
        <v>0.33333333333333331</v>
      </c>
      <c r="FK12" s="185">
        <f t="shared" si="37"/>
        <v>0</v>
      </c>
      <c r="FL12" s="183" t="s">
        <v>52</v>
      </c>
      <c r="FM12" s="186">
        <f t="shared" si="38"/>
        <v>0</v>
      </c>
      <c r="FN12" s="193" t="str">
        <f t="shared" si="78"/>
        <v>0</v>
      </c>
      <c r="FO12" s="261">
        <f t="shared" si="79"/>
        <v>0</v>
      </c>
      <c r="FP12" s="183" t="s">
        <v>52</v>
      </c>
      <c r="FQ12" s="268">
        <f t="shared" si="80"/>
        <v>0</v>
      </c>
      <c r="FR12" s="196" t="str">
        <f t="shared" si="81"/>
        <v>0</v>
      </c>
      <c r="FS12" s="179">
        <f t="shared" si="39"/>
        <v>1</v>
      </c>
      <c r="FT12" s="179">
        <f t="shared" si="40"/>
        <v>0</v>
      </c>
      <c r="FU12" s="179">
        <f t="shared" si="41"/>
        <v>1</v>
      </c>
      <c r="FV12" s="187">
        <f t="shared" si="41"/>
        <v>0</v>
      </c>
      <c r="FW12" s="179">
        <f t="shared" si="41"/>
        <v>0</v>
      </c>
      <c r="FX12" s="179">
        <f t="shared" si="41"/>
        <v>0</v>
      </c>
      <c r="FY12" s="179">
        <f t="shared" si="41"/>
        <v>0</v>
      </c>
      <c r="FZ12" s="179">
        <f t="shared" si="41"/>
        <v>0</v>
      </c>
      <c r="GA12" s="179">
        <f t="shared" si="41"/>
        <v>0</v>
      </c>
      <c r="GB12" s="179">
        <f t="shared" si="41"/>
        <v>0</v>
      </c>
      <c r="GC12" s="191">
        <f t="shared" si="41"/>
        <v>2</v>
      </c>
      <c r="GD12" s="203">
        <f t="shared" si="82"/>
        <v>96.870540730328187</v>
      </c>
      <c r="GE12" s="179">
        <f t="shared" si="82"/>
        <v>0.47203751469951122</v>
      </c>
      <c r="GF12" s="179">
        <f t="shared" si="82"/>
        <v>0.29074521958025068</v>
      </c>
      <c r="GG12" s="258">
        <f t="shared" si="82"/>
        <v>90.273795596858079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0.48780487804878053</v>
      </c>
      <c r="GN12" s="24">
        <f>GK12+(GL12/10)+(GJ12*GM12*(1-(CJ41/(CJ41+CK40))))+(CK12*(1-GM12))</f>
        <v>0</v>
      </c>
      <c r="GO12" s="213">
        <f>GN12/(DD12*EG41)</f>
        <v>0</v>
      </c>
    </row>
    <row r="13" spans="1:197" x14ac:dyDescent="0.2">
      <c r="A13" s="139"/>
      <c r="B13" s="430" t="s">
        <v>117</v>
      </c>
      <c r="C13" s="431" t="s">
        <v>213</v>
      </c>
      <c r="D13" s="161">
        <v>7.6333333333333337</v>
      </c>
      <c r="E13" s="114">
        <f t="shared" si="0"/>
        <v>1</v>
      </c>
      <c r="F13" s="419" t="s">
        <v>52</v>
      </c>
      <c r="G13" s="115">
        <f t="shared" si="1"/>
        <v>3</v>
      </c>
      <c r="H13" s="116" t="s">
        <v>53</v>
      </c>
      <c r="I13" s="419">
        <f t="shared" si="42"/>
        <v>0</v>
      </c>
      <c r="J13" s="115" t="s">
        <v>54</v>
      </c>
      <c r="K13" s="116">
        <f t="shared" si="2"/>
        <v>0</v>
      </c>
      <c r="L13" s="419" t="s">
        <v>52</v>
      </c>
      <c r="M13" s="115">
        <f t="shared" si="3"/>
        <v>0</v>
      </c>
      <c r="N13" s="116" t="s">
        <v>53</v>
      </c>
      <c r="O13" s="419">
        <f t="shared" si="4"/>
        <v>0</v>
      </c>
      <c r="P13" s="115" t="s">
        <v>54</v>
      </c>
      <c r="Q13" s="116">
        <f t="shared" si="5"/>
        <v>1</v>
      </c>
      <c r="R13" s="419" t="s">
        <v>52</v>
      </c>
      <c r="S13" s="115">
        <f t="shared" si="43"/>
        <v>2</v>
      </c>
      <c r="T13" s="116" t="s">
        <v>53</v>
      </c>
      <c r="U13" s="419">
        <f t="shared" si="6"/>
        <v>0</v>
      </c>
      <c r="V13" s="115" t="s">
        <v>54</v>
      </c>
      <c r="W13" s="116">
        <f t="shared" si="7"/>
        <v>0</v>
      </c>
      <c r="X13" s="419" t="s">
        <v>52</v>
      </c>
      <c r="Y13" s="115">
        <f t="shared" si="8"/>
        <v>1</v>
      </c>
      <c r="Z13" s="116" t="s">
        <v>53</v>
      </c>
      <c r="AA13" s="419">
        <f t="shared" si="9"/>
        <v>0</v>
      </c>
      <c r="AB13" s="115" t="s">
        <v>54</v>
      </c>
      <c r="AC13" s="116">
        <f t="shared" si="44"/>
        <v>0</v>
      </c>
      <c r="AD13" s="419" t="s">
        <v>52</v>
      </c>
      <c r="AE13" s="117">
        <f t="shared" si="45"/>
        <v>0</v>
      </c>
      <c r="AF13" s="420"/>
      <c r="AG13" s="114">
        <f t="shared" si="46"/>
        <v>1</v>
      </c>
      <c r="AH13" s="419" t="s">
        <v>52</v>
      </c>
      <c r="AI13" s="115">
        <f t="shared" si="10"/>
        <v>2</v>
      </c>
      <c r="AJ13" s="116" t="s">
        <v>53</v>
      </c>
      <c r="AK13" s="419">
        <f t="shared" si="11"/>
        <v>0</v>
      </c>
      <c r="AL13" s="115" t="s">
        <v>54</v>
      </c>
      <c r="AM13" s="246">
        <v>0</v>
      </c>
      <c r="AN13" s="244" t="s">
        <v>52</v>
      </c>
      <c r="AO13" s="245">
        <v>0</v>
      </c>
      <c r="AP13" s="246" t="s">
        <v>53</v>
      </c>
      <c r="AQ13" s="244">
        <v>0</v>
      </c>
      <c r="AR13" s="245" t="s">
        <v>54</v>
      </c>
      <c r="AS13" s="246">
        <v>1</v>
      </c>
      <c r="AT13" s="244" t="s">
        <v>52</v>
      </c>
      <c r="AU13" s="245">
        <v>2</v>
      </c>
      <c r="AV13" s="246" t="s">
        <v>53</v>
      </c>
      <c r="AW13" s="244">
        <v>0</v>
      </c>
      <c r="AX13" s="245" t="s">
        <v>54</v>
      </c>
      <c r="AY13" s="246">
        <v>0</v>
      </c>
      <c r="AZ13" s="244" t="s">
        <v>52</v>
      </c>
      <c r="BA13" s="245">
        <v>0</v>
      </c>
      <c r="BB13" s="246" t="s">
        <v>53</v>
      </c>
      <c r="BC13" s="244">
        <v>0</v>
      </c>
      <c r="BD13" s="245" t="s">
        <v>54</v>
      </c>
      <c r="BE13" s="116">
        <v>0</v>
      </c>
      <c r="BF13" s="419" t="s">
        <v>52</v>
      </c>
      <c r="BG13" s="117">
        <v>0</v>
      </c>
      <c r="BH13" s="115"/>
      <c r="BI13" s="114">
        <f t="shared" si="12"/>
        <v>0</v>
      </c>
      <c r="BJ13" s="419" t="s">
        <v>52</v>
      </c>
      <c r="BK13" s="115">
        <f t="shared" si="47"/>
        <v>1</v>
      </c>
      <c r="BL13" s="116" t="s">
        <v>53</v>
      </c>
      <c r="BM13" s="419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1</v>
      </c>
      <c r="CD13" s="246" t="s">
        <v>53</v>
      </c>
      <c r="CE13" s="244">
        <v>0</v>
      </c>
      <c r="CF13" s="245" t="s">
        <v>54</v>
      </c>
      <c r="CG13" s="116">
        <v>0</v>
      </c>
      <c r="CH13" s="419" t="s">
        <v>52</v>
      </c>
      <c r="CI13" s="117">
        <v>0</v>
      </c>
      <c r="CJ13" s="148">
        <v>0</v>
      </c>
      <c r="CK13" s="148">
        <f t="shared" si="48"/>
        <v>1</v>
      </c>
      <c r="CL13" s="148">
        <v>1</v>
      </c>
      <c r="CM13" s="148">
        <v>0</v>
      </c>
      <c r="CN13" s="148">
        <f t="shared" si="49"/>
        <v>1</v>
      </c>
      <c r="CO13" s="175">
        <v>1</v>
      </c>
      <c r="CP13" s="140">
        <v>2</v>
      </c>
      <c r="CQ13" s="175">
        <v>0</v>
      </c>
      <c r="CR13" s="148">
        <v>0</v>
      </c>
      <c r="CS13" s="148">
        <v>0</v>
      </c>
      <c r="CT13" s="140">
        <v>1</v>
      </c>
      <c r="CU13" s="140">
        <v>0</v>
      </c>
      <c r="CV13" s="148">
        <f t="shared" si="50"/>
        <v>2</v>
      </c>
      <c r="CW13" s="140"/>
      <c r="CX13" s="140">
        <f t="shared" si="51"/>
        <v>59.825215950099931</v>
      </c>
      <c r="CY13" s="140">
        <f t="shared" si="14"/>
        <v>0.28051545949973467</v>
      </c>
      <c r="CZ13" s="165">
        <f t="shared" si="15"/>
        <v>0.33176907772696085</v>
      </c>
      <c r="DA13" s="164">
        <f t="shared" si="16"/>
        <v>157.08792242387443</v>
      </c>
      <c r="DB13" s="141"/>
      <c r="DC13" s="141"/>
      <c r="DD13" s="77">
        <f t="shared" si="52"/>
        <v>0.54784688995215325</v>
      </c>
      <c r="DE13" s="37">
        <f t="shared" si="53"/>
        <v>0.33333333333333331</v>
      </c>
      <c r="DF13" s="37">
        <f t="shared" si="54"/>
        <v>0</v>
      </c>
      <c r="DG13" s="37">
        <f t="shared" si="55"/>
        <v>0.33333333333333331</v>
      </c>
      <c r="DH13" s="37">
        <f t="shared" si="17"/>
        <v>0</v>
      </c>
      <c r="DI13" s="37">
        <f t="shared" si="18"/>
        <v>8.6920357662715719E-2</v>
      </c>
      <c r="DJ13" s="37">
        <f t="shared" si="19"/>
        <v>0</v>
      </c>
      <c r="DK13" s="37">
        <f t="shared" si="20"/>
        <v>0</v>
      </c>
      <c r="DL13" s="37">
        <f t="shared" si="21"/>
        <v>0.30422125181950499</v>
      </c>
      <c r="DM13" s="37">
        <f t="shared" si="22"/>
        <v>0.2657877609359578</v>
      </c>
      <c r="DN13" s="37">
        <f t="shared" si="56"/>
        <v>0.26704092171271776</v>
      </c>
      <c r="DO13" s="37">
        <f t="shared" si="57"/>
        <v>1</v>
      </c>
      <c r="DP13" s="66">
        <f t="shared" si="58"/>
        <v>0</v>
      </c>
      <c r="DQ13" s="78">
        <f t="shared" si="59"/>
        <v>0</v>
      </c>
      <c r="DR13" s="6"/>
      <c r="DS13" s="36"/>
      <c r="DT13" s="75">
        <f t="shared" si="60"/>
        <v>0.39524017467248762</v>
      </c>
      <c r="DU13" s="18">
        <f t="shared" si="61"/>
        <v>1.0504587001145569</v>
      </c>
      <c r="DV13" s="13">
        <f t="shared" si="62"/>
        <v>0.894286666032169</v>
      </c>
      <c r="DW13" s="14">
        <f t="shared" si="23"/>
        <v>0.63428000380698579</v>
      </c>
      <c r="DX13" s="14">
        <f t="shared" si="24"/>
        <v>0.22222222222222221</v>
      </c>
      <c r="DY13" s="14" t="str">
        <f t="shared" si="63"/>
        <v>0</v>
      </c>
      <c r="DZ13" s="15">
        <f t="shared" si="25"/>
        <v>7.3639999999999999</v>
      </c>
      <c r="EA13" s="14">
        <f t="shared" si="64"/>
        <v>0.72172492649460962</v>
      </c>
      <c r="EB13" s="14">
        <f t="shared" si="26"/>
        <v>0.14285714285714285</v>
      </c>
      <c r="EC13" s="14">
        <f t="shared" si="27"/>
        <v>0.30180327868852458</v>
      </c>
      <c r="ED13" s="14">
        <f t="shared" si="65"/>
        <v>0</v>
      </c>
      <c r="EE13" s="19">
        <f t="shared" si="66"/>
        <v>1.6942857142857144</v>
      </c>
      <c r="EF13" s="67" t="str">
        <f t="shared" si="67"/>
        <v>0</v>
      </c>
      <c r="EG13" s="74">
        <f t="shared" si="68"/>
        <v>3.7447444144002713</v>
      </c>
      <c r="EH13" s="27">
        <f t="shared" si="69"/>
        <v>2.2403014326942672</v>
      </c>
      <c r="EI13" s="25">
        <f t="shared" si="70"/>
        <v>1.788573332064338</v>
      </c>
      <c r="EJ13" s="25">
        <f t="shared" si="71"/>
        <v>0.59259259259259256</v>
      </c>
      <c r="EK13" s="26">
        <f t="shared" si="28"/>
        <v>0</v>
      </c>
      <c r="EL13" s="29">
        <f t="shared" si="72"/>
        <v>0.48780487804878053</v>
      </c>
      <c r="EM13" s="30">
        <f t="shared" si="29"/>
        <v>0.42857142857142855</v>
      </c>
      <c r="EN13" s="30">
        <f t="shared" si="30"/>
        <v>0.41666666666666669</v>
      </c>
      <c r="EO13" s="31">
        <f t="shared" si="73"/>
        <v>0.51219512195121952</v>
      </c>
      <c r="EP13" s="31">
        <f t="shared" si="31"/>
        <v>0.60770918426887621</v>
      </c>
      <c r="EQ13" s="31">
        <f t="shared" si="74"/>
        <v>1.1199043062200957</v>
      </c>
      <c r="ER13" s="93">
        <f t="shared" si="32"/>
        <v>0.49609476335462754</v>
      </c>
      <c r="ES13" s="109">
        <f t="shared" si="33"/>
        <v>167.93801794258121</v>
      </c>
      <c r="ET13" s="32">
        <f t="shared" si="34"/>
        <v>2.2561293688054254</v>
      </c>
      <c r="EV13" s="277"/>
      <c r="EW13" s="278"/>
      <c r="EX13" s="37">
        <f t="shared" si="83"/>
        <v>0</v>
      </c>
      <c r="EY13" s="72">
        <f t="shared" si="75"/>
        <v>0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5"/>
        <v>7.6333333333333337</v>
      </c>
      <c r="FG13" s="144">
        <f t="shared" si="36"/>
        <v>1</v>
      </c>
      <c r="FH13" s="419" t="s">
        <v>52</v>
      </c>
      <c r="FI13" s="145">
        <f t="shared" si="76"/>
        <v>3</v>
      </c>
      <c r="FJ13" s="194">
        <f t="shared" si="77"/>
        <v>0.33333333333333331</v>
      </c>
      <c r="FK13" s="110">
        <f t="shared" si="37"/>
        <v>0</v>
      </c>
      <c r="FL13" s="419" t="s">
        <v>52</v>
      </c>
      <c r="FM13" s="168">
        <f t="shared" si="38"/>
        <v>1</v>
      </c>
      <c r="FN13" s="194">
        <f t="shared" si="78"/>
        <v>0</v>
      </c>
      <c r="FO13" s="262">
        <f t="shared" si="79"/>
        <v>0</v>
      </c>
      <c r="FP13" s="419" t="s">
        <v>52</v>
      </c>
      <c r="FQ13" s="274">
        <f t="shared" si="80"/>
        <v>0</v>
      </c>
      <c r="FR13" s="197" t="str">
        <f t="shared" si="81"/>
        <v>0</v>
      </c>
      <c r="FS13" s="140">
        <f t="shared" si="39"/>
        <v>0</v>
      </c>
      <c r="FT13" s="140">
        <f t="shared" si="40"/>
        <v>1</v>
      </c>
      <c r="FU13" s="140">
        <f t="shared" si="41"/>
        <v>1</v>
      </c>
      <c r="FV13" s="175">
        <f t="shared" si="41"/>
        <v>1</v>
      </c>
      <c r="FW13" s="140">
        <f t="shared" si="41"/>
        <v>2</v>
      </c>
      <c r="FX13" s="140">
        <f t="shared" si="41"/>
        <v>0</v>
      </c>
      <c r="FY13" s="140">
        <f t="shared" si="41"/>
        <v>0</v>
      </c>
      <c r="FZ13" s="140">
        <f t="shared" si="41"/>
        <v>0</v>
      </c>
      <c r="GA13" s="140">
        <f t="shared" si="41"/>
        <v>1</v>
      </c>
      <c r="GB13" s="140">
        <f t="shared" si="41"/>
        <v>0</v>
      </c>
      <c r="GC13" s="192">
        <f t="shared" si="41"/>
        <v>2</v>
      </c>
      <c r="GD13" s="202">
        <f t="shared" si="82"/>
        <v>59.825215950099931</v>
      </c>
      <c r="GE13" s="140">
        <f t="shared" si="82"/>
        <v>0.28051545949973467</v>
      </c>
      <c r="GF13" s="140">
        <f t="shared" si="82"/>
        <v>0.33176907772696085</v>
      </c>
      <c r="GG13" s="259">
        <f t="shared" si="82"/>
        <v>157.08792242387443</v>
      </c>
      <c r="GH13" s="140"/>
      <c r="GJ13" s="82"/>
      <c r="GK13" s="24"/>
      <c r="GL13" s="185">
        <f>(CQ13/CQ42)*(EY43-EX43)</f>
        <v>0</v>
      </c>
      <c r="GM13" s="185">
        <f>((E43/G43)*(1-(CJ43/(CJ43+CK42))))/((E43/G43)*(1-(CJ43/(CJ43+CK42)))+((1-(E43/G43)))*(CJ43/(CJ43+CK42)))</f>
        <v>0.48780487804878053</v>
      </c>
      <c r="GN13" s="24">
        <f>GK13+(GL13/10)+(GJ13*GM13*(1-(CJ43/(CJ43+CK42))))+(CK13*(1-GM13))</f>
        <v>0.51219512195121952</v>
      </c>
      <c r="GO13" s="213">
        <f>GN13/(DD13*EG43)</f>
        <v>3.5352432751764876E-2</v>
      </c>
    </row>
    <row r="14" spans="1:197" x14ac:dyDescent="0.2">
      <c r="A14" s="139"/>
      <c r="B14" s="89" t="s">
        <v>82</v>
      </c>
      <c r="C14" s="41" t="s">
        <v>214</v>
      </c>
      <c r="D14" s="161">
        <v>13.933333333333334</v>
      </c>
      <c r="E14" s="114">
        <f t="shared" si="0"/>
        <v>3</v>
      </c>
      <c r="F14" s="419" t="s">
        <v>52</v>
      </c>
      <c r="G14" s="115">
        <f t="shared" si="1"/>
        <v>6</v>
      </c>
      <c r="H14" s="116" t="s">
        <v>53</v>
      </c>
      <c r="I14" s="419">
        <f t="shared" si="42"/>
        <v>1</v>
      </c>
      <c r="J14" s="115" t="s">
        <v>54</v>
      </c>
      <c r="K14" s="116">
        <f t="shared" si="2"/>
        <v>2</v>
      </c>
      <c r="L14" s="419" t="s">
        <v>52</v>
      </c>
      <c r="M14" s="115">
        <f t="shared" si="3"/>
        <v>2</v>
      </c>
      <c r="N14" s="116" t="s">
        <v>53</v>
      </c>
      <c r="O14" s="419">
        <f t="shared" si="4"/>
        <v>1</v>
      </c>
      <c r="P14" s="115" t="s">
        <v>54</v>
      </c>
      <c r="Q14" s="116">
        <f t="shared" si="5"/>
        <v>0</v>
      </c>
      <c r="R14" s="419" t="s">
        <v>52</v>
      </c>
      <c r="S14" s="115">
        <f t="shared" si="43"/>
        <v>1</v>
      </c>
      <c r="T14" s="116" t="s">
        <v>53</v>
      </c>
      <c r="U14" s="419">
        <f t="shared" si="6"/>
        <v>0</v>
      </c>
      <c r="V14" s="115" t="s">
        <v>54</v>
      </c>
      <c r="W14" s="116">
        <f t="shared" si="7"/>
        <v>1</v>
      </c>
      <c r="X14" s="419" t="s">
        <v>52</v>
      </c>
      <c r="Y14" s="115">
        <f t="shared" si="8"/>
        <v>3</v>
      </c>
      <c r="Z14" s="116" t="s">
        <v>53</v>
      </c>
      <c r="AA14" s="419">
        <f t="shared" si="9"/>
        <v>0</v>
      </c>
      <c r="AB14" s="115" t="s">
        <v>54</v>
      </c>
      <c r="AC14" s="116">
        <f t="shared" si="44"/>
        <v>0</v>
      </c>
      <c r="AD14" s="419" t="s">
        <v>52</v>
      </c>
      <c r="AE14" s="117">
        <f t="shared" si="45"/>
        <v>0</v>
      </c>
      <c r="AF14" s="420"/>
      <c r="AG14" s="114">
        <f t="shared" si="46"/>
        <v>1</v>
      </c>
      <c r="AH14" s="419" t="s">
        <v>52</v>
      </c>
      <c r="AI14" s="115">
        <f t="shared" si="10"/>
        <v>4</v>
      </c>
      <c r="AJ14" s="116" t="s">
        <v>53</v>
      </c>
      <c r="AK14" s="419">
        <f t="shared" si="11"/>
        <v>0</v>
      </c>
      <c r="AL14" s="115" t="s">
        <v>54</v>
      </c>
      <c r="AM14" s="246">
        <v>0</v>
      </c>
      <c r="AN14" s="244" t="s">
        <v>52</v>
      </c>
      <c r="AO14" s="245">
        <v>0</v>
      </c>
      <c r="AP14" s="246" t="s">
        <v>53</v>
      </c>
      <c r="AQ14" s="244">
        <v>0</v>
      </c>
      <c r="AR14" s="245" t="s">
        <v>54</v>
      </c>
      <c r="AS14" s="246">
        <v>0</v>
      </c>
      <c r="AT14" s="244" t="s">
        <v>52</v>
      </c>
      <c r="AU14" s="245">
        <v>1</v>
      </c>
      <c r="AV14" s="246" t="s">
        <v>53</v>
      </c>
      <c r="AW14" s="244">
        <v>0</v>
      </c>
      <c r="AX14" s="245" t="s">
        <v>54</v>
      </c>
      <c r="AY14" s="246">
        <v>1</v>
      </c>
      <c r="AZ14" s="244" t="s">
        <v>52</v>
      </c>
      <c r="BA14" s="245">
        <v>3</v>
      </c>
      <c r="BB14" s="246" t="s">
        <v>53</v>
      </c>
      <c r="BC14" s="244">
        <v>0</v>
      </c>
      <c r="BD14" s="245" t="s">
        <v>54</v>
      </c>
      <c r="BE14" s="116">
        <v>0</v>
      </c>
      <c r="BF14" s="419" t="s">
        <v>52</v>
      </c>
      <c r="BG14" s="117">
        <v>0</v>
      </c>
      <c r="BH14" s="115"/>
      <c r="BI14" s="114">
        <f t="shared" si="12"/>
        <v>2</v>
      </c>
      <c r="BJ14" s="419" t="s">
        <v>52</v>
      </c>
      <c r="BK14" s="115">
        <f t="shared" si="47"/>
        <v>2</v>
      </c>
      <c r="BL14" s="116" t="s">
        <v>53</v>
      </c>
      <c r="BM14" s="419">
        <f t="shared" si="13"/>
        <v>1</v>
      </c>
      <c r="BN14" s="115" t="s">
        <v>54</v>
      </c>
      <c r="BO14" s="246">
        <v>2</v>
      </c>
      <c r="BP14" s="244" t="s">
        <v>52</v>
      </c>
      <c r="BQ14" s="245">
        <v>2</v>
      </c>
      <c r="BR14" s="246" t="s">
        <v>53</v>
      </c>
      <c r="BS14" s="244">
        <v>1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0</v>
      </c>
      <c r="CD14" s="246" t="s">
        <v>53</v>
      </c>
      <c r="CE14" s="244">
        <v>0</v>
      </c>
      <c r="CF14" s="245" t="s">
        <v>54</v>
      </c>
      <c r="CG14" s="116">
        <v>0</v>
      </c>
      <c r="CH14" s="419" t="s">
        <v>52</v>
      </c>
      <c r="CI14" s="117">
        <v>0</v>
      </c>
      <c r="CJ14" s="140">
        <v>1</v>
      </c>
      <c r="CK14" s="148">
        <f t="shared" si="48"/>
        <v>2</v>
      </c>
      <c r="CL14" s="148">
        <v>2</v>
      </c>
      <c r="CM14" s="148">
        <v>0</v>
      </c>
      <c r="CN14" s="148">
        <f t="shared" si="49"/>
        <v>3</v>
      </c>
      <c r="CO14" s="175">
        <v>2</v>
      </c>
      <c r="CP14" s="140">
        <v>1</v>
      </c>
      <c r="CQ14" s="175">
        <v>0</v>
      </c>
      <c r="CR14" s="148">
        <v>0</v>
      </c>
      <c r="CS14" s="148">
        <v>0</v>
      </c>
      <c r="CT14" s="140">
        <v>0</v>
      </c>
      <c r="CU14" s="140">
        <v>0</v>
      </c>
      <c r="CV14" s="148">
        <f t="shared" si="50"/>
        <v>7</v>
      </c>
      <c r="CW14" s="140"/>
      <c r="CX14" s="140">
        <f t="shared" si="51"/>
        <v>147.2818791545395</v>
      </c>
      <c r="CY14" s="140">
        <f t="shared" si="14"/>
        <v>0.63585704073858107</v>
      </c>
      <c r="CZ14" s="165">
        <f t="shared" si="15"/>
        <v>0.16866834158591879</v>
      </c>
      <c r="DA14" s="164">
        <f t="shared" si="16"/>
        <v>85.472693976015307</v>
      </c>
      <c r="DB14" s="141"/>
      <c r="DC14" s="141"/>
      <c r="DD14" s="77">
        <f t="shared" si="52"/>
        <v>1.0000000000000002</v>
      </c>
      <c r="DE14" s="37">
        <f t="shared" si="53"/>
        <v>0.5</v>
      </c>
      <c r="DF14" s="37">
        <f t="shared" si="54"/>
        <v>0.33333333333333331</v>
      </c>
      <c r="DG14" s="37">
        <f t="shared" si="55"/>
        <v>0.58333333333333337</v>
      </c>
      <c r="DH14" s="37">
        <f t="shared" si="17"/>
        <v>4.7619047619047609E-2</v>
      </c>
      <c r="DI14" s="37">
        <f t="shared" si="18"/>
        <v>0.14285714285714282</v>
      </c>
      <c r="DJ14" s="37">
        <f t="shared" si="19"/>
        <v>0</v>
      </c>
      <c r="DK14" s="37">
        <f t="shared" si="20"/>
        <v>0</v>
      </c>
      <c r="DL14" s="37">
        <f t="shared" si="21"/>
        <v>0.16666666666666663</v>
      </c>
      <c r="DM14" s="37">
        <f t="shared" si="22"/>
        <v>0.11343950482102541</v>
      </c>
      <c r="DN14" s="37">
        <f t="shared" si="56"/>
        <v>0</v>
      </c>
      <c r="DO14" s="37" t="str">
        <f t="shared" si="57"/>
        <v>0</v>
      </c>
      <c r="DP14" s="66">
        <f t="shared" si="58"/>
        <v>0</v>
      </c>
      <c r="DQ14" s="78">
        <f t="shared" si="59"/>
        <v>0</v>
      </c>
      <c r="DR14" s="6"/>
      <c r="DS14" s="36"/>
      <c r="DT14" s="75">
        <f t="shared" si="60"/>
        <v>23.675239234449762</v>
      </c>
      <c r="DU14" s="18">
        <f t="shared" si="61"/>
        <v>2.8362858084486748</v>
      </c>
      <c r="DV14" s="13">
        <f t="shared" si="62"/>
        <v>2.5345</v>
      </c>
      <c r="DW14" s="14">
        <f t="shared" si="23"/>
        <v>0.53199999999999992</v>
      </c>
      <c r="DX14" s="14">
        <f t="shared" si="24"/>
        <v>0.45</v>
      </c>
      <c r="DY14" s="14" t="str">
        <f t="shared" si="63"/>
        <v>0</v>
      </c>
      <c r="DZ14" s="15">
        <f t="shared" si="25"/>
        <v>15.336</v>
      </c>
      <c r="EA14" s="14">
        <f t="shared" si="64"/>
        <v>0.48099360180654888</v>
      </c>
      <c r="EB14" s="14">
        <f t="shared" si="26"/>
        <v>0.42857142857142855</v>
      </c>
      <c r="EC14" s="14">
        <f t="shared" si="27"/>
        <v>0.41005347593582891</v>
      </c>
      <c r="ED14" s="14">
        <f t="shared" si="65"/>
        <v>0.19723309832366936</v>
      </c>
      <c r="EE14" s="19">
        <f t="shared" si="66"/>
        <v>1.6242857142857141</v>
      </c>
      <c r="EF14" s="67" t="str">
        <f t="shared" si="67"/>
        <v>0</v>
      </c>
      <c r="EG14" s="74">
        <f t="shared" si="68"/>
        <v>4.4605715227343889</v>
      </c>
      <c r="EH14" s="27">
        <f t="shared" si="69"/>
        <v>6.5696135597154655</v>
      </c>
      <c r="EI14" s="25">
        <f t="shared" si="70"/>
        <v>5.9138333333333328</v>
      </c>
      <c r="EJ14" s="25">
        <f t="shared" si="71"/>
        <v>1.0125</v>
      </c>
      <c r="EK14" s="26">
        <f t="shared" si="28"/>
        <v>0.44498338562851858</v>
      </c>
      <c r="EL14" s="29">
        <f t="shared" si="72"/>
        <v>0.75</v>
      </c>
      <c r="EM14" s="30">
        <f t="shared" si="29"/>
        <v>0.14285714285714285</v>
      </c>
      <c r="EN14" s="30">
        <f t="shared" si="30"/>
        <v>0.33333333333333331</v>
      </c>
      <c r="EO14" s="31">
        <f t="shared" si="73"/>
        <v>0.5</v>
      </c>
      <c r="EP14" s="31">
        <f t="shared" si="31"/>
        <v>1.7790000000000001</v>
      </c>
      <c r="EQ14" s="31">
        <f t="shared" si="74"/>
        <v>2.2789999999999999</v>
      </c>
      <c r="ER14" s="93">
        <f t="shared" si="32"/>
        <v>0.43088105247852826</v>
      </c>
      <c r="ES14" s="109">
        <f t="shared" si="33"/>
        <v>70.710624671772521</v>
      </c>
      <c r="ET14" s="32">
        <f t="shared" si="34"/>
        <v>2.5393807713199346</v>
      </c>
      <c r="EV14" s="277"/>
      <c r="EW14" s="278"/>
      <c r="EX14" s="37">
        <f t="shared" si="83"/>
        <v>0</v>
      </c>
      <c r="EY14" s="72">
        <f t="shared" si="75"/>
        <v>0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5"/>
        <v>13.933333333333334</v>
      </c>
      <c r="FG14" s="182">
        <f t="shared" si="36"/>
        <v>3</v>
      </c>
      <c r="FH14" s="183" t="s">
        <v>52</v>
      </c>
      <c r="FI14" s="184">
        <f t="shared" si="76"/>
        <v>6</v>
      </c>
      <c r="FJ14" s="193">
        <f t="shared" si="77"/>
        <v>0.5</v>
      </c>
      <c r="FK14" s="185">
        <f t="shared" si="37"/>
        <v>1</v>
      </c>
      <c r="FL14" s="183" t="s">
        <v>52</v>
      </c>
      <c r="FM14" s="186">
        <f t="shared" si="38"/>
        <v>3</v>
      </c>
      <c r="FN14" s="193">
        <f t="shared" si="78"/>
        <v>0.33333333333333331</v>
      </c>
      <c r="FO14" s="261">
        <f t="shared" si="79"/>
        <v>0</v>
      </c>
      <c r="FP14" s="183" t="s">
        <v>52</v>
      </c>
      <c r="FQ14" s="268">
        <f t="shared" si="80"/>
        <v>0</v>
      </c>
      <c r="FR14" s="196" t="str">
        <f t="shared" si="81"/>
        <v>0</v>
      </c>
      <c r="FS14" s="179">
        <f t="shared" si="39"/>
        <v>1</v>
      </c>
      <c r="FT14" s="179">
        <f t="shared" si="40"/>
        <v>2</v>
      </c>
      <c r="FU14" s="179">
        <f t="shared" si="41"/>
        <v>3</v>
      </c>
      <c r="FV14" s="187">
        <f t="shared" si="41"/>
        <v>2</v>
      </c>
      <c r="FW14" s="179">
        <f t="shared" si="41"/>
        <v>1</v>
      </c>
      <c r="FX14" s="179">
        <f t="shared" si="41"/>
        <v>0</v>
      </c>
      <c r="FY14" s="179">
        <f t="shared" si="41"/>
        <v>0</v>
      </c>
      <c r="FZ14" s="179">
        <f t="shared" si="41"/>
        <v>0</v>
      </c>
      <c r="GA14" s="179">
        <f t="shared" si="41"/>
        <v>0</v>
      </c>
      <c r="GB14" s="179">
        <f t="shared" si="41"/>
        <v>0</v>
      </c>
      <c r="GC14" s="191">
        <f t="shared" si="41"/>
        <v>7</v>
      </c>
      <c r="GD14" s="203">
        <f t="shared" si="82"/>
        <v>147.2818791545395</v>
      </c>
      <c r="GE14" s="179">
        <f t="shared" si="82"/>
        <v>0.63585704073858107</v>
      </c>
      <c r="GF14" s="179">
        <f t="shared" si="82"/>
        <v>0.16866834158591879</v>
      </c>
      <c r="GG14" s="258">
        <f t="shared" si="82"/>
        <v>85.472693976015307</v>
      </c>
      <c r="GH14" s="179"/>
      <c r="GJ14" s="82"/>
      <c r="GK14" s="24"/>
      <c r="GL14" s="185">
        <f>(CQ14/CQ46)*(EY47-EX47)</f>
        <v>0</v>
      </c>
      <c r="GM14" s="185">
        <f>((E47/G47)*(1-(CJ47/(CJ47+CK46))))/((E47/G47)*(1-(CJ47/(CJ47+CK46)))+((1-(E47/G47)))*(CJ47/(CJ47+CK46)))</f>
        <v>0.48780487804878053</v>
      </c>
      <c r="GN14" s="24">
        <f>GK14+(GL14/10)+(GJ14*GM14*(1-(CJ47/(CJ47+CK46))))+(CK14*(1-GM14))</f>
        <v>1.024390243902439</v>
      </c>
      <c r="GO14" s="213">
        <f>GN14/(DD14*EG47)</f>
        <v>3.8735440670594048E-2</v>
      </c>
    </row>
    <row r="15" spans="1:197" x14ac:dyDescent="0.2">
      <c r="A15" s="139"/>
      <c r="B15" s="327" t="s">
        <v>82</v>
      </c>
      <c r="C15" s="291" t="s">
        <v>215</v>
      </c>
      <c r="D15" s="161">
        <v>0</v>
      </c>
      <c r="E15" s="114">
        <f t="shared" si="0"/>
        <v>0</v>
      </c>
      <c r="F15" s="419" t="s">
        <v>52</v>
      </c>
      <c r="G15" s="115">
        <f t="shared" si="1"/>
        <v>0</v>
      </c>
      <c r="H15" s="116" t="s">
        <v>53</v>
      </c>
      <c r="I15" s="419">
        <f t="shared" si="42"/>
        <v>0</v>
      </c>
      <c r="J15" s="115" t="s">
        <v>54</v>
      </c>
      <c r="K15" s="116">
        <f t="shared" si="2"/>
        <v>0</v>
      </c>
      <c r="L15" s="419" t="s">
        <v>52</v>
      </c>
      <c r="M15" s="115">
        <f t="shared" si="3"/>
        <v>0</v>
      </c>
      <c r="N15" s="116" t="s">
        <v>53</v>
      </c>
      <c r="O15" s="419">
        <f t="shared" si="4"/>
        <v>0</v>
      </c>
      <c r="P15" s="115" t="s">
        <v>54</v>
      </c>
      <c r="Q15" s="116">
        <f t="shared" si="5"/>
        <v>0</v>
      </c>
      <c r="R15" s="419" t="s">
        <v>52</v>
      </c>
      <c r="S15" s="115">
        <f t="shared" si="43"/>
        <v>0</v>
      </c>
      <c r="T15" s="116" t="s">
        <v>53</v>
      </c>
      <c r="U15" s="419">
        <f t="shared" si="6"/>
        <v>0</v>
      </c>
      <c r="V15" s="115" t="s">
        <v>54</v>
      </c>
      <c r="W15" s="116">
        <f t="shared" si="7"/>
        <v>0</v>
      </c>
      <c r="X15" s="419" t="s">
        <v>52</v>
      </c>
      <c r="Y15" s="115">
        <f t="shared" si="8"/>
        <v>0</v>
      </c>
      <c r="Z15" s="116" t="s">
        <v>53</v>
      </c>
      <c r="AA15" s="419">
        <f t="shared" si="9"/>
        <v>0</v>
      </c>
      <c r="AB15" s="115" t="s">
        <v>54</v>
      </c>
      <c r="AC15" s="116">
        <f t="shared" si="44"/>
        <v>0</v>
      </c>
      <c r="AD15" s="419" t="s">
        <v>52</v>
      </c>
      <c r="AE15" s="117">
        <f t="shared" si="45"/>
        <v>0</v>
      </c>
      <c r="AF15" s="420"/>
      <c r="AG15" s="114">
        <f t="shared" si="46"/>
        <v>0</v>
      </c>
      <c r="AH15" s="419" t="s">
        <v>52</v>
      </c>
      <c r="AI15" s="115">
        <f t="shared" si="10"/>
        <v>0</v>
      </c>
      <c r="AJ15" s="116" t="s">
        <v>53</v>
      </c>
      <c r="AK15" s="419">
        <f t="shared" si="11"/>
        <v>0</v>
      </c>
      <c r="AL15" s="115" t="s">
        <v>54</v>
      </c>
      <c r="AM15" s="246">
        <v>0</v>
      </c>
      <c r="AN15" s="244" t="s">
        <v>52</v>
      </c>
      <c r="AO15" s="245">
        <v>0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0</v>
      </c>
      <c r="AZ15" s="244" t="s">
        <v>52</v>
      </c>
      <c r="BA15" s="245">
        <v>0</v>
      </c>
      <c r="BB15" s="246" t="s">
        <v>53</v>
      </c>
      <c r="BC15" s="244">
        <v>0</v>
      </c>
      <c r="BD15" s="245" t="s">
        <v>54</v>
      </c>
      <c r="BE15" s="116">
        <v>0</v>
      </c>
      <c r="BF15" s="419" t="s">
        <v>52</v>
      </c>
      <c r="BG15" s="117">
        <v>0</v>
      </c>
      <c r="BH15" s="115"/>
      <c r="BI15" s="114">
        <f t="shared" si="12"/>
        <v>0</v>
      </c>
      <c r="BJ15" s="419" t="s">
        <v>52</v>
      </c>
      <c r="BK15" s="115">
        <f t="shared" si="47"/>
        <v>0</v>
      </c>
      <c r="BL15" s="116" t="s">
        <v>53</v>
      </c>
      <c r="BM15" s="419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19" t="s">
        <v>52</v>
      </c>
      <c r="CI15" s="117">
        <v>0</v>
      </c>
      <c r="CJ15" s="140">
        <v>0</v>
      </c>
      <c r="CK15" s="148">
        <f t="shared" si="48"/>
        <v>0</v>
      </c>
      <c r="CL15" s="148">
        <v>0</v>
      </c>
      <c r="CM15" s="148">
        <v>0</v>
      </c>
      <c r="CN15" s="148">
        <f t="shared" si="49"/>
        <v>0</v>
      </c>
      <c r="CO15" s="175">
        <v>0</v>
      </c>
      <c r="CP15" s="140">
        <v>0</v>
      </c>
      <c r="CQ15" s="175">
        <v>0</v>
      </c>
      <c r="CR15" s="148">
        <v>0</v>
      </c>
      <c r="CS15" s="148">
        <v>0</v>
      </c>
      <c r="CT15" s="140">
        <v>0</v>
      </c>
      <c r="CU15" s="140">
        <v>0</v>
      </c>
      <c r="CV15" s="148">
        <f t="shared" si="50"/>
        <v>0</v>
      </c>
      <c r="CW15" s="140"/>
      <c r="CX15" s="140" t="str">
        <f t="shared" si="51"/>
        <v>0</v>
      </c>
      <c r="CY15" s="140" t="str">
        <f t="shared" si="14"/>
        <v>0</v>
      </c>
      <c r="CZ15" s="165" t="str">
        <f t="shared" si="15"/>
        <v>0</v>
      </c>
      <c r="DA15" s="164">
        <f t="shared" si="16"/>
        <v>107.35611516381671</v>
      </c>
      <c r="DB15" s="141"/>
      <c r="DC15" s="141"/>
      <c r="DD15" s="77">
        <f t="shared" si="52"/>
        <v>0</v>
      </c>
      <c r="DE15" s="37" t="str">
        <f t="shared" si="53"/>
        <v>0</v>
      </c>
      <c r="DF15" s="37" t="str">
        <f t="shared" si="54"/>
        <v>0</v>
      </c>
      <c r="DG15" s="37" t="str">
        <f t="shared" si="55"/>
        <v>0</v>
      </c>
      <c r="DH15" s="37" t="str">
        <f t="shared" si="17"/>
        <v>0</v>
      </c>
      <c r="DI15" s="37" t="str">
        <f t="shared" si="18"/>
        <v>0</v>
      </c>
      <c r="DJ15" s="37" t="str">
        <f t="shared" si="19"/>
        <v>0</v>
      </c>
      <c r="DK15" s="37" t="str">
        <f t="shared" si="20"/>
        <v>0</v>
      </c>
      <c r="DL15" s="37" t="str">
        <f t="shared" si="21"/>
        <v>0</v>
      </c>
      <c r="DM15" s="37" t="str">
        <f t="shared" si="22"/>
        <v>0</v>
      </c>
      <c r="DN15" s="37" t="str">
        <f t="shared" si="56"/>
        <v>0</v>
      </c>
      <c r="DO15" s="37" t="str">
        <f t="shared" si="57"/>
        <v>0</v>
      </c>
      <c r="DP15" s="66" t="str">
        <f t="shared" si="58"/>
        <v>0</v>
      </c>
      <c r="DQ15" s="78" t="str">
        <f t="shared" si="59"/>
        <v>0</v>
      </c>
      <c r="DR15" s="6"/>
      <c r="DS15" s="36"/>
      <c r="DT15" s="75" t="str">
        <f t="shared" si="60"/>
        <v>0</v>
      </c>
      <c r="DU15" s="18">
        <f t="shared" si="61"/>
        <v>0</v>
      </c>
      <c r="DV15" s="13" t="str">
        <f t="shared" si="62"/>
        <v>0</v>
      </c>
      <c r="DW15" s="14" t="str">
        <f t="shared" si="23"/>
        <v>0</v>
      </c>
      <c r="DX15" s="14">
        <f t="shared" si="24"/>
        <v>0</v>
      </c>
      <c r="DY15" s="14" t="str">
        <f t="shared" si="63"/>
        <v>0</v>
      </c>
      <c r="DZ15" s="15">
        <f t="shared" si="25"/>
        <v>15.336</v>
      </c>
      <c r="EA15" s="14">
        <f t="shared" si="64"/>
        <v>0.48099360180654888</v>
      </c>
      <c r="EB15" s="14">
        <f t="shared" si="26"/>
        <v>0.42857142857142855</v>
      </c>
      <c r="EC15" s="14">
        <f t="shared" si="27"/>
        <v>0.41005347593582891</v>
      </c>
      <c r="ED15" s="14">
        <f t="shared" si="65"/>
        <v>0</v>
      </c>
      <c r="EE15" s="19">
        <f t="shared" si="66"/>
        <v>0</v>
      </c>
      <c r="EF15" s="67" t="str">
        <f t="shared" si="67"/>
        <v>0</v>
      </c>
      <c r="EG15" s="74">
        <f t="shared" si="68"/>
        <v>0</v>
      </c>
      <c r="EH15" s="27">
        <f t="shared" si="69"/>
        <v>0</v>
      </c>
      <c r="EI15" s="25" t="str">
        <f t="shared" si="70"/>
        <v>0</v>
      </c>
      <c r="EJ15" s="25">
        <f t="shared" si="71"/>
        <v>0</v>
      </c>
      <c r="EK15" s="26">
        <f t="shared" si="28"/>
        <v>0</v>
      </c>
      <c r="EL15" s="29">
        <f t="shared" si="72"/>
        <v>0.75</v>
      </c>
      <c r="EM15" s="30">
        <f t="shared" si="29"/>
        <v>0.14285714285714285</v>
      </c>
      <c r="EN15" s="30">
        <f t="shared" si="30"/>
        <v>0.33333333333333331</v>
      </c>
      <c r="EO15" s="31">
        <f t="shared" si="73"/>
        <v>0</v>
      </c>
      <c r="EP15" s="31">
        <f t="shared" si="31"/>
        <v>0</v>
      </c>
      <c r="EQ15" s="31">
        <f t="shared" si="74"/>
        <v>0</v>
      </c>
      <c r="ER15" s="93" t="str">
        <f t="shared" si="32"/>
        <v>0</v>
      </c>
      <c r="ES15" s="109">
        <f t="shared" si="33"/>
        <v>70.710624671772521</v>
      </c>
      <c r="ET15" s="32">
        <f t="shared" si="34"/>
        <v>2.5393807713199346</v>
      </c>
      <c r="EV15" s="277"/>
      <c r="EW15" s="278"/>
      <c r="EX15" s="37">
        <f t="shared" si="83"/>
        <v>0</v>
      </c>
      <c r="EY15" s="72">
        <f t="shared" si="75"/>
        <v>0</v>
      </c>
      <c r="EZ15" s="7">
        <v>0.85</v>
      </c>
      <c r="FB15" s="41"/>
      <c r="FC15" s="139"/>
      <c r="FD15" s="142" t="s">
        <v>82</v>
      </c>
      <c r="FE15" s="160" t="s">
        <v>243</v>
      </c>
      <c r="FF15" s="147">
        <f t="shared" si="35"/>
        <v>0</v>
      </c>
      <c r="FG15" s="144">
        <f t="shared" si="36"/>
        <v>0</v>
      </c>
      <c r="FH15" s="419" t="s">
        <v>52</v>
      </c>
      <c r="FI15" s="145">
        <f t="shared" si="76"/>
        <v>0</v>
      </c>
      <c r="FJ15" s="194" t="str">
        <f t="shared" si="77"/>
        <v>0</v>
      </c>
      <c r="FK15" s="110">
        <f t="shared" si="37"/>
        <v>0</v>
      </c>
      <c r="FL15" s="419" t="s">
        <v>52</v>
      </c>
      <c r="FM15" s="168">
        <f t="shared" si="38"/>
        <v>0</v>
      </c>
      <c r="FN15" s="194" t="str">
        <f t="shared" si="78"/>
        <v>0</v>
      </c>
      <c r="FO15" s="262">
        <f t="shared" si="79"/>
        <v>0</v>
      </c>
      <c r="FP15" s="419" t="s">
        <v>52</v>
      </c>
      <c r="FQ15" s="274">
        <f t="shared" si="80"/>
        <v>0</v>
      </c>
      <c r="FR15" s="197" t="str">
        <f t="shared" si="81"/>
        <v>0</v>
      </c>
      <c r="FS15" s="140">
        <f t="shared" si="39"/>
        <v>0</v>
      </c>
      <c r="FT15" s="140">
        <f t="shared" si="40"/>
        <v>0</v>
      </c>
      <c r="FU15" s="140">
        <f t="shared" si="41"/>
        <v>0</v>
      </c>
      <c r="FV15" s="175">
        <f t="shared" si="41"/>
        <v>0</v>
      </c>
      <c r="FW15" s="140">
        <f t="shared" si="41"/>
        <v>0</v>
      </c>
      <c r="FX15" s="140">
        <f t="shared" si="41"/>
        <v>0</v>
      </c>
      <c r="FY15" s="140">
        <f t="shared" si="41"/>
        <v>0</v>
      </c>
      <c r="FZ15" s="140">
        <f t="shared" si="41"/>
        <v>0</v>
      </c>
      <c r="GA15" s="140">
        <f t="shared" si="41"/>
        <v>0</v>
      </c>
      <c r="GB15" s="140">
        <f t="shared" si="41"/>
        <v>0</v>
      </c>
      <c r="GC15" s="192">
        <f t="shared" si="41"/>
        <v>0</v>
      </c>
      <c r="GD15" s="202" t="str">
        <f t="shared" si="82"/>
        <v>0</v>
      </c>
      <c r="GE15" s="140" t="str">
        <f t="shared" si="82"/>
        <v>0</v>
      </c>
      <c r="GF15" s="140" t="str">
        <f t="shared" si="82"/>
        <v>0</v>
      </c>
      <c r="GG15" s="259">
        <f t="shared" si="82"/>
        <v>107.35611516381671</v>
      </c>
      <c r="GH15" s="140"/>
      <c r="GJ15" s="82"/>
      <c r="GK15" s="24"/>
      <c r="GL15" s="185">
        <f>(CQ15/CQ48)*(EY49-EX49)</f>
        <v>0</v>
      </c>
      <c r="GM15" s="185">
        <f>((E49/G49)*(1-(CJ49/(CJ49+CK48))))/((E49/G49)*(1-(CJ49/(CJ49+CK48)))+((1-(E49/G49)))*(CJ49/(CJ49+CK48)))</f>
        <v>0.48780487804878053</v>
      </c>
      <c r="GN15" s="24">
        <f>GK15+(GL15/10)+(GJ15*GM15*(1-(CJ49/(CJ49+CK48))))+(CK15*(1-GM15))</f>
        <v>0</v>
      </c>
      <c r="GO15" s="213" t="e">
        <f>GN15/(DD15*EG49)</f>
        <v>#DIV/0!</v>
      </c>
    </row>
    <row r="16" spans="1:197" x14ac:dyDescent="0.2">
      <c r="A16" s="139"/>
      <c r="B16" s="89" t="s">
        <v>82</v>
      </c>
      <c r="C16" s="41" t="s">
        <v>216</v>
      </c>
      <c r="D16" s="161">
        <v>11.016666666666667</v>
      </c>
      <c r="E16" s="114">
        <f t="shared" si="0"/>
        <v>1</v>
      </c>
      <c r="F16" s="419" t="s">
        <v>52</v>
      </c>
      <c r="G16" s="115">
        <f t="shared" si="1"/>
        <v>2</v>
      </c>
      <c r="H16" s="116" t="s">
        <v>53</v>
      </c>
      <c r="I16" s="419">
        <f t="shared" si="42"/>
        <v>1</v>
      </c>
      <c r="J16" s="115" t="s">
        <v>54</v>
      </c>
      <c r="K16" s="116">
        <f t="shared" si="2"/>
        <v>1</v>
      </c>
      <c r="L16" s="419" t="s">
        <v>52</v>
      </c>
      <c r="M16" s="115">
        <f t="shared" si="3"/>
        <v>2</v>
      </c>
      <c r="N16" s="116" t="s">
        <v>53</v>
      </c>
      <c r="O16" s="419">
        <f t="shared" si="4"/>
        <v>1</v>
      </c>
      <c r="P16" s="115" t="s">
        <v>54</v>
      </c>
      <c r="Q16" s="116">
        <f t="shared" si="5"/>
        <v>0</v>
      </c>
      <c r="R16" s="419" t="s">
        <v>52</v>
      </c>
      <c r="S16" s="115">
        <f t="shared" si="43"/>
        <v>0</v>
      </c>
      <c r="T16" s="116" t="s">
        <v>53</v>
      </c>
      <c r="U16" s="419">
        <f t="shared" si="6"/>
        <v>0</v>
      </c>
      <c r="V16" s="115" t="s">
        <v>54</v>
      </c>
      <c r="W16" s="116">
        <f t="shared" si="7"/>
        <v>0</v>
      </c>
      <c r="X16" s="419" t="s">
        <v>52</v>
      </c>
      <c r="Y16" s="115">
        <f t="shared" si="8"/>
        <v>0</v>
      </c>
      <c r="Z16" s="116" t="s">
        <v>53</v>
      </c>
      <c r="AA16" s="419">
        <f t="shared" si="9"/>
        <v>0</v>
      </c>
      <c r="AB16" s="115" t="s">
        <v>54</v>
      </c>
      <c r="AC16" s="116">
        <f t="shared" si="44"/>
        <v>0</v>
      </c>
      <c r="AD16" s="419" t="s">
        <v>52</v>
      </c>
      <c r="AE16" s="117">
        <f t="shared" si="45"/>
        <v>0</v>
      </c>
      <c r="AF16" s="420"/>
      <c r="AG16" s="114">
        <f t="shared" si="46"/>
        <v>1</v>
      </c>
      <c r="AH16" s="419" t="s">
        <v>52</v>
      </c>
      <c r="AI16" s="115">
        <f t="shared" si="10"/>
        <v>2</v>
      </c>
      <c r="AJ16" s="116" t="s">
        <v>53</v>
      </c>
      <c r="AK16" s="419">
        <f t="shared" si="11"/>
        <v>1</v>
      </c>
      <c r="AL16" s="115" t="s">
        <v>54</v>
      </c>
      <c r="AM16" s="246">
        <v>1</v>
      </c>
      <c r="AN16" s="244" t="s">
        <v>52</v>
      </c>
      <c r="AO16" s="245">
        <v>2</v>
      </c>
      <c r="AP16" s="246" t="s">
        <v>53</v>
      </c>
      <c r="AQ16" s="244">
        <v>1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0</v>
      </c>
      <c r="BB16" s="246" t="s">
        <v>53</v>
      </c>
      <c r="BC16" s="244">
        <v>0</v>
      </c>
      <c r="BD16" s="245" t="s">
        <v>54</v>
      </c>
      <c r="BE16" s="116">
        <v>0</v>
      </c>
      <c r="BF16" s="419" t="s">
        <v>52</v>
      </c>
      <c r="BG16" s="117">
        <v>0</v>
      </c>
      <c r="BH16" s="115"/>
      <c r="BI16" s="114">
        <f t="shared" si="12"/>
        <v>0</v>
      </c>
      <c r="BJ16" s="419" t="s">
        <v>52</v>
      </c>
      <c r="BK16" s="115">
        <f t="shared" si="47"/>
        <v>0</v>
      </c>
      <c r="BL16" s="116" t="s">
        <v>53</v>
      </c>
      <c r="BM16" s="419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19" t="s">
        <v>52</v>
      </c>
      <c r="CI16" s="117">
        <v>0</v>
      </c>
      <c r="CJ16" s="140">
        <v>0</v>
      </c>
      <c r="CK16" s="148">
        <f t="shared" si="48"/>
        <v>4</v>
      </c>
      <c r="CL16" s="148">
        <v>1</v>
      </c>
      <c r="CM16" s="148">
        <v>3</v>
      </c>
      <c r="CN16" s="148">
        <f t="shared" si="49"/>
        <v>4</v>
      </c>
      <c r="CO16" s="175">
        <v>3</v>
      </c>
      <c r="CP16" s="140">
        <v>2</v>
      </c>
      <c r="CQ16" s="175">
        <v>0</v>
      </c>
      <c r="CR16" s="148">
        <v>0</v>
      </c>
      <c r="CS16" s="148">
        <v>1</v>
      </c>
      <c r="CT16" s="140">
        <v>1</v>
      </c>
      <c r="CU16" s="140">
        <v>0</v>
      </c>
      <c r="CV16" s="148">
        <f t="shared" si="50"/>
        <v>2</v>
      </c>
      <c r="CW16" s="140"/>
      <c r="CX16" s="140">
        <f t="shared" si="51"/>
        <v>101.62898085964594</v>
      </c>
      <c r="CY16" s="140">
        <f t="shared" si="14"/>
        <v>0.47794514361668766</v>
      </c>
      <c r="CZ16" s="165">
        <f t="shared" si="15"/>
        <v>0.14120664999048632</v>
      </c>
      <c r="DA16" s="164">
        <f t="shared" si="16"/>
        <v>65.985015233623187</v>
      </c>
      <c r="DB16" s="141"/>
      <c r="DC16" s="141"/>
      <c r="DD16" s="77">
        <f t="shared" si="52"/>
        <v>0.7906698564593303</v>
      </c>
      <c r="DE16" s="37">
        <f t="shared" si="53"/>
        <v>0.5</v>
      </c>
      <c r="DF16" s="37" t="str">
        <f t="shared" si="54"/>
        <v>0</v>
      </c>
      <c r="DG16" s="37">
        <f t="shared" si="55"/>
        <v>0.5</v>
      </c>
      <c r="DH16" s="37">
        <f t="shared" si="17"/>
        <v>0</v>
      </c>
      <c r="DI16" s="37">
        <f t="shared" si="18"/>
        <v>0.36135725091852167</v>
      </c>
      <c r="DJ16" s="37">
        <f t="shared" si="19"/>
        <v>0</v>
      </c>
      <c r="DK16" s="37">
        <f t="shared" si="20"/>
        <v>4.78242188756315E-2</v>
      </c>
      <c r="DL16" s="37">
        <f t="shared" si="21"/>
        <v>0.27101793818889125</v>
      </c>
      <c r="DM16" s="37">
        <f t="shared" si="22"/>
        <v>0.23912109437815748</v>
      </c>
      <c r="DN16" s="37">
        <f t="shared" si="56"/>
        <v>0.33868248328852513</v>
      </c>
      <c r="DO16" s="37">
        <f t="shared" si="57"/>
        <v>3</v>
      </c>
      <c r="DP16" s="66">
        <f t="shared" si="58"/>
        <v>0</v>
      </c>
      <c r="DQ16" s="78">
        <f t="shared" si="59"/>
        <v>0</v>
      </c>
      <c r="DR16" s="6"/>
      <c r="DS16" s="36"/>
      <c r="DT16" s="75">
        <f t="shared" si="60"/>
        <v>19.023812405446293</v>
      </c>
      <c r="DU16" s="18">
        <f t="shared" si="61"/>
        <v>1.411189439075667</v>
      </c>
      <c r="DV16" s="13">
        <f t="shared" si="62"/>
        <v>0.89002926517949044</v>
      </c>
      <c r="DW16" s="14">
        <f t="shared" si="23"/>
        <v>0.43988293928203842</v>
      </c>
      <c r="DX16" s="14">
        <f t="shared" si="24"/>
        <v>0.70588235294117641</v>
      </c>
      <c r="DY16" s="14" t="str">
        <f t="shared" si="63"/>
        <v>0</v>
      </c>
      <c r="DZ16" s="15">
        <f t="shared" si="25"/>
        <v>15.336</v>
      </c>
      <c r="EA16" s="14">
        <f t="shared" si="64"/>
        <v>0.48099360180654888</v>
      </c>
      <c r="EB16" s="14">
        <f t="shared" si="26"/>
        <v>0.42857142857142855</v>
      </c>
      <c r="EC16" s="14">
        <f t="shared" si="27"/>
        <v>0.41005347593582891</v>
      </c>
      <c r="ED16" s="14">
        <f t="shared" si="65"/>
        <v>0</v>
      </c>
      <c r="EE16" s="19">
        <f t="shared" si="66"/>
        <v>0.54142857142857137</v>
      </c>
      <c r="EF16" s="67" t="str">
        <f t="shared" si="67"/>
        <v>0</v>
      </c>
      <c r="EG16" s="74">
        <f t="shared" si="68"/>
        <v>2.9526180105042386</v>
      </c>
      <c r="EH16" s="27">
        <f t="shared" si="69"/>
        <v>3.0007155927538114</v>
      </c>
      <c r="EI16" s="25">
        <f t="shared" si="70"/>
        <v>1.7800585303589809</v>
      </c>
      <c r="EJ16" s="25">
        <f t="shared" si="71"/>
        <v>1.6134453781512605</v>
      </c>
      <c r="EK16" s="26">
        <f t="shared" si="28"/>
        <v>0</v>
      </c>
      <c r="EL16" s="29">
        <f t="shared" si="72"/>
        <v>0.75</v>
      </c>
      <c r="EM16" s="30">
        <f t="shared" si="29"/>
        <v>0.14285714285714285</v>
      </c>
      <c r="EN16" s="30">
        <f t="shared" si="30"/>
        <v>0.33333333333333331</v>
      </c>
      <c r="EO16" s="31">
        <f t="shared" si="73"/>
        <v>2</v>
      </c>
      <c r="EP16" s="31">
        <f t="shared" si="31"/>
        <v>1.4066016746411485</v>
      </c>
      <c r="EQ16" s="31">
        <f t="shared" si="74"/>
        <v>3.4066016746411485</v>
      </c>
      <c r="ER16" s="93">
        <f t="shared" si="32"/>
        <v>0.81459032055065528</v>
      </c>
      <c r="ES16" s="109">
        <f t="shared" si="33"/>
        <v>70.710624671772521</v>
      </c>
      <c r="ET16" s="32">
        <f t="shared" si="34"/>
        <v>2.5393807713199346</v>
      </c>
      <c r="EV16" s="277"/>
      <c r="EW16" s="278"/>
      <c r="EX16" s="37">
        <f t="shared" si="83"/>
        <v>0</v>
      </c>
      <c r="EY16" s="72">
        <f t="shared" si="75"/>
        <v>0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5"/>
        <v>11.016666666666667</v>
      </c>
      <c r="FG16" s="182">
        <f t="shared" si="36"/>
        <v>1</v>
      </c>
      <c r="FH16" s="183" t="s">
        <v>52</v>
      </c>
      <c r="FI16" s="184">
        <f t="shared" si="76"/>
        <v>2</v>
      </c>
      <c r="FJ16" s="193">
        <f t="shared" si="77"/>
        <v>0.5</v>
      </c>
      <c r="FK16" s="185">
        <f t="shared" si="37"/>
        <v>0</v>
      </c>
      <c r="FL16" s="183" t="s">
        <v>52</v>
      </c>
      <c r="FM16" s="186">
        <f t="shared" si="38"/>
        <v>0</v>
      </c>
      <c r="FN16" s="193" t="str">
        <f t="shared" si="78"/>
        <v>0</v>
      </c>
      <c r="FO16" s="261">
        <f t="shared" si="79"/>
        <v>0</v>
      </c>
      <c r="FP16" s="183" t="s">
        <v>52</v>
      </c>
      <c r="FQ16" s="268">
        <f t="shared" si="80"/>
        <v>0</v>
      </c>
      <c r="FR16" s="196" t="str">
        <f t="shared" si="81"/>
        <v>0</v>
      </c>
      <c r="FS16" s="179">
        <f t="shared" si="39"/>
        <v>0</v>
      </c>
      <c r="FT16" s="179">
        <f t="shared" si="40"/>
        <v>4</v>
      </c>
      <c r="FU16" s="179">
        <f t="shared" si="41"/>
        <v>4</v>
      </c>
      <c r="FV16" s="187">
        <f t="shared" si="41"/>
        <v>3</v>
      </c>
      <c r="FW16" s="179">
        <f t="shared" si="41"/>
        <v>2</v>
      </c>
      <c r="FX16" s="179">
        <f t="shared" si="41"/>
        <v>0</v>
      </c>
      <c r="FY16" s="179">
        <f t="shared" si="41"/>
        <v>0</v>
      </c>
      <c r="FZ16" s="179">
        <f t="shared" si="41"/>
        <v>1</v>
      </c>
      <c r="GA16" s="179">
        <f t="shared" si="41"/>
        <v>1</v>
      </c>
      <c r="GB16" s="179">
        <f t="shared" si="41"/>
        <v>0</v>
      </c>
      <c r="GC16" s="191">
        <f t="shared" si="41"/>
        <v>2</v>
      </c>
      <c r="GD16" s="203">
        <f t="shared" si="82"/>
        <v>101.62898085964594</v>
      </c>
      <c r="GE16" s="179">
        <f t="shared" si="82"/>
        <v>0.47794514361668766</v>
      </c>
      <c r="GF16" s="179">
        <f t="shared" si="82"/>
        <v>0.14120664999048632</v>
      </c>
      <c r="GG16" s="258">
        <f t="shared" si="82"/>
        <v>65.985015233623187</v>
      </c>
      <c r="GH16" s="179"/>
      <c r="GJ16" s="82"/>
      <c r="GK16" s="24"/>
      <c r="GL16" s="185">
        <f>(CQ16/CQ50)*(EY51-EX51)</f>
        <v>0</v>
      </c>
      <c r="GM16" s="185">
        <f>((E51/G51)*(1-(CJ51/(CJ51+CK50))))/((E51/G51)*(1-(CJ51/(CJ51+CK50)))+((1-(E51/G51)))*(CJ51/(CJ51+CK50)))</f>
        <v>0.75</v>
      </c>
      <c r="GN16" s="24">
        <f>GK16+(GL16/10)+(GJ16*GM16*(1-(CJ51/(CJ51+CK50))))+(CK16*(1-GM16))</f>
        <v>1</v>
      </c>
      <c r="GO16" s="213">
        <f>GN16/(DD16*EG51)</f>
        <v>6.1387188355354838E-2</v>
      </c>
    </row>
    <row r="17" spans="1:197" x14ac:dyDescent="0.2">
      <c r="A17" s="139"/>
      <c r="B17" s="430" t="s">
        <v>117</v>
      </c>
      <c r="C17" s="431" t="s">
        <v>217</v>
      </c>
      <c r="D17" s="161">
        <v>11.483333333333333</v>
      </c>
      <c r="E17" s="114">
        <f t="shared" si="0"/>
        <v>0</v>
      </c>
      <c r="F17" s="419" t="s">
        <v>52</v>
      </c>
      <c r="G17" s="115">
        <f t="shared" si="1"/>
        <v>4</v>
      </c>
      <c r="H17" s="116" t="s">
        <v>53</v>
      </c>
      <c r="I17" s="419">
        <f t="shared" si="42"/>
        <v>0</v>
      </c>
      <c r="J17" s="115" t="s">
        <v>54</v>
      </c>
      <c r="K17" s="116">
        <f t="shared" si="2"/>
        <v>0</v>
      </c>
      <c r="L17" s="419" t="s">
        <v>52</v>
      </c>
      <c r="M17" s="115">
        <f t="shared" si="3"/>
        <v>0</v>
      </c>
      <c r="N17" s="116" t="s">
        <v>53</v>
      </c>
      <c r="O17" s="419">
        <f t="shared" si="4"/>
        <v>0</v>
      </c>
      <c r="P17" s="115" t="s">
        <v>54</v>
      </c>
      <c r="Q17" s="116">
        <f t="shared" si="5"/>
        <v>0</v>
      </c>
      <c r="R17" s="419" t="s">
        <v>52</v>
      </c>
      <c r="S17" s="115">
        <f t="shared" si="43"/>
        <v>2</v>
      </c>
      <c r="T17" s="116" t="s">
        <v>53</v>
      </c>
      <c r="U17" s="419">
        <f t="shared" si="6"/>
        <v>0</v>
      </c>
      <c r="V17" s="115" t="s">
        <v>54</v>
      </c>
      <c r="W17" s="116">
        <f t="shared" si="7"/>
        <v>0</v>
      </c>
      <c r="X17" s="419" t="s">
        <v>52</v>
      </c>
      <c r="Y17" s="115">
        <f t="shared" si="8"/>
        <v>2</v>
      </c>
      <c r="Z17" s="116" t="s">
        <v>53</v>
      </c>
      <c r="AA17" s="419">
        <f t="shared" si="9"/>
        <v>0</v>
      </c>
      <c r="AB17" s="115" t="s">
        <v>54</v>
      </c>
      <c r="AC17" s="116">
        <f t="shared" si="44"/>
        <v>0</v>
      </c>
      <c r="AD17" s="419" t="s">
        <v>52</v>
      </c>
      <c r="AE17" s="117">
        <f t="shared" si="45"/>
        <v>0</v>
      </c>
      <c r="AF17" s="420"/>
      <c r="AG17" s="114">
        <f t="shared" si="46"/>
        <v>0</v>
      </c>
      <c r="AH17" s="419" t="s">
        <v>52</v>
      </c>
      <c r="AI17" s="115">
        <f t="shared" si="10"/>
        <v>3</v>
      </c>
      <c r="AJ17" s="116" t="s">
        <v>53</v>
      </c>
      <c r="AK17" s="419">
        <f t="shared" si="11"/>
        <v>0</v>
      </c>
      <c r="AL17" s="115" t="s">
        <v>54</v>
      </c>
      <c r="AM17" s="246">
        <v>0</v>
      </c>
      <c r="AN17" s="244" t="s">
        <v>52</v>
      </c>
      <c r="AO17" s="245">
        <v>0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2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1</v>
      </c>
      <c r="BB17" s="246" t="s">
        <v>53</v>
      </c>
      <c r="BC17" s="244">
        <v>0</v>
      </c>
      <c r="BD17" s="245" t="s">
        <v>54</v>
      </c>
      <c r="BE17" s="116">
        <v>0</v>
      </c>
      <c r="BF17" s="419" t="s">
        <v>52</v>
      </c>
      <c r="BG17" s="117">
        <v>0</v>
      </c>
      <c r="BH17" s="115"/>
      <c r="BI17" s="114">
        <f t="shared" si="12"/>
        <v>0</v>
      </c>
      <c r="BJ17" s="419" t="s">
        <v>52</v>
      </c>
      <c r="BK17" s="115">
        <f t="shared" si="47"/>
        <v>1</v>
      </c>
      <c r="BL17" s="116" t="s">
        <v>53</v>
      </c>
      <c r="BM17" s="419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1</v>
      </c>
      <c r="CD17" s="246" t="s">
        <v>53</v>
      </c>
      <c r="CE17" s="244">
        <v>0</v>
      </c>
      <c r="CF17" s="245" t="s">
        <v>54</v>
      </c>
      <c r="CG17" s="116">
        <v>0</v>
      </c>
      <c r="CH17" s="419" t="s">
        <v>52</v>
      </c>
      <c r="CI17" s="117">
        <v>0</v>
      </c>
      <c r="CJ17" s="140">
        <v>1</v>
      </c>
      <c r="CK17" s="148">
        <f t="shared" si="48"/>
        <v>2</v>
      </c>
      <c r="CL17" s="148">
        <v>1</v>
      </c>
      <c r="CM17" s="148">
        <v>1</v>
      </c>
      <c r="CN17" s="148">
        <f t="shared" si="49"/>
        <v>3</v>
      </c>
      <c r="CO17" s="175">
        <v>0</v>
      </c>
      <c r="CP17" s="140">
        <v>1</v>
      </c>
      <c r="CQ17" s="175">
        <v>0</v>
      </c>
      <c r="CR17" s="148">
        <v>0</v>
      </c>
      <c r="CS17" s="148">
        <v>0</v>
      </c>
      <c r="CT17" s="140">
        <v>0</v>
      </c>
      <c r="CU17" s="140">
        <v>0</v>
      </c>
      <c r="CV17" s="148">
        <f t="shared" si="50"/>
        <v>0</v>
      </c>
      <c r="CW17" s="140"/>
      <c r="CX17" s="140">
        <f t="shared" si="51"/>
        <v>15.337364874957135</v>
      </c>
      <c r="CY17" s="140">
        <f t="shared" si="14"/>
        <v>6.0398050769617302E-2</v>
      </c>
      <c r="CZ17" s="165">
        <f t="shared" si="15"/>
        <v>0.21238934009950891</v>
      </c>
      <c r="DA17" s="164">
        <f t="shared" si="16"/>
        <v>153.71489559106561</v>
      </c>
      <c r="DB17" s="141"/>
      <c r="DC17" s="141"/>
      <c r="DD17" s="77">
        <f t="shared" si="52"/>
        <v>0.82416267942583732</v>
      </c>
      <c r="DE17" s="37">
        <f t="shared" si="53"/>
        <v>0</v>
      </c>
      <c r="DF17" s="37">
        <f t="shared" si="54"/>
        <v>0</v>
      </c>
      <c r="DG17" s="37">
        <f t="shared" si="55"/>
        <v>0</v>
      </c>
      <c r="DH17" s="37">
        <f t="shared" si="17"/>
        <v>8.6668048932199884E-2</v>
      </c>
      <c r="DI17" s="37">
        <f t="shared" si="18"/>
        <v>0.11555739857626648</v>
      </c>
      <c r="DJ17" s="37">
        <f t="shared" si="19"/>
        <v>0</v>
      </c>
      <c r="DK17" s="37">
        <f t="shared" si="20"/>
        <v>0</v>
      </c>
      <c r="DL17" s="37">
        <f t="shared" si="21"/>
        <v>0</v>
      </c>
      <c r="DM17" s="37">
        <f t="shared" si="22"/>
        <v>5.8892498552815038E-2</v>
      </c>
      <c r="DN17" s="37">
        <f t="shared" si="56"/>
        <v>0</v>
      </c>
      <c r="DO17" s="37" t="str">
        <f t="shared" si="57"/>
        <v>0</v>
      </c>
      <c r="DP17" s="66">
        <f t="shared" si="58"/>
        <v>0</v>
      </c>
      <c r="DQ17" s="78">
        <f t="shared" si="59"/>
        <v>0</v>
      </c>
      <c r="DR17" s="6"/>
      <c r="DS17" s="36"/>
      <c r="DT17" s="75">
        <f t="shared" si="60"/>
        <v>-7.6768650217706824</v>
      </c>
      <c r="DU17" s="18">
        <f t="shared" si="61"/>
        <v>0.21781894912730759</v>
      </c>
      <c r="DV17" s="13">
        <f t="shared" si="62"/>
        <v>0</v>
      </c>
      <c r="DW17" s="14">
        <f t="shared" si="23"/>
        <v>0.79670198222829802</v>
      </c>
      <c r="DX17" s="14">
        <f t="shared" si="24"/>
        <v>0</v>
      </c>
      <c r="DY17" s="14" t="str">
        <f t="shared" si="63"/>
        <v>0</v>
      </c>
      <c r="DZ17" s="15">
        <f t="shared" si="25"/>
        <v>7.3639999999999999</v>
      </c>
      <c r="EA17" s="14">
        <f t="shared" si="64"/>
        <v>0.72172492649460962</v>
      </c>
      <c r="EB17" s="14">
        <f t="shared" si="26"/>
        <v>0.14285714285714285</v>
      </c>
      <c r="EC17" s="14">
        <f t="shared" si="27"/>
        <v>0.30180327868852458</v>
      </c>
      <c r="ED17" s="14">
        <f t="shared" si="65"/>
        <v>0.21781894912730759</v>
      </c>
      <c r="EE17" s="19">
        <f t="shared" si="66"/>
        <v>3.3885714285714288</v>
      </c>
      <c r="EF17" s="67" t="str">
        <f t="shared" si="67"/>
        <v>0</v>
      </c>
      <c r="EG17" s="74">
        <f t="shared" si="68"/>
        <v>3.6063903776987365</v>
      </c>
      <c r="EH17" s="27">
        <f t="shared" si="69"/>
        <v>0.55312525104299992</v>
      </c>
      <c r="EI17" s="25">
        <f t="shared" si="70"/>
        <v>0</v>
      </c>
      <c r="EJ17" s="25">
        <f t="shared" si="71"/>
        <v>0</v>
      </c>
      <c r="EK17" s="26">
        <f t="shared" si="28"/>
        <v>0.55312525104299992</v>
      </c>
      <c r="EL17" s="29">
        <f t="shared" si="72"/>
        <v>0.48780487804878053</v>
      </c>
      <c r="EM17" s="30">
        <f t="shared" si="29"/>
        <v>0.42857142857142855</v>
      </c>
      <c r="EN17" s="30">
        <f t="shared" si="30"/>
        <v>0.41666666666666669</v>
      </c>
      <c r="EO17" s="31">
        <f t="shared" si="73"/>
        <v>1.024390243902439</v>
      </c>
      <c r="EP17" s="31">
        <f t="shared" si="31"/>
        <v>0.91421752829968483</v>
      </c>
      <c r="EQ17" s="31">
        <f t="shared" si="74"/>
        <v>1.9386077722021238</v>
      </c>
      <c r="ER17" s="93">
        <f t="shared" si="32"/>
        <v>0.57084727709444794</v>
      </c>
      <c r="ES17" s="109">
        <f t="shared" si="33"/>
        <v>167.93801794258121</v>
      </c>
      <c r="ET17" s="32">
        <f t="shared" si="34"/>
        <v>2.2561293688054254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39"/>
      <c r="FD17" s="142" t="s">
        <v>82</v>
      </c>
      <c r="FE17" s="160" t="s">
        <v>245</v>
      </c>
      <c r="FF17" s="147">
        <f t="shared" si="35"/>
        <v>11.483333333333333</v>
      </c>
      <c r="FG17" s="144">
        <f t="shared" si="36"/>
        <v>0</v>
      </c>
      <c r="FH17" s="419"/>
      <c r="FI17" s="145">
        <f t="shared" si="76"/>
        <v>4</v>
      </c>
      <c r="FJ17" s="194">
        <f t="shared" si="77"/>
        <v>0</v>
      </c>
      <c r="FK17" s="110">
        <f t="shared" si="37"/>
        <v>0</v>
      </c>
      <c r="FL17" s="419"/>
      <c r="FM17" s="168">
        <f t="shared" si="38"/>
        <v>2</v>
      </c>
      <c r="FN17" s="194">
        <f t="shared" si="78"/>
        <v>0</v>
      </c>
      <c r="FO17" s="262">
        <f t="shared" si="79"/>
        <v>0</v>
      </c>
      <c r="FP17" s="419"/>
      <c r="FQ17" s="274">
        <f t="shared" si="80"/>
        <v>0</v>
      </c>
      <c r="FR17" s="197" t="str">
        <f t="shared" si="81"/>
        <v>0</v>
      </c>
      <c r="FS17" s="140">
        <f t="shared" si="39"/>
        <v>1</v>
      </c>
      <c r="FT17" s="140">
        <f t="shared" si="40"/>
        <v>2</v>
      </c>
      <c r="FU17" s="140">
        <f t="shared" si="41"/>
        <v>3</v>
      </c>
      <c r="FV17" s="175">
        <f t="shared" si="41"/>
        <v>0</v>
      </c>
      <c r="FW17" s="140">
        <f t="shared" si="41"/>
        <v>1</v>
      </c>
      <c r="FX17" s="140">
        <f t="shared" si="41"/>
        <v>0</v>
      </c>
      <c r="FY17" s="140">
        <f t="shared" si="41"/>
        <v>0</v>
      </c>
      <c r="FZ17" s="140">
        <f t="shared" si="41"/>
        <v>0</v>
      </c>
      <c r="GA17" s="140">
        <f t="shared" si="41"/>
        <v>0</v>
      </c>
      <c r="GB17" s="140">
        <f t="shared" si="41"/>
        <v>0</v>
      </c>
      <c r="GC17" s="192">
        <f t="shared" si="41"/>
        <v>0</v>
      </c>
      <c r="GD17" s="202">
        <f t="shared" si="82"/>
        <v>15.337364874957135</v>
      </c>
      <c r="GE17" s="140">
        <f t="shared" si="82"/>
        <v>6.0398050769617302E-2</v>
      </c>
      <c r="GF17" s="140">
        <f t="shared" si="82"/>
        <v>0.21238934009950891</v>
      </c>
      <c r="GG17" s="259">
        <f t="shared" si="82"/>
        <v>153.71489559106561</v>
      </c>
      <c r="GH17" s="140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82</v>
      </c>
      <c r="C18" s="41" t="s">
        <v>218</v>
      </c>
      <c r="D18" s="161">
        <v>9.4166666666666661</v>
      </c>
      <c r="E18" s="114">
        <f t="shared" si="0"/>
        <v>3</v>
      </c>
      <c r="F18" s="419" t="s">
        <v>52</v>
      </c>
      <c r="G18" s="115">
        <f t="shared" si="1"/>
        <v>5</v>
      </c>
      <c r="H18" s="116" t="s">
        <v>53</v>
      </c>
      <c r="I18" s="419">
        <f t="shared" si="42"/>
        <v>2</v>
      </c>
      <c r="J18" s="115" t="s">
        <v>54</v>
      </c>
      <c r="K18" s="116">
        <f t="shared" si="2"/>
        <v>1</v>
      </c>
      <c r="L18" s="419" t="s">
        <v>52</v>
      </c>
      <c r="M18" s="115">
        <f t="shared" si="3"/>
        <v>1</v>
      </c>
      <c r="N18" s="116" t="s">
        <v>53</v>
      </c>
      <c r="O18" s="419">
        <f t="shared" si="4"/>
        <v>0</v>
      </c>
      <c r="P18" s="115" t="s">
        <v>54</v>
      </c>
      <c r="Q18" s="116">
        <f t="shared" si="5"/>
        <v>0</v>
      </c>
      <c r="R18" s="419" t="s">
        <v>52</v>
      </c>
      <c r="S18" s="115">
        <f t="shared" si="43"/>
        <v>1</v>
      </c>
      <c r="T18" s="116" t="s">
        <v>53</v>
      </c>
      <c r="U18" s="419">
        <f t="shared" si="6"/>
        <v>0</v>
      </c>
      <c r="V18" s="115" t="s">
        <v>54</v>
      </c>
      <c r="W18" s="116">
        <f t="shared" si="7"/>
        <v>2</v>
      </c>
      <c r="X18" s="419" t="s">
        <v>52</v>
      </c>
      <c r="Y18" s="115">
        <f t="shared" si="8"/>
        <v>3</v>
      </c>
      <c r="Z18" s="116" t="s">
        <v>53</v>
      </c>
      <c r="AA18" s="419">
        <f t="shared" si="9"/>
        <v>2</v>
      </c>
      <c r="AB18" s="115" t="s">
        <v>54</v>
      </c>
      <c r="AC18" s="116">
        <f t="shared" si="44"/>
        <v>0</v>
      </c>
      <c r="AD18" s="419" t="s">
        <v>52</v>
      </c>
      <c r="AE18" s="117">
        <f t="shared" si="45"/>
        <v>0</v>
      </c>
      <c r="AF18" s="420"/>
      <c r="AG18" s="114">
        <f>IFERROR(AM18+AS18+AY18,"0")</f>
        <v>1</v>
      </c>
      <c r="AH18" s="419" t="s">
        <v>52</v>
      </c>
      <c r="AI18" s="115">
        <f t="shared" si="10"/>
        <v>3</v>
      </c>
      <c r="AJ18" s="116" t="s">
        <v>53</v>
      </c>
      <c r="AK18" s="419">
        <f t="shared" si="11"/>
        <v>0</v>
      </c>
      <c r="AL18" s="115" t="s">
        <v>54</v>
      </c>
      <c r="AM18" s="246">
        <v>1</v>
      </c>
      <c r="AN18" s="244" t="s">
        <v>52</v>
      </c>
      <c r="AO18" s="245">
        <v>1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1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1</v>
      </c>
      <c r="BB18" s="246" t="s">
        <v>53</v>
      </c>
      <c r="BC18" s="244">
        <v>0</v>
      </c>
      <c r="BD18" s="245" t="s">
        <v>54</v>
      </c>
      <c r="BE18" s="116">
        <v>0</v>
      </c>
      <c r="BF18" s="419" t="s">
        <v>52</v>
      </c>
      <c r="BG18" s="117">
        <v>0</v>
      </c>
      <c r="BH18" s="115"/>
      <c r="BI18" s="114">
        <f t="shared" si="12"/>
        <v>2</v>
      </c>
      <c r="BJ18" s="419" t="s">
        <v>52</v>
      </c>
      <c r="BK18" s="115">
        <f t="shared" si="47"/>
        <v>2</v>
      </c>
      <c r="BL18" s="116" t="s">
        <v>53</v>
      </c>
      <c r="BM18" s="419">
        <f t="shared" si="13"/>
        <v>2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2</v>
      </c>
      <c r="CB18" s="244" t="s">
        <v>52</v>
      </c>
      <c r="CC18" s="245">
        <v>2</v>
      </c>
      <c r="CD18" s="246" t="s">
        <v>53</v>
      </c>
      <c r="CE18" s="244">
        <v>2</v>
      </c>
      <c r="CF18" s="245" t="s">
        <v>54</v>
      </c>
      <c r="CG18" s="116">
        <v>0</v>
      </c>
      <c r="CH18" s="419" t="s">
        <v>52</v>
      </c>
      <c r="CI18" s="117">
        <v>0</v>
      </c>
      <c r="CJ18" s="140">
        <v>0</v>
      </c>
      <c r="CK18" s="148">
        <f t="shared" si="48"/>
        <v>1</v>
      </c>
      <c r="CL18" s="148">
        <v>0</v>
      </c>
      <c r="CM18" s="148">
        <v>1</v>
      </c>
      <c r="CN18" s="148">
        <f t="shared" si="49"/>
        <v>1</v>
      </c>
      <c r="CO18" s="175">
        <v>3</v>
      </c>
      <c r="CP18" s="140">
        <v>0</v>
      </c>
      <c r="CQ18" s="175">
        <v>0</v>
      </c>
      <c r="CR18" s="148">
        <v>0</v>
      </c>
      <c r="CS18" s="148">
        <v>0</v>
      </c>
      <c r="CT18" s="140">
        <v>0</v>
      </c>
      <c r="CU18" s="140">
        <v>0</v>
      </c>
      <c r="CV18" s="148">
        <f t="shared" si="50"/>
        <v>8</v>
      </c>
      <c r="CW18" s="140"/>
      <c r="CX18" s="140">
        <f t="shared" si="51"/>
        <v>183.71322710561338</v>
      </c>
      <c r="CY18" s="140">
        <f t="shared" si="14"/>
        <v>0.71625280508989708</v>
      </c>
      <c r="CZ18" s="165">
        <f t="shared" si="15"/>
        <v>0.21352094641754074</v>
      </c>
      <c r="DA18" s="164">
        <f t="shared" si="16"/>
        <v>86.72183014993368</v>
      </c>
      <c r="DB18" s="141"/>
      <c r="DC18" s="141"/>
      <c r="DD18" s="77">
        <f t="shared" si="52"/>
        <v>0.67583732057416268</v>
      </c>
      <c r="DE18" s="37">
        <f t="shared" si="53"/>
        <v>0.6</v>
      </c>
      <c r="DF18" s="37">
        <f t="shared" si="54"/>
        <v>0.66666666666666663</v>
      </c>
      <c r="DG18" s="37">
        <f t="shared" si="55"/>
        <v>0.8</v>
      </c>
      <c r="DH18" s="37">
        <f t="shared" si="17"/>
        <v>0</v>
      </c>
      <c r="DI18" s="37">
        <f t="shared" si="18"/>
        <v>0.1056890012642225</v>
      </c>
      <c r="DJ18" s="37">
        <f t="shared" si="19"/>
        <v>0</v>
      </c>
      <c r="DK18" s="37">
        <f t="shared" si="20"/>
        <v>0</v>
      </c>
      <c r="DL18" s="37">
        <f t="shared" si="21"/>
        <v>0.36991150442477877</v>
      </c>
      <c r="DM18" s="37">
        <f t="shared" si="22"/>
        <v>0.16785031155818986</v>
      </c>
      <c r="DN18" s="37">
        <f t="shared" si="56"/>
        <v>0</v>
      </c>
      <c r="DO18" s="37" t="str">
        <f t="shared" si="57"/>
        <v>0</v>
      </c>
      <c r="DP18" s="66">
        <f t="shared" si="58"/>
        <v>0</v>
      </c>
      <c r="DQ18" s="78">
        <f t="shared" si="59"/>
        <v>0</v>
      </c>
      <c r="DR18" s="6"/>
      <c r="DS18" s="36"/>
      <c r="DT18" s="75">
        <f t="shared" si="60"/>
        <v>42.64800000000001</v>
      </c>
      <c r="DU18" s="18">
        <f t="shared" si="61"/>
        <v>2.7334172107984576</v>
      </c>
      <c r="DV18" s="13">
        <f t="shared" si="62"/>
        <v>2.46218438733609</v>
      </c>
      <c r="DW18" s="14">
        <f t="shared" si="23"/>
        <v>0.4481796772199248</v>
      </c>
      <c r="DX18" s="14">
        <f t="shared" si="24"/>
        <v>0.62903225806451613</v>
      </c>
      <c r="DY18" s="14" t="str">
        <f t="shared" si="63"/>
        <v>0</v>
      </c>
      <c r="DZ18" s="15">
        <f t="shared" si="25"/>
        <v>15.336</v>
      </c>
      <c r="EA18" s="14">
        <f t="shared" si="64"/>
        <v>0.48099360180654888</v>
      </c>
      <c r="EB18" s="14">
        <f t="shared" si="26"/>
        <v>0.42857142857142855</v>
      </c>
      <c r="EC18" s="14">
        <f t="shared" si="27"/>
        <v>0.41005347593582891</v>
      </c>
      <c r="ED18" s="14">
        <f t="shared" si="65"/>
        <v>0</v>
      </c>
      <c r="EE18" s="19">
        <f t="shared" si="66"/>
        <v>1.0828571428571427</v>
      </c>
      <c r="EF18" s="67" t="str">
        <f t="shared" si="67"/>
        <v>0</v>
      </c>
      <c r="EG18" s="74">
        <f t="shared" si="68"/>
        <v>3.8162743536556003</v>
      </c>
      <c r="EH18" s="27">
        <f t="shared" si="69"/>
        <v>7.0110007703045918</v>
      </c>
      <c r="EI18" s="25">
        <f t="shared" si="70"/>
        <v>6.5658250328962406</v>
      </c>
      <c r="EJ18" s="25">
        <f t="shared" si="71"/>
        <v>1.3629032258064515</v>
      </c>
      <c r="EK18" s="26">
        <f t="shared" si="28"/>
        <v>0</v>
      </c>
      <c r="EL18" s="29">
        <f t="shared" si="72"/>
        <v>0.75</v>
      </c>
      <c r="EM18" s="30">
        <f t="shared" si="29"/>
        <v>0.14285714285714285</v>
      </c>
      <c r="EN18" s="30">
        <f t="shared" si="30"/>
        <v>0.33333333333333331</v>
      </c>
      <c r="EO18" s="31">
        <f t="shared" si="73"/>
        <v>0.25</v>
      </c>
      <c r="EP18" s="31">
        <f t="shared" si="31"/>
        <v>1.2023145933014354</v>
      </c>
      <c r="EQ18" s="31">
        <f t="shared" si="74"/>
        <v>1.4523145933014354</v>
      </c>
      <c r="ER18" s="93">
        <f t="shared" si="32"/>
        <v>0.40628576161025282</v>
      </c>
      <c r="ES18" s="109">
        <f t="shared" si="33"/>
        <v>70.710624671772521</v>
      </c>
      <c r="ET18" s="32">
        <f t="shared" si="34"/>
        <v>2.5393807713199346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5"/>
        <v>9.4166666666666661</v>
      </c>
      <c r="FG18" s="182">
        <f t="shared" si="36"/>
        <v>3</v>
      </c>
      <c r="FH18" s="183" t="s">
        <v>52</v>
      </c>
      <c r="FI18" s="184">
        <f t="shared" si="76"/>
        <v>5</v>
      </c>
      <c r="FJ18" s="193">
        <f t="shared" si="77"/>
        <v>0.6</v>
      </c>
      <c r="FK18" s="185">
        <f t="shared" si="37"/>
        <v>2</v>
      </c>
      <c r="FL18" s="183" t="s">
        <v>52</v>
      </c>
      <c r="FM18" s="186">
        <f t="shared" si="38"/>
        <v>3</v>
      </c>
      <c r="FN18" s="193">
        <f t="shared" si="78"/>
        <v>0.66666666666666663</v>
      </c>
      <c r="FO18" s="261">
        <f t="shared" si="79"/>
        <v>0</v>
      </c>
      <c r="FP18" s="183" t="s">
        <v>52</v>
      </c>
      <c r="FQ18" s="268">
        <f>EW18</f>
        <v>0</v>
      </c>
      <c r="FR18" s="196" t="str">
        <f t="shared" si="81"/>
        <v>0</v>
      </c>
      <c r="FS18" s="179">
        <f t="shared" si="39"/>
        <v>0</v>
      </c>
      <c r="FT18" s="179">
        <f t="shared" si="40"/>
        <v>1</v>
      </c>
      <c r="FU18" s="179">
        <f t="shared" si="41"/>
        <v>1</v>
      </c>
      <c r="FV18" s="187">
        <f t="shared" si="41"/>
        <v>3</v>
      </c>
      <c r="FW18" s="179">
        <f t="shared" si="41"/>
        <v>0</v>
      </c>
      <c r="FX18" s="179">
        <f t="shared" si="41"/>
        <v>0</v>
      </c>
      <c r="FY18" s="179">
        <f t="shared" si="41"/>
        <v>0</v>
      </c>
      <c r="FZ18" s="179">
        <f t="shared" si="41"/>
        <v>0</v>
      </c>
      <c r="GA18" s="179">
        <f t="shared" si="41"/>
        <v>0</v>
      </c>
      <c r="GB18" s="179">
        <f t="shared" si="41"/>
        <v>0</v>
      </c>
      <c r="GC18" s="191">
        <f t="shared" si="41"/>
        <v>8</v>
      </c>
      <c r="GD18" s="203">
        <f t="shared" si="82"/>
        <v>183.71322710561338</v>
      </c>
      <c r="GE18" s="179">
        <f t="shared" si="82"/>
        <v>0.71625280508989708</v>
      </c>
      <c r="GF18" s="179">
        <f t="shared" si="82"/>
        <v>0.21352094641754074</v>
      </c>
      <c r="GG18" s="258">
        <f t="shared" si="82"/>
        <v>86.72183014993368</v>
      </c>
      <c r="GH18" s="179"/>
      <c r="GJ18" s="82"/>
      <c r="GK18" s="24"/>
      <c r="GL18" s="185">
        <f>(CQ18/CQ51)*(EY52-EX52)</f>
        <v>0</v>
      </c>
      <c r="GM18" s="185">
        <f>((E53/G53)*(1-(CJ53/(CJ53+CK52))))/((E53/G53)*(1-(CJ53/(CJ53+CK52)))+((1-(E53/G53)))*(CJ53/(CJ53+CK52)))</f>
        <v>0.48780487804878053</v>
      </c>
      <c r="GN18" s="24">
        <f>GK18+(GL18/10)+(GJ18*GM18*(1-(CJ53/(CJ53+CK52))))+(CK18*(1-GM18))</f>
        <v>0.51219512195121952</v>
      </c>
      <c r="GO18" s="213">
        <f>GN18/(DD18*EG53)</f>
        <v>2.8657370266032416E-2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19"/>
      <c r="G19" s="115"/>
      <c r="H19" s="116"/>
      <c r="I19" s="419"/>
      <c r="J19" s="115"/>
      <c r="K19" s="116"/>
      <c r="L19" s="419"/>
      <c r="M19" s="115"/>
      <c r="N19" s="116"/>
      <c r="O19" s="419"/>
      <c r="P19" s="115"/>
      <c r="Q19" s="116"/>
      <c r="R19" s="419"/>
      <c r="S19" s="115"/>
      <c r="T19" s="116"/>
      <c r="U19" s="419"/>
      <c r="V19" s="115"/>
      <c r="W19" s="116"/>
      <c r="X19" s="419"/>
      <c r="Y19" s="115"/>
      <c r="Z19" s="116"/>
      <c r="AA19" s="419"/>
      <c r="AB19" s="115"/>
      <c r="AC19" s="116"/>
      <c r="AD19" s="419"/>
      <c r="AE19" s="117"/>
      <c r="AF19" s="420"/>
      <c r="AG19" s="114"/>
      <c r="AH19" s="419"/>
      <c r="AI19" s="115"/>
      <c r="AJ19" s="116"/>
      <c r="AK19" s="419"/>
      <c r="AL19" s="115"/>
      <c r="AM19" s="116"/>
      <c r="AN19" s="419"/>
      <c r="AO19" s="115"/>
      <c r="AP19" s="116"/>
      <c r="AQ19" s="419"/>
      <c r="AR19" s="115"/>
      <c r="AS19" s="116"/>
      <c r="AT19" s="419"/>
      <c r="AU19" s="115"/>
      <c r="AV19" s="116"/>
      <c r="AW19" s="419"/>
      <c r="AX19" s="115"/>
      <c r="AY19" s="116"/>
      <c r="AZ19" s="419"/>
      <c r="BA19" s="115"/>
      <c r="BB19" s="116"/>
      <c r="BC19" s="419"/>
      <c r="BD19" s="115"/>
      <c r="BE19" s="116"/>
      <c r="BF19" s="419"/>
      <c r="BG19" s="117"/>
      <c r="BH19" s="115"/>
      <c r="BI19" s="114"/>
      <c r="BJ19" s="419"/>
      <c r="BK19" s="115"/>
      <c r="BL19" s="116"/>
      <c r="BM19" s="419"/>
      <c r="BN19" s="115"/>
      <c r="BO19" s="116"/>
      <c r="BP19" s="419"/>
      <c r="BQ19" s="115"/>
      <c r="BR19" s="116"/>
      <c r="BS19" s="419"/>
      <c r="BT19" s="115"/>
      <c r="BU19" s="116"/>
      <c r="BV19" s="419"/>
      <c r="BW19" s="115"/>
      <c r="BX19" s="116"/>
      <c r="BY19" s="419"/>
      <c r="BZ19" s="115"/>
      <c r="CA19" s="116"/>
      <c r="CB19" s="419"/>
      <c r="CC19" s="115"/>
      <c r="CD19" s="116"/>
      <c r="CE19" s="419"/>
      <c r="CF19" s="115"/>
      <c r="CG19" s="116"/>
      <c r="CH19" s="419"/>
      <c r="CI19" s="117"/>
      <c r="CJ19" s="140">
        <v>0</v>
      </c>
      <c r="CK19" s="148">
        <v>2</v>
      </c>
      <c r="CL19" s="148"/>
      <c r="CM19" s="148"/>
      <c r="CN19" s="148">
        <f t="shared" si="49"/>
        <v>2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61"/>
        <v>0</v>
      </c>
      <c r="DV19" s="13" t="str">
        <f t="shared" si="62"/>
        <v>0</v>
      </c>
      <c r="DW19" s="14" t="str">
        <f t="shared" si="23"/>
        <v>0</v>
      </c>
      <c r="DX19" s="14">
        <f t="shared" si="24"/>
        <v>0</v>
      </c>
      <c r="DY19" s="14" t="str">
        <f t="shared" si="63"/>
        <v>0</v>
      </c>
      <c r="DZ19" s="15">
        <f t="shared" si="25"/>
        <v>7.3639999999999999</v>
      </c>
      <c r="EA19" s="14">
        <f t="shared" si="64"/>
        <v>0</v>
      </c>
      <c r="EB19" s="14">
        <f t="shared" si="26"/>
        <v>1</v>
      </c>
      <c r="EC19" s="14">
        <f t="shared" si="27"/>
        <v>0.30180327868852458</v>
      </c>
      <c r="ED19" s="14">
        <f t="shared" si="65"/>
        <v>0</v>
      </c>
      <c r="EE19" s="19">
        <f t="shared" si="66"/>
        <v>0</v>
      </c>
      <c r="EF19" s="67" t="str">
        <f t="shared" si="67"/>
        <v>0</v>
      </c>
      <c r="EG19" s="74">
        <f t="shared" si="68"/>
        <v>0</v>
      </c>
      <c r="EH19" s="27">
        <f t="shared" si="69"/>
        <v>0</v>
      </c>
      <c r="EI19" s="25" t="str">
        <f t="shared" si="70"/>
        <v>0</v>
      </c>
      <c r="EJ19" s="25">
        <f t="shared" si="71"/>
        <v>0</v>
      </c>
      <c r="EK19" s="26">
        <f t="shared" si="28"/>
        <v>0</v>
      </c>
      <c r="EL19" s="29" t="str">
        <f t="shared" si="72"/>
        <v>0</v>
      </c>
      <c r="EM19" s="30">
        <f t="shared" si="29"/>
        <v>0</v>
      </c>
      <c r="EN19" s="30" t="str">
        <f t="shared" si="30"/>
        <v>0</v>
      </c>
      <c r="EO19" s="31">
        <f t="shared" si="73"/>
        <v>2</v>
      </c>
      <c r="EP19" s="31" t="str">
        <f t="shared" si="31"/>
        <v>0</v>
      </c>
      <c r="EQ19" s="31">
        <f t="shared" si="74"/>
        <v>2</v>
      </c>
      <c r="ER19" s="93" t="str">
        <f t="shared" si="32"/>
        <v>0</v>
      </c>
      <c r="ES19" s="109">
        <f t="shared" si="33"/>
        <v>0</v>
      </c>
      <c r="ET19" s="32" t="str">
        <f t="shared" si="34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0</v>
      </c>
      <c r="FT19" s="140">
        <f t="shared" si="40"/>
        <v>2</v>
      </c>
      <c r="FU19" s="140">
        <f t="shared" si="41"/>
        <v>2</v>
      </c>
      <c r="FV19" s="175"/>
      <c r="FW19" s="140"/>
      <c r="FX19" s="140"/>
      <c r="FY19" s="140"/>
      <c r="FZ19" s="140"/>
      <c r="GA19" s="140">
        <f t="shared" si="41"/>
        <v>0</v>
      </c>
      <c r="GB19" s="140"/>
      <c r="GC19" s="192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23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20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1</v>
      </c>
      <c r="CK20" s="148">
        <v>0</v>
      </c>
      <c r="CL20" s="148"/>
      <c r="CM20" s="148"/>
      <c r="CN20" s="148">
        <f t="shared" si="49"/>
        <v>1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61"/>
        <v>9.6777163849674885E-2</v>
      </c>
      <c r="DV20" s="13" t="str">
        <f t="shared" si="62"/>
        <v>0</v>
      </c>
      <c r="DW20" s="14" t="str">
        <f t="shared" si="23"/>
        <v>0</v>
      </c>
      <c r="DX20" s="14">
        <f t="shared" si="24"/>
        <v>0</v>
      </c>
      <c r="DY20" s="14" t="str">
        <f t="shared" si="63"/>
        <v>0</v>
      </c>
      <c r="DZ20" s="15">
        <f t="shared" si="25"/>
        <v>15.336</v>
      </c>
      <c r="EA20" s="14">
        <f t="shared" si="64"/>
        <v>0.23601108033241003</v>
      </c>
      <c r="EB20" s="14">
        <f t="shared" si="26"/>
        <v>0.69230769230769229</v>
      </c>
      <c r="EC20" s="14">
        <f t="shared" si="27"/>
        <v>0.41005347593582891</v>
      </c>
      <c r="ED20" s="14">
        <f t="shared" si="65"/>
        <v>9.6777163849674885E-2</v>
      </c>
      <c r="EE20" s="19">
        <f t="shared" si="66"/>
        <v>0</v>
      </c>
      <c r="EF20" s="67" t="str">
        <f t="shared" si="67"/>
        <v>0</v>
      </c>
      <c r="EG20" s="74">
        <f t="shared" si="68"/>
        <v>9.6777163849674885E-2</v>
      </c>
      <c r="EH20" s="27">
        <f t="shared" si="69"/>
        <v>0.21834180159094624</v>
      </c>
      <c r="EI20" s="25" t="str">
        <f t="shared" si="70"/>
        <v>0</v>
      </c>
      <c r="EJ20" s="25">
        <f t="shared" si="71"/>
        <v>0</v>
      </c>
      <c r="EK20" s="26">
        <f t="shared" si="28"/>
        <v>0.21834180159094624</v>
      </c>
      <c r="EL20" s="29">
        <f t="shared" si="72"/>
        <v>0</v>
      </c>
      <c r="EM20" s="30">
        <f t="shared" si="29"/>
        <v>7.6923076923076927E-2</v>
      </c>
      <c r="EN20" s="30" t="str">
        <f t="shared" si="30"/>
        <v>0</v>
      </c>
      <c r="EO20" s="31">
        <f t="shared" si="73"/>
        <v>0</v>
      </c>
      <c r="EP20" s="31" t="str">
        <f t="shared" si="31"/>
        <v>0</v>
      </c>
      <c r="EQ20" s="31">
        <f t="shared" si="74"/>
        <v>0</v>
      </c>
      <c r="ER20" s="93" t="str">
        <f t="shared" si="32"/>
        <v>0</v>
      </c>
      <c r="ES20" s="109">
        <f t="shared" si="33"/>
        <v>49.157118755777695</v>
      </c>
      <c r="ET20" s="32" t="str">
        <f t="shared" si="34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1</v>
      </c>
      <c r="FT20" s="140">
        <f t="shared" si="40"/>
        <v>0</v>
      </c>
      <c r="FU20" s="140">
        <f t="shared" ref="FU20:FZ23" si="84">CN20</f>
        <v>1</v>
      </c>
      <c r="FV20" s="175"/>
      <c r="FW20" s="140"/>
      <c r="FX20" s="140"/>
      <c r="FY20" s="140"/>
      <c r="FZ20" s="140"/>
      <c r="GA20" s="140">
        <f t="shared" ref="GA20:GC23" si="85">CT20</f>
        <v>0</v>
      </c>
      <c r="GB20" s="140"/>
      <c r="GC20" s="192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139.33333333333331</v>
      </c>
      <c r="E21" s="163">
        <f>IFERROR(SUM(E4:E20),"0")</f>
        <v>22</v>
      </c>
      <c r="F21" s="118" t="s">
        <v>52</v>
      </c>
      <c r="G21" s="145">
        <f>IFERROR(SUM(G4:G20),"0")</f>
        <v>57</v>
      </c>
      <c r="H21" s="143" t="s">
        <v>53</v>
      </c>
      <c r="I21" s="230">
        <f>IFERROR(SUM(I4:I20),"0")</f>
        <v>14</v>
      </c>
      <c r="J21" s="145" t="s">
        <v>54</v>
      </c>
      <c r="K21" s="143">
        <f>IFERROR(SUM(K4:K20),"0")</f>
        <v>10</v>
      </c>
      <c r="L21" s="118" t="s">
        <v>52</v>
      </c>
      <c r="M21" s="145">
        <f>IFERROR(SUM(M4:M20),"0")</f>
        <v>21</v>
      </c>
      <c r="N21" s="143" t="s">
        <v>53</v>
      </c>
      <c r="O21" s="118">
        <f>IFERROR(SUM(O4:O20),"0")</f>
        <v>7</v>
      </c>
      <c r="P21" s="145" t="s">
        <v>54</v>
      </c>
      <c r="Q21" s="111">
        <f>IFERROR(SUM(Q4:Q20),"0")</f>
        <v>4</v>
      </c>
      <c r="R21" s="118" t="s">
        <v>52</v>
      </c>
      <c r="S21" s="145">
        <f>IFERROR(SUM(S4:S20),"0")</f>
        <v>14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8</v>
      </c>
      <c r="X21" s="118" t="s">
        <v>52</v>
      </c>
      <c r="Y21" s="145">
        <f>IFERROR(SUM(Y4:Y18),"0")</f>
        <v>22</v>
      </c>
      <c r="Z21" s="143" t="s">
        <v>53</v>
      </c>
      <c r="AA21" s="118">
        <f>IFERROR(SUM(AA4:AA18),"0")</f>
        <v>7</v>
      </c>
      <c r="AB21" s="111" t="s">
        <v>54</v>
      </c>
      <c r="AC21" s="143">
        <f>IFERROR(SUM(AC4:AC18),"0")</f>
        <v>1.2999999999999998</v>
      </c>
      <c r="AD21" s="118" t="s">
        <v>52</v>
      </c>
      <c r="AE21" s="146">
        <f>IFERROR(SUM(AE4:AE18),"0")</f>
        <v>2</v>
      </c>
      <c r="AF21" s="129"/>
      <c r="AG21" s="144">
        <f>IFERROR(SUM(AG4:AG18),"0")</f>
        <v>14</v>
      </c>
      <c r="AH21" s="118" t="s">
        <v>52</v>
      </c>
      <c r="AI21" s="145">
        <f>IFERROR(SUM(AI4:AI18),"0")</f>
        <v>39</v>
      </c>
      <c r="AJ21" s="143" t="s">
        <v>53</v>
      </c>
      <c r="AK21" s="111">
        <f>IFERROR(SUM(AK4:AK18),"0")</f>
        <v>7</v>
      </c>
      <c r="AL21" s="145" t="s">
        <v>54</v>
      </c>
      <c r="AM21" s="143">
        <f>IFERROR(SUM(AM4:AM18),"0")</f>
        <v>5</v>
      </c>
      <c r="AN21" s="118" t="s">
        <v>52</v>
      </c>
      <c r="AO21" s="145">
        <f>IFERROR(SUM(AO4:AO18),"0")</f>
        <v>11</v>
      </c>
      <c r="AP21" s="143" t="s">
        <v>53</v>
      </c>
      <c r="AQ21" s="111">
        <f>IFERROR(SUM(AQ4:AQ18),"0")</f>
        <v>3</v>
      </c>
      <c r="AR21" s="111" t="s">
        <v>54</v>
      </c>
      <c r="AS21" s="143">
        <f>IFERROR(SUM(AS4:AS18),"0")</f>
        <v>4</v>
      </c>
      <c r="AT21" s="118" t="s">
        <v>52</v>
      </c>
      <c r="AU21" s="145">
        <f>IFERROR(SUM(AU4:AU18),"0")</f>
        <v>14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5</v>
      </c>
      <c r="AZ21" s="118" t="s">
        <v>52</v>
      </c>
      <c r="BA21" s="145">
        <f>IFERROR(SUM(BA4:BA18),"0")</f>
        <v>14</v>
      </c>
      <c r="BB21" s="143" t="s">
        <v>53</v>
      </c>
      <c r="BC21" s="118">
        <f>IFERROR(SUM(BC4:BC18),"0")</f>
        <v>4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8</v>
      </c>
      <c r="BJ21" s="118" t="s">
        <v>52</v>
      </c>
      <c r="BK21" s="145">
        <f>IFERROR(SUM(BK4:BK18),"0")</f>
        <v>18</v>
      </c>
      <c r="BL21" s="143" t="s">
        <v>53</v>
      </c>
      <c r="BM21" s="118">
        <f>IFERROR(SUM(BM4:BM18),"0")</f>
        <v>7</v>
      </c>
      <c r="BN21" s="145" t="s">
        <v>54</v>
      </c>
      <c r="BO21" s="143">
        <f>IFERROR(SUM(BO4:BO18),"0")</f>
        <v>5</v>
      </c>
      <c r="BP21" s="118" t="s">
        <v>52</v>
      </c>
      <c r="BQ21" s="145">
        <f>IFERROR(SUM(BQ4:BQ18),"0")</f>
        <v>10</v>
      </c>
      <c r="BR21" s="143" t="s">
        <v>53</v>
      </c>
      <c r="BS21" s="118">
        <f>IFERROR(SUM(BS4:BS18),"0")</f>
        <v>4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3</v>
      </c>
      <c r="CB21" s="118" t="s">
        <v>52</v>
      </c>
      <c r="CC21" s="145">
        <f>IFERROR(SUM(CC4:CC18),"0")</f>
        <v>8</v>
      </c>
      <c r="CD21" s="143" t="s">
        <v>53</v>
      </c>
      <c r="CE21" s="118">
        <f>IFERROR(SUM(CE4:CE18),"0")</f>
        <v>3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6">IFERROR(SUM(CJ4:CJ20),"0")</f>
        <v>11</v>
      </c>
      <c r="CK21" s="129">
        <f>IFERROR(SUM(CK4:CK20),"0")</f>
        <v>24</v>
      </c>
      <c r="CL21" s="129">
        <f>IFERROR(SUM(CL4:CL20),"0")</f>
        <v>9</v>
      </c>
      <c r="CM21" s="129">
        <f t="shared" ref="CM21" si="87">IFERROR(SUM(CM4:CM20),"0")</f>
        <v>13</v>
      </c>
      <c r="CN21" s="129">
        <f t="shared" si="86"/>
        <v>35</v>
      </c>
      <c r="CO21" s="438">
        <f t="shared" si="86"/>
        <v>14</v>
      </c>
      <c r="CP21" s="11">
        <f t="shared" si="86"/>
        <v>16</v>
      </c>
      <c r="CQ21" s="356">
        <f t="shared" si="86"/>
        <v>2</v>
      </c>
      <c r="CR21" s="158">
        <f t="shared" si="86"/>
        <v>2</v>
      </c>
      <c r="CS21" s="129">
        <f t="shared" si="86"/>
        <v>4</v>
      </c>
      <c r="CT21" s="129">
        <f t="shared" si="86"/>
        <v>4</v>
      </c>
      <c r="CU21" s="129">
        <f t="shared" si="86"/>
        <v>0</v>
      </c>
      <c r="CV21" s="209">
        <f t="shared" si="86"/>
        <v>53.3</v>
      </c>
      <c r="CW21" s="11"/>
      <c r="CX21" s="150">
        <f>DG21</f>
        <v>0.45614035087719296</v>
      </c>
      <c r="CY21" s="151">
        <f>DN21</f>
        <v>8.5018374617929923E-2</v>
      </c>
      <c r="CZ21" s="151">
        <f>DH21</f>
        <v>0.31428571428571428</v>
      </c>
      <c r="DA21" s="156">
        <f>FA21</f>
        <v>3.5087719298245612E-2</v>
      </c>
      <c r="DB21" s="149" t="s">
        <v>219</v>
      </c>
      <c r="DC21" s="123"/>
      <c r="DD21" s="34"/>
      <c r="DE21" s="34"/>
      <c r="DF21" s="35"/>
      <c r="DG21" s="37">
        <f>IFERROR(((E21-W21)+1.5*W21)/G21,"0")</f>
        <v>0.45614035087719296</v>
      </c>
      <c r="DH21" s="37">
        <f>IFERROR(CJ21/(CJ21+CK21),"0")</f>
        <v>0.31428571428571428</v>
      </c>
      <c r="DI21" s="34"/>
      <c r="DJ21" s="35"/>
      <c r="DK21" s="35"/>
      <c r="DL21" s="35"/>
      <c r="DM21" s="35"/>
      <c r="DN21" s="37">
        <f>IFERROR(CT21/EG21,"0")</f>
        <v>8.5018374617929923E-2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IFERROR(SUM(EG4:EG20),"0")</f>
        <v>47.048652929156582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1.2999999999999998</v>
      </c>
      <c r="EY21" s="6">
        <f>IFERROR(SUM(EY4:EY18),"0")</f>
        <v>2</v>
      </c>
      <c r="EZ21" s="6">
        <f>IFERROR(E21+(1-(1-(EX21/EY21))^2)*EY21*0.4,"0")</f>
        <v>22.701999999999998</v>
      </c>
      <c r="FA21" s="6">
        <f>IFERROR(EY21/G21,"0")</f>
        <v>3.5087719298245612E-2</v>
      </c>
      <c r="FC21" s="234"/>
      <c r="FD21" s="235"/>
      <c r="FE21" s="236" t="s">
        <v>219</v>
      </c>
      <c r="FF21" s="237">
        <f t="shared" ref="FF21:FG23" si="88">D21</f>
        <v>139.33333333333331</v>
      </c>
      <c r="FG21" s="206">
        <f t="shared" si="88"/>
        <v>22</v>
      </c>
      <c r="FH21" s="238" t="s">
        <v>52</v>
      </c>
      <c r="FI21" s="210">
        <f t="shared" si="76"/>
        <v>57</v>
      </c>
      <c r="FJ21" s="239">
        <f t="shared" si="77"/>
        <v>0.38596491228070173</v>
      </c>
      <c r="FK21" s="234">
        <f>W21</f>
        <v>8</v>
      </c>
      <c r="FL21" s="238" t="s">
        <v>52</v>
      </c>
      <c r="FM21" s="240">
        <f>Y21</f>
        <v>22</v>
      </c>
      <c r="FN21" s="239">
        <f t="shared" si="78"/>
        <v>0.36363636363636365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81"/>
        <v>0</v>
      </c>
      <c r="FS21" s="235">
        <f t="shared" si="39"/>
        <v>11</v>
      </c>
      <c r="FT21" s="235">
        <f t="shared" si="40"/>
        <v>24</v>
      </c>
      <c r="FU21" s="235">
        <f t="shared" si="84"/>
        <v>35</v>
      </c>
      <c r="FV21" s="241">
        <f t="shared" si="84"/>
        <v>14</v>
      </c>
      <c r="FW21" s="235">
        <f t="shared" si="84"/>
        <v>16</v>
      </c>
      <c r="FX21" s="235">
        <f t="shared" si="84"/>
        <v>2</v>
      </c>
      <c r="FY21" s="235">
        <f t="shared" si="84"/>
        <v>2</v>
      </c>
      <c r="FZ21" s="235">
        <f t="shared" si="84"/>
        <v>4</v>
      </c>
      <c r="GA21" s="235">
        <f t="shared" si="85"/>
        <v>4</v>
      </c>
      <c r="GB21" s="235">
        <f t="shared" si="85"/>
        <v>0</v>
      </c>
      <c r="GC21" s="260">
        <f t="shared" si="85"/>
        <v>53.3</v>
      </c>
      <c r="GD21" s="204">
        <f t="shared" ref="GD21:GG23" si="89">CX21</f>
        <v>0.45614035087719296</v>
      </c>
      <c r="GE21" s="205">
        <f t="shared" si="89"/>
        <v>8.5018374617929923E-2</v>
      </c>
      <c r="GF21" s="205">
        <f t="shared" si="89"/>
        <v>0.31428571428571428</v>
      </c>
      <c r="GG21" s="152">
        <f t="shared" si="89"/>
        <v>3.5087719298245612E-2</v>
      </c>
      <c r="GH21" s="242"/>
      <c r="GO21" s="423"/>
    </row>
    <row r="22" spans="1:197" x14ac:dyDescent="0.2">
      <c r="A22" s="139"/>
      <c r="B22" s="139"/>
      <c r="C22" s="432" t="s">
        <v>116</v>
      </c>
      <c r="D22" s="121">
        <f>IFERROR(SUMIFS(D4:D20,B4:B20,"R"),"0")</f>
        <v>69.666666666666657</v>
      </c>
      <c r="E22" s="162">
        <f>IFERROR(SUMIFS(E4:E20,B4:B20,"R"),"0")</f>
        <v>7</v>
      </c>
      <c r="F22" s="143" t="s">
        <v>52</v>
      </c>
      <c r="G22" s="145">
        <f>IFERROR(SUMIFS(G4:G20,B4:B20,"R"),"0")</f>
        <v>21</v>
      </c>
      <c r="H22" s="143" t="s">
        <v>53</v>
      </c>
      <c r="I22" s="118">
        <f>IFERROR(SUMIFS(I4:I20,B4:B20,"R"),"0")</f>
        <v>5</v>
      </c>
      <c r="J22" s="145" t="s">
        <v>54</v>
      </c>
      <c r="K22" s="143">
        <f>IFERROR(SUMIFS(K4:K20,B4:B20,"R"),"0")</f>
        <v>1</v>
      </c>
      <c r="L22" s="143" t="s">
        <v>52</v>
      </c>
      <c r="M22" s="145">
        <f>IFERROR(SUMIFS(M4:M20,B4:B20,"R"),"0")</f>
        <v>2</v>
      </c>
      <c r="N22" s="143" t="s">
        <v>53</v>
      </c>
      <c r="O22" s="118">
        <f>IFERROR(SUMIFS(O4:O20,B4:B20,"R"),"0")</f>
        <v>1</v>
      </c>
      <c r="P22" s="145" t="s">
        <v>54</v>
      </c>
      <c r="Q22" s="111">
        <f>IFERROR(SUMIFS(Q4:Q20,B4:B20,"R"),"0")</f>
        <v>2</v>
      </c>
      <c r="R22" s="143" t="s">
        <v>52</v>
      </c>
      <c r="S22" s="145">
        <f>IFERROR(SUMIFS(S4:S20,B4:B20,"R"),"0")</f>
        <v>8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4</v>
      </c>
      <c r="X22" s="143" t="s">
        <v>52</v>
      </c>
      <c r="Y22" s="145">
        <f>IFERROR(SUMIFS(Y4:Y20,B4:B20,"R"),"0")</f>
        <v>11</v>
      </c>
      <c r="Z22" s="143" t="s">
        <v>53</v>
      </c>
      <c r="AA22" s="118">
        <f>IFERROR(SUMIFS(AA4:AA20,B4:B20,"R"),"0")</f>
        <v>4</v>
      </c>
      <c r="AB22" s="111" t="s">
        <v>54</v>
      </c>
      <c r="AC22" s="143">
        <f>IFERROR(SUMIFS(AC4:AC20,B4:B20,"R"),"0")</f>
        <v>0.7</v>
      </c>
      <c r="AD22" s="143" t="s">
        <v>52</v>
      </c>
      <c r="AE22" s="146">
        <f>IFERROR(SUMIFS(AE4:AE20,B4:B20,"R"),"0")</f>
        <v>1</v>
      </c>
      <c r="AF22" s="143"/>
      <c r="AG22" s="144">
        <f>IFERROR(SUMIFS(AG4:AG20,B4:B20,"R"),"0")</f>
        <v>5</v>
      </c>
      <c r="AH22" s="143" t="s">
        <v>52</v>
      </c>
      <c r="AI22" s="145">
        <f>IFERROR(SUMIFS(AI4:AI20,B4:B20,"R"),"0")</f>
        <v>15</v>
      </c>
      <c r="AJ22" s="143" t="s">
        <v>53</v>
      </c>
      <c r="AK22" s="111">
        <f>IFERROR(SUMIFS(AK4:AK20,B4:B20,"R"),"0")</f>
        <v>3</v>
      </c>
      <c r="AL22" s="145" t="s">
        <v>54</v>
      </c>
      <c r="AM22" s="143">
        <f>IFERROR(SUMIFS(AM4:AM20,B4:B20,"R"),"0")</f>
        <v>0</v>
      </c>
      <c r="AN22" s="143" t="s">
        <v>52</v>
      </c>
      <c r="AO22" s="145">
        <f>IFERROR(SUMIFS(AO4:AO20,B4:B20,"R"),"0")</f>
        <v>1</v>
      </c>
      <c r="AP22" s="143" t="s">
        <v>53</v>
      </c>
      <c r="AQ22" s="111">
        <f>IFERROR(SUMIFS(AQ4:AQ20,B4:B20,"R"),"0")</f>
        <v>0</v>
      </c>
      <c r="AR22" s="111" t="s">
        <v>54</v>
      </c>
      <c r="AS22" s="143">
        <f>IFERROR(SUMIFS(AS4:AS20,B4:B20,"R"),"0")</f>
        <v>2</v>
      </c>
      <c r="AT22" s="143" t="s">
        <v>52</v>
      </c>
      <c r="AU22" s="145">
        <f>IFERROR(SUMIFS(AU4:AU20,B4:B20,"R"),"0")</f>
        <v>8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3</v>
      </c>
      <c r="AZ22" s="143" t="s">
        <v>52</v>
      </c>
      <c r="BA22" s="145">
        <f>IFERROR(SUMIFS(BA4:BA20,B4:B20,"R"),"0")</f>
        <v>6</v>
      </c>
      <c r="BB22" s="143" t="s">
        <v>53</v>
      </c>
      <c r="BC22" s="118">
        <f>IFERROR(SUMIFS(BC4:BC20,B4:B20,"R"),"0")</f>
        <v>3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2</v>
      </c>
      <c r="BJ22" s="143" t="s">
        <v>52</v>
      </c>
      <c r="BK22" s="145">
        <f>IFERROR(SUMIFS(BK4:BK20,B4:B20,"R"),"0")</f>
        <v>6</v>
      </c>
      <c r="BL22" s="143" t="s">
        <v>53</v>
      </c>
      <c r="BM22" s="118">
        <f>IFERROR(SUMIFS(BM4:BM20,B4:B20,"R"),"0")</f>
        <v>2</v>
      </c>
      <c r="BN22" s="145" t="s">
        <v>54</v>
      </c>
      <c r="BO22" s="143">
        <f>IFERROR(SUMIFS(BO4:BO20,B4:B20,"R"),"0")</f>
        <v>1</v>
      </c>
      <c r="BP22" s="143" t="s">
        <v>52</v>
      </c>
      <c r="BQ22" s="145">
        <f>IFERROR(SUMIFS(BQ4:BQ20,B4:B20,"R"),"0")</f>
        <v>1</v>
      </c>
      <c r="BR22" s="143" t="s">
        <v>53</v>
      </c>
      <c r="BS22" s="143">
        <f>IFERROR(SUMIFS(BS4:BS20,B4:B20,"R"),"0")</f>
        <v>1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1</v>
      </c>
      <c r="CB22" s="143" t="s">
        <v>52</v>
      </c>
      <c r="CC22" s="145">
        <f>IFERROR(SUMIFS(CC4:CC20,B4:B20,"R"),"0")</f>
        <v>5</v>
      </c>
      <c r="CD22" s="143" t="s">
        <v>53</v>
      </c>
      <c r="CE22" s="118">
        <f>IFERROR(SUMIFS(CE4:CE20,B4:B20,"R"),"0")</f>
        <v>1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2</v>
      </c>
      <c r="CK22" s="118">
        <f>IFERROR(SUMIFS(CK4:CK20,B4:B20,"R"),"0")</f>
        <v>12</v>
      </c>
      <c r="CL22" s="118">
        <f t="shared" ref="CL22:CM22" si="90">IFERROR(SUMIFS(CL4:CL20,C4:C20,"R"),"0")</f>
        <v>0</v>
      </c>
      <c r="CM22" s="118">
        <f t="shared" si="90"/>
        <v>0</v>
      </c>
      <c r="CN22" s="118">
        <f>IFERROR(SUMIFS(CN4:CN20,B4:B20,"R"),"0")</f>
        <v>14</v>
      </c>
      <c r="CO22" s="175">
        <f>IFERROR(SUMIFS(CO4:CO20,B4:B20,"R"),"0")</f>
        <v>5</v>
      </c>
      <c r="CP22" s="118">
        <f>IFERROR(SUMIFS(CP4:CP20,B4:B20,"R"),"0")</f>
        <v>6</v>
      </c>
      <c r="CQ22" s="175">
        <f>IFERROR(SUMIFS(CQ4:CQ20,B4:B20,"R"),"0")</f>
        <v>1</v>
      </c>
      <c r="CR22" s="118">
        <f>IFERROR(SUMIFS(CR4:CR20,B4:B20,"R"),"0")</f>
        <v>1</v>
      </c>
      <c r="CS22" s="118">
        <f>IFERROR(SUMIFS(CS4:CS20,B4:B20,"R"),"0")</f>
        <v>1</v>
      </c>
      <c r="CT22" s="118">
        <f>IFERROR(SUMIFS(CT4:CT20,B4:B20,"R"),"0")</f>
        <v>3</v>
      </c>
      <c r="CU22" s="118">
        <f>IFERROR(SUMIFS(CU4:CU20,B4:B20,"R"),"0")</f>
        <v>0</v>
      </c>
      <c r="CV22" s="119">
        <f>IFERROR(SUMIFS(CV4:CV20,B4:B20,"R"),"0")</f>
        <v>18.7</v>
      </c>
      <c r="CW22" s="118"/>
      <c r="CX22" s="134">
        <f>DG22</f>
        <v>0.42857142857142855</v>
      </c>
      <c r="CY22" s="121">
        <f>DN22</f>
        <v>0.14561099821611087</v>
      </c>
      <c r="CZ22" s="121">
        <f>DH22</f>
        <v>0.14285714285714285</v>
      </c>
      <c r="DA22" s="135">
        <f>FA22</f>
        <v>4.7619047619047616E-2</v>
      </c>
      <c r="DB22" s="433" t="s">
        <v>231</v>
      </c>
      <c r="DC22" s="116"/>
      <c r="DD22" s="34"/>
      <c r="DE22" s="34"/>
      <c r="DF22" s="35"/>
      <c r="DG22" s="37">
        <f>IFERROR(((E22-W22)+1.5*W22)/G22,"0")</f>
        <v>0.42857142857142855</v>
      </c>
      <c r="DH22" s="37">
        <f>IFERROR(CJ22/(CJ22+CK23),"0")</f>
        <v>0.14285714285714285</v>
      </c>
      <c r="DI22" s="34"/>
      <c r="DJ22" s="35"/>
      <c r="DK22" s="35"/>
      <c r="DL22" s="35"/>
      <c r="DM22" s="35"/>
      <c r="DN22" s="37">
        <f>IFERROR(CT22/EG22,"0")</f>
        <v>0.14561099821611087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20.60283932363064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0.7</v>
      </c>
      <c r="EY22" s="6">
        <f>IFERROR(SUMIFS(EY4:EY20,B4:B20,"R"),"0")</f>
        <v>1</v>
      </c>
      <c r="EZ22" s="6">
        <f t="shared" ref="EZ22:EZ23" si="91">IFERROR(E22+(1-(1-(EX22/EY22))^2)*EY22*0.4,"0")</f>
        <v>7.3639999999999999</v>
      </c>
      <c r="FA22" s="6">
        <f>IFERROR(EY22/G22,"0")</f>
        <v>4.7619047619047616E-2</v>
      </c>
      <c r="FC22" s="139"/>
      <c r="FD22" s="139"/>
      <c r="FE22" s="437" t="s">
        <v>232</v>
      </c>
      <c r="FF22" s="121">
        <f t="shared" si="88"/>
        <v>69.666666666666657</v>
      </c>
      <c r="FG22" s="144">
        <f t="shared" si="88"/>
        <v>7</v>
      </c>
      <c r="FH22" s="419" t="s">
        <v>52</v>
      </c>
      <c r="FI22" s="145">
        <f t="shared" si="76"/>
        <v>21</v>
      </c>
      <c r="FJ22" s="194">
        <f t="shared" si="77"/>
        <v>0.33333333333333331</v>
      </c>
      <c r="FK22" s="110">
        <f>W22</f>
        <v>4</v>
      </c>
      <c r="FL22" s="419" t="s">
        <v>52</v>
      </c>
      <c r="FM22" s="168">
        <f>Y22</f>
        <v>11</v>
      </c>
      <c r="FN22" s="194">
        <f t="shared" si="78"/>
        <v>0.36363636363636365</v>
      </c>
      <c r="FO22" s="110">
        <f>IFERROR(SUMIFS(FO4:FO20,B4:B20,"R"),"0")</f>
        <v>0</v>
      </c>
      <c r="FP22" s="419" t="s">
        <v>52</v>
      </c>
      <c r="FQ22" s="131">
        <f>IFERROR(SUMIFS(FQ4:FQ20,B4:B20,"R"),"0")</f>
        <v>0</v>
      </c>
      <c r="FR22" s="197" t="str">
        <f t="shared" si="81"/>
        <v>0</v>
      </c>
      <c r="FS22" s="118">
        <f t="shared" si="39"/>
        <v>2</v>
      </c>
      <c r="FT22" s="118">
        <f t="shared" si="40"/>
        <v>12</v>
      </c>
      <c r="FU22" s="118">
        <f t="shared" si="84"/>
        <v>14</v>
      </c>
      <c r="FV22" s="175">
        <f t="shared" si="84"/>
        <v>5</v>
      </c>
      <c r="FW22" s="118">
        <f t="shared" si="84"/>
        <v>6</v>
      </c>
      <c r="FX22" s="118">
        <f t="shared" si="84"/>
        <v>1</v>
      </c>
      <c r="FY22" s="118">
        <f t="shared" si="84"/>
        <v>1</v>
      </c>
      <c r="FZ22" s="118">
        <f t="shared" si="84"/>
        <v>1</v>
      </c>
      <c r="GA22" s="118">
        <f t="shared" si="85"/>
        <v>3</v>
      </c>
      <c r="GB22" s="118">
        <f t="shared" si="85"/>
        <v>0</v>
      </c>
      <c r="GC22" s="192">
        <f t="shared" si="85"/>
        <v>18.7</v>
      </c>
      <c r="GD22" s="134">
        <f t="shared" si="89"/>
        <v>0.42857142857142855</v>
      </c>
      <c r="GE22" s="121">
        <f t="shared" si="89"/>
        <v>0.14561099821611087</v>
      </c>
      <c r="GF22" s="121">
        <f t="shared" si="89"/>
        <v>0.14285714285714285</v>
      </c>
      <c r="GG22" s="135">
        <f t="shared" si="89"/>
        <v>4.7619047619047616E-2</v>
      </c>
      <c r="GH22" s="208"/>
      <c r="GO22" s="423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69.666666666666671</v>
      </c>
      <c r="E23" s="162">
        <f>IFERROR(SUMIFS(E4:E20,B4:B20,"W"),"0")</f>
        <v>15</v>
      </c>
      <c r="F23" s="143" t="s">
        <v>52</v>
      </c>
      <c r="G23" s="145">
        <f>IFERROR(SUMIFS(G4:G20,B4:B20,"W"),"0")</f>
        <v>36</v>
      </c>
      <c r="H23" s="143" t="s">
        <v>53</v>
      </c>
      <c r="I23" s="118">
        <f>IFERROR(SUMIFS(I4:I20,B4:B20,"W"),"0")</f>
        <v>9</v>
      </c>
      <c r="J23" s="145" t="s">
        <v>54</v>
      </c>
      <c r="K23" s="143">
        <f>IFERROR(SUMIFS(K4:K20,B4:B20,"W"),"0")</f>
        <v>9</v>
      </c>
      <c r="L23" s="143" t="s">
        <v>52</v>
      </c>
      <c r="M23" s="145">
        <f>IFERROR(SUMIFS(M4:M20,B4:B20,"W"),"0")</f>
        <v>19</v>
      </c>
      <c r="N23" s="143" t="s">
        <v>53</v>
      </c>
      <c r="O23" s="118">
        <f>IFERROR(SUMIFS(O4:O20,B4:B20,"W"),"0")</f>
        <v>6</v>
      </c>
      <c r="P23" s="145" t="s">
        <v>54</v>
      </c>
      <c r="Q23" s="111">
        <f>IFERROR(SUMIFS(Q4:Q20,B4:B20,"W"),"0")</f>
        <v>2</v>
      </c>
      <c r="R23" s="143" t="s">
        <v>52</v>
      </c>
      <c r="S23" s="145">
        <f>IFERROR(SUMIFS(S4:S20,B4:B20,"W"),"0")</f>
        <v>6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4</v>
      </c>
      <c r="X23" s="143" t="s">
        <v>52</v>
      </c>
      <c r="Y23" s="145">
        <f>IFERROR(SUMIFS(Y4:Y20,B4:B20,"W"),"0")</f>
        <v>11</v>
      </c>
      <c r="Z23" s="143" t="s">
        <v>53</v>
      </c>
      <c r="AA23" s="118">
        <f>IFERROR(SUMIFS(AA4:AA20,B4:B20,"W"),"0")</f>
        <v>3</v>
      </c>
      <c r="AB23" s="111" t="s">
        <v>54</v>
      </c>
      <c r="AC23" s="143">
        <f>IFERROR(SUMIFS(AC4:AC20,B4:B20,"W"),"0")</f>
        <v>0.6</v>
      </c>
      <c r="AD23" s="143" t="s">
        <v>52</v>
      </c>
      <c r="AE23" s="146">
        <f>IFERROR(SUMIFS(AE4:AE20,B4:B20,"W"),"0")</f>
        <v>1</v>
      </c>
      <c r="AF23" s="143"/>
      <c r="AG23" s="144">
        <f>IFERROR(SUMIFS(AG4:AG20,B4:B20,"W"),"0")</f>
        <v>9</v>
      </c>
      <c r="AH23" s="143" t="s">
        <v>52</v>
      </c>
      <c r="AI23" s="145">
        <f>IFERROR(SUMIFS(AI4:AI20,B4:B20,"W"),"0")</f>
        <v>24</v>
      </c>
      <c r="AJ23" s="143" t="s">
        <v>53</v>
      </c>
      <c r="AK23" s="111">
        <f>IFERROR(SUMIFS(AK4:AK20,B4:B20,"W"),"0")</f>
        <v>4</v>
      </c>
      <c r="AL23" s="145" t="s">
        <v>54</v>
      </c>
      <c r="AM23" s="143">
        <f>IFERROR(SUMIFS(AM4:AM20,B4:B20,"W"),"0")</f>
        <v>5</v>
      </c>
      <c r="AN23" s="143" t="s">
        <v>52</v>
      </c>
      <c r="AO23" s="145">
        <f>IFERROR(SUMIFS(AO4:AO20,B4:B20,"W"),"0")</f>
        <v>10</v>
      </c>
      <c r="AP23" s="143" t="s">
        <v>53</v>
      </c>
      <c r="AQ23" s="111">
        <f>IFERROR(SUMIFS(AQ4:AQ20,B4:B20,"W"),"0")</f>
        <v>3</v>
      </c>
      <c r="AR23" s="111" t="s">
        <v>54</v>
      </c>
      <c r="AS23" s="143">
        <f>IFERROR(SUMIFS(AS4:AS20,B4:B20,"W"),"0")</f>
        <v>2</v>
      </c>
      <c r="AT23" s="143" t="s">
        <v>52</v>
      </c>
      <c r="AU23" s="145">
        <f>IFERROR(SUMIFS(AU4:AU20,B4:B20,"W"),"0")</f>
        <v>6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2</v>
      </c>
      <c r="AZ23" s="143" t="s">
        <v>52</v>
      </c>
      <c r="BA23" s="145">
        <f>IFERROR(SUMIFS(BA4:BA20,B4:B20,"W"),"0")</f>
        <v>8</v>
      </c>
      <c r="BB23" s="143" t="s">
        <v>53</v>
      </c>
      <c r="BC23" s="118">
        <f>IFERROR(SUMIFS(BC4:BC20,B4:B20,"W"),"0")</f>
        <v>1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6</v>
      </c>
      <c r="BJ23" s="143" t="s">
        <v>52</v>
      </c>
      <c r="BK23" s="145">
        <f>IFERROR(SUMIFS(BK4:BK20,B4:B20,"W"),"0")</f>
        <v>12</v>
      </c>
      <c r="BL23" s="143" t="s">
        <v>53</v>
      </c>
      <c r="BM23" s="118">
        <f>IFERROR(SUMIFS(BM4:BM20,B4:B20,"W"),"0")</f>
        <v>5</v>
      </c>
      <c r="BN23" s="145" t="s">
        <v>54</v>
      </c>
      <c r="BO23" s="143">
        <f>IFERROR(SUMIFS(BO4:BO20,B4:B20,"W"),"0")</f>
        <v>4</v>
      </c>
      <c r="BP23" s="143" t="s">
        <v>52</v>
      </c>
      <c r="BQ23" s="145">
        <f>IFERROR(SUMIFS(BQ4:BQ20,B4:B20,"W"),"0")</f>
        <v>9</v>
      </c>
      <c r="BR23" s="143" t="s">
        <v>53</v>
      </c>
      <c r="BS23" s="143">
        <f>IFERROR(SUMIFS(BS4:BS20,B4:B20,"W"),"0")</f>
        <v>3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2</v>
      </c>
      <c r="CB23" s="143" t="s">
        <v>52</v>
      </c>
      <c r="CC23" s="145">
        <f>IFERROR(SUMIFS(CC4:CC20,B4:B20,"W"),"0")</f>
        <v>3</v>
      </c>
      <c r="CD23" s="143" t="s">
        <v>53</v>
      </c>
      <c r="CE23" s="118">
        <f>IFERROR(SUMIFS(CE4:CE20,B4:B20,"W"),"0")</f>
        <v>2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9</v>
      </c>
      <c r="CK23" s="118">
        <f>IFERROR(SUMIFS(CK4:CK20,B4:B20,"W"),"0")</f>
        <v>12</v>
      </c>
      <c r="CL23" s="118">
        <f t="shared" ref="CL23:CM23" si="92">IFERROR(SUMIFS(CL4:CL20,C4:C20,"W"),"0")</f>
        <v>0</v>
      </c>
      <c r="CM23" s="118">
        <f t="shared" si="92"/>
        <v>0</v>
      </c>
      <c r="CN23" s="118">
        <f>IFERROR(SUMIFS(CN4:CN20,B4:B20,"W"),"0")</f>
        <v>21</v>
      </c>
      <c r="CO23" s="175">
        <f>IFERROR(SUMIFS(CO4:CO20,B4:B20,"W"),"0")</f>
        <v>9</v>
      </c>
      <c r="CP23" s="118">
        <f>IFERROR(SUMIFS(CP4:CP20,B4:B20,"W"),"0")</f>
        <v>10</v>
      </c>
      <c r="CQ23" s="175">
        <f>IFERROR(SUMIFS(CQ4:CQ20,B4:B20,"W"),"0")</f>
        <v>1</v>
      </c>
      <c r="CR23" s="118">
        <f>IFERROR(SUMIFS(CR4:CR20,B4:B20,"W"),"0")</f>
        <v>1</v>
      </c>
      <c r="CS23" s="119">
        <f>IFERROR(SUMIFS(CS4:CS20,B4:B20,"W"),"0")</f>
        <v>3</v>
      </c>
      <c r="CT23" s="118">
        <f>IFERROR(SUMIFS(CT4:CT20,B4:B20,"W"),"0")</f>
        <v>1</v>
      </c>
      <c r="CU23" s="118">
        <f>IFERROR(SUMIFS(CU4:CU20,B4:B20,"W"),"0")</f>
        <v>0</v>
      </c>
      <c r="CV23" s="119">
        <f>IFERROR(SUMIFS(CV4:CV20,B4:B20,"W"),"0")</f>
        <v>34.6</v>
      </c>
      <c r="CW23" s="118"/>
      <c r="CX23" s="136">
        <f>DG23</f>
        <v>0.47222222222222221</v>
      </c>
      <c r="CY23" s="137">
        <f>DN23</f>
        <v>3.7813168273675146E-2</v>
      </c>
      <c r="CZ23" s="137">
        <f>DH23</f>
        <v>0.42857142857142855</v>
      </c>
      <c r="DA23" s="138">
        <f>FA23</f>
        <v>2.7777777777777776E-2</v>
      </c>
      <c r="DB23" s="232" t="s">
        <v>84</v>
      </c>
      <c r="DC23" s="116"/>
      <c r="DG23" s="37">
        <f>IFERROR(((E23-W23)+1.5*W23)/G23,"0")</f>
        <v>0.47222222222222221</v>
      </c>
      <c r="DH23" s="37">
        <f>IFERROR(CJ23/(CJ23+CK22),"0")</f>
        <v>0.42857142857142855</v>
      </c>
      <c r="DN23" s="37">
        <f>IFERROR(CT23/EG23,"0")</f>
        <v>3.7813168273675146E-2</v>
      </c>
      <c r="DS23" s="10"/>
      <c r="DT23" s="10"/>
      <c r="EF23" s="233" t="s">
        <v>89</v>
      </c>
      <c r="EG23" s="28">
        <f>IFERROR(SUMIFS(EG4:EG20,B4:B20,"W"),"0")</f>
        <v>26.445813605525938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0.6</v>
      </c>
      <c r="EY23" s="6">
        <f>IFERROR(SUMIFS(EY4:EY20,B4:B20,"W"),"0")</f>
        <v>1</v>
      </c>
      <c r="EZ23" s="6">
        <f t="shared" si="91"/>
        <v>15.336</v>
      </c>
      <c r="FA23" s="6">
        <f>IFERROR(EY23/G23,"0")</f>
        <v>2.7777777777777776E-2</v>
      </c>
      <c r="FC23" s="139"/>
      <c r="FD23" s="139"/>
      <c r="FE23" s="116" t="s">
        <v>89</v>
      </c>
      <c r="FF23" s="121">
        <f t="shared" si="88"/>
        <v>69.666666666666671</v>
      </c>
      <c r="FG23" s="169">
        <f t="shared" si="88"/>
        <v>15</v>
      </c>
      <c r="FH23" s="166" t="s">
        <v>52</v>
      </c>
      <c r="FI23" s="170">
        <f t="shared" si="76"/>
        <v>36</v>
      </c>
      <c r="FJ23" s="195">
        <f t="shared" si="77"/>
        <v>0.41666666666666669</v>
      </c>
      <c r="FK23" s="171">
        <f>W23</f>
        <v>4</v>
      </c>
      <c r="FL23" s="166" t="s">
        <v>52</v>
      </c>
      <c r="FM23" s="172">
        <f>Y23</f>
        <v>11</v>
      </c>
      <c r="FN23" s="195">
        <f t="shared" si="78"/>
        <v>0.36363636363636365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81"/>
        <v>0</v>
      </c>
      <c r="FS23" s="118">
        <f t="shared" si="39"/>
        <v>9</v>
      </c>
      <c r="FT23" s="118">
        <f t="shared" si="40"/>
        <v>12</v>
      </c>
      <c r="FU23" s="118">
        <f t="shared" si="84"/>
        <v>21</v>
      </c>
      <c r="FV23" s="175">
        <f t="shared" si="84"/>
        <v>9</v>
      </c>
      <c r="FW23" s="118">
        <f t="shared" si="84"/>
        <v>10</v>
      </c>
      <c r="FX23" s="118">
        <f t="shared" si="84"/>
        <v>1</v>
      </c>
      <c r="FY23" s="118">
        <f t="shared" si="84"/>
        <v>1</v>
      </c>
      <c r="FZ23" s="118">
        <f t="shared" si="84"/>
        <v>3</v>
      </c>
      <c r="GA23" s="118">
        <f t="shared" si="85"/>
        <v>1</v>
      </c>
      <c r="GB23" s="118">
        <f t="shared" si="85"/>
        <v>0</v>
      </c>
      <c r="GC23" s="192">
        <f t="shared" si="85"/>
        <v>34.6</v>
      </c>
      <c r="GD23" s="136">
        <f t="shared" si="89"/>
        <v>0.47222222222222221</v>
      </c>
      <c r="GE23" s="137">
        <f t="shared" si="89"/>
        <v>3.7813168273675146E-2</v>
      </c>
      <c r="GF23" s="137">
        <f t="shared" si="89"/>
        <v>0.42857142857142855</v>
      </c>
      <c r="GG23" s="138">
        <f t="shared" si="89"/>
        <v>2.7777777777777776E-2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23"/>
      <c r="EY24" s="423"/>
      <c r="EZ24" s="423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69.666666666666671</v>
      </c>
      <c r="E25" s="86">
        <f>IFERROR(IF(B4="W",$E$23,$E$22),"0")</f>
        <v>15</v>
      </c>
      <c r="F25" s="33" t="s">
        <v>52</v>
      </c>
      <c r="G25" s="49">
        <f>IFERROR(IF(B4="W",$G$23,$G$22),"0")</f>
        <v>36</v>
      </c>
      <c r="H25" s="12" t="s">
        <v>53</v>
      </c>
      <c r="I25" s="33">
        <f>IFERROR(IF(B4="W",I$23,I$22),"0")</f>
        <v>9</v>
      </c>
      <c r="J25" s="49" t="s">
        <v>54</v>
      </c>
      <c r="K25" s="12">
        <f>IFERROR(IF(B4="W",K$23,K$22),"0")</f>
        <v>9</v>
      </c>
      <c r="L25" s="33" t="s">
        <v>52</v>
      </c>
      <c r="M25" s="49">
        <f>IFERROR(IF(B4="W",M$23,M$22),"0")</f>
        <v>19</v>
      </c>
      <c r="N25" s="12" t="s">
        <v>53</v>
      </c>
      <c r="O25" s="33">
        <f>IFERROR(IF(B4="W",O$23,O$22),"0")</f>
        <v>6</v>
      </c>
      <c r="P25" s="49" t="s">
        <v>54</v>
      </c>
      <c r="Q25" s="12">
        <f>IFERROR(IF(B4="W",Q$23,Q$22),"0")</f>
        <v>2</v>
      </c>
      <c r="R25" s="33" t="s">
        <v>52</v>
      </c>
      <c r="S25" s="49">
        <f>IFERROR(IF(B4="W",S$23,S$22),"0")</f>
        <v>6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4</v>
      </c>
      <c r="X25" s="33" t="s">
        <v>52</v>
      </c>
      <c r="Y25" s="49">
        <f>IFERROR(IF(B4="W",Y$23,Y$22),"0")</f>
        <v>11</v>
      </c>
      <c r="Z25" s="12" t="s">
        <v>53</v>
      </c>
      <c r="AA25" s="33">
        <f>IFERROR(IF(B4="W",AA$23,AA$22),"0")</f>
        <v>3</v>
      </c>
      <c r="AB25" s="49" t="s">
        <v>54</v>
      </c>
      <c r="AC25" s="12">
        <f>IFERROR(IF(B4="W",AC$23,AC$22),"0")</f>
        <v>0.6</v>
      </c>
      <c r="AD25" s="33" t="s">
        <v>52</v>
      </c>
      <c r="AE25" s="53">
        <f>IFERROR(IF(B4="W",AE$23,AE$22),"0")</f>
        <v>1</v>
      </c>
      <c r="AF25" s="12"/>
      <c r="AG25" s="43">
        <f>IFERROR(IF(B4="W",AG$23,AG$22),"0")</f>
        <v>9</v>
      </c>
      <c r="AH25" s="33" t="s">
        <v>52</v>
      </c>
      <c r="AI25" s="49">
        <f>IFERROR(IF(B4="W",AI$23,AI$22),"0")</f>
        <v>24</v>
      </c>
      <c r="AJ25" s="12" t="s">
        <v>53</v>
      </c>
      <c r="AK25" s="33">
        <f>IFERROR(IF(B4="W",AK$23,AK$22),"0")</f>
        <v>4</v>
      </c>
      <c r="AL25" s="49" t="s">
        <v>54</v>
      </c>
      <c r="AM25" s="12">
        <f>IFERROR(IF(B4="W",AM$23,AM$22),"0")</f>
        <v>5</v>
      </c>
      <c r="AN25" s="33" t="s">
        <v>52</v>
      </c>
      <c r="AO25" s="49">
        <f>IFERROR(IF(B4="W",AO$23,AO$22),"0")</f>
        <v>10</v>
      </c>
      <c r="AP25" s="12" t="s">
        <v>53</v>
      </c>
      <c r="AQ25" s="33">
        <f>IFERROR(IF(B4="W",AQ$23,AQ$22),"0")</f>
        <v>3</v>
      </c>
      <c r="AR25" s="49" t="s">
        <v>54</v>
      </c>
      <c r="AS25" s="12">
        <f>IFERROR(IF(B4="W",AS$23,AS$22),"0")</f>
        <v>2</v>
      </c>
      <c r="AT25" s="33" t="s">
        <v>52</v>
      </c>
      <c r="AU25" s="49">
        <f>IFERROR(IF(B4="W",AU$23,AU$22),"0")</f>
        <v>6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2</v>
      </c>
      <c r="AZ25" s="33" t="s">
        <v>52</v>
      </c>
      <c r="BA25" s="49">
        <f>IFERROR(IF(B4="W",BA$23,BA$22),"0")</f>
        <v>8</v>
      </c>
      <c r="BB25" s="12" t="s">
        <v>53</v>
      </c>
      <c r="BC25" s="33">
        <f>IFERROR(IF(B4="W",BC$23,BC$22),"0")</f>
        <v>1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6</v>
      </c>
      <c r="BJ25" s="33" t="s">
        <v>52</v>
      </c>
      <c r="BK25" s="49">
        <f>IFERROR(IF($B$4="W",BK23,BK22),"0")</f>
        <v>12</v>
      </c>
      <c r="BL25" s="12" t="s">
        <v>53</v>
      </c>
      <c r="BM25" s="33">
        <f>IFERROR(IF($B$4="W",BM23,BM22),"0")</f>
        <v>5</v>
      </c>
      <c r="BN25" s="49" t="s">
        <v>54</v>
      </c>
      <c r="BO25" s="12">
        <f>IFERROR(IF($B$4="W",BO23,BO22),"0")</f>
        <v>4</v>
      </c>
      <c r="BP25" s="33" t="s">
        <v>52</v>
      </c>
      <c r="BQ25" s="49">
        <f>IFERROR(IF($B$4="W",BQ23,BQ22),"0")</f>
        <v>9</v>
      </c>
      <c r="BR25" s="12" t="s">
        <v>53</v>
      </c>
      <c r="BS25" s="33">
        <f>IFERROR(IF($B$4="W",BS23,BS22),"0")</f>
        <v>3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2</v>
      </c>
      <c r="CB25" s="33" t="s">
        <v>52</v>
      </c>
      <c r="CC25" s="49">
        <f>IFERROR(IF($B$4="W",CC23,CC22),"0")</f>
        <v>3</v>
      </c>
      <c r="CD25" s="12" t="s">
        <v>53</v>
      </c>
      <c r="CE25" s="33">
        <f>IFERROR(IF($B$4="W",CE23,CE22),"0")</f>
        <v>2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3">IFERROR(IF($B$4="W",CI23,CI22),"0")</f>
        <v>0</v>
      </c>
      <c r="CJ25" s="33">
        <f t="shared" si="93"/>
        <v>9</v>
      </c>
      <c r="CK25" s="33">
        <f>IFERROR(IF($B$4="W",CK23,CK22),"0")</f>
        <v>12</v>
      </c>
      <c r="CL25" s="33">
        <f>IFERROR(IF($B$4="W",CL23,CL22),"0")</f>
        <v>0</v>
      </c>
      <c r="CM25" s="33">
        <f t="shared" ref="CM25" si="94">IFERROR(IF($B$4="W",CM23,CM22),"0")</f>
        <v>0</v>
      </c>
      <c r="CN25" s="33">
        <f t="shared" si="93"/>
        <v>21</v>
      </c>
      <c r="CO25" s="33">
        <f t="shared" si="93"/>
        <v>9</v>
      </c>
      <c r="CP25" s="33">
        <f t="shared" si="93"/>
        <v>10</v>
      </c>
      <c r="CQ25" s="33">
        <f t="shared" si="93"/>
        <v>1</v>
      </c>
      <c r="CR25" s="33">
        <f t="shared" si="93"/>
        <v>1</v>
      </c>
      <c r="CS25" s="33">
        <f t="shared" si="93"/>
        <v>3</v>
      </c>
      <c r="CT25" s="33">
        <f t="shared" si="93"/>
        <v>1</v>
      </c>
      <c r="CU25" s="33">
        <f t="shared" si="93"/>
        <v>0</v>
      </c>
      <c r="CV25" s="58">
        <f t="shared" si="93"/>
        <v>34.6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5">IFERROR(IF(B4="W",$EG$23,$EG$22),"0")</f>
        <v>26.445813605525938</v>
      </c>
      <c r="EW25" s="12" t="s">
        <v>73</v>
      </c>
      <c r="EX25" s="6">
        <f>IFERROR(IF(B4="W",$EX$23,$EX$22),"0")</f>
        <v>0.6</v>
      </c>
      <c r="EY25" s="6">
        <f t="shared" ref="EY25:EY39" si="96">IFERROR(IF(B4="W",$EY$23,$EY$22),"0")</f>
        <v>1</v>
      </c>
      <c r="EZ25" s="6">
        <f>IFERROR(IF(B4="W",$EZ$23,$EZ$22),"0")</f>
        <v>15.336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69.666666666666657</v>
      </c>
      <c r="E26" s="86">
        <f t="shared" ref="E26:E39" si="97">IFERROR(IF(B5="W",$E$23,$E$22),"0")</f>
        <v>7</v>
      </c>
      <c r="F26" s="33" t="s">
        <v>52</v>
      </c>
      <c r="G26" s="49">
        <f t="shared" ref="G26:G39" si="98">IFERROR(IF(B5="W",$G$23,$G$22),"0")</f>
        <v>21</v>
      </c>
      <c r="H26" s="12" t="s">
        <v>53</v>
      </c>
      <c r="I26" s="33">
        <f t="shared" ref="I26:I39" si="99">IFERROR(IF(B5="W",I$23,I$22),"0")</f>
        <v>5</v>
      </c>
      <c r="J26" s="49" t="s">
        <v>54</v>
      </c>
      <c r="K26" s="12">
        <f t="shared" ref="K26:K39" si="100">IFERROR(IF(B5="W",K$23,K$22),"0")</f>
        <v>1</v>
      </c>
      <c r="L26" s="33" t="s">
        <v>52</v>
      </c>
      <c r="M26" s="49">
        <f t="shared" ref="M26:M39" si="101">IFERROR(IF(B5="W",M$23,M$22),"0")</f>
        <v>2</v>
      </c>
      <c r="N26" s="12" t="s">
        <v>53</v>
      </c>
      <c r="O26" s="33">
        <f t="shared" ref="O26:O39" si="102">IFERROR(IF(B5="W",O$23,O$22),"0")</f>
        <v>1</v>
      </c>
      <c r="P26" s="49" t="s">
        <v>54</v>
      </c>
      <c r="Q26" s="12">
        <f t="shared" ref="Q26:Q39" si="103">IFERROR(IF(B5="W",Q$23,Q$22),"0")</f>
        <v>2</v>
      </c>
      <c r="R26" s="33" t="s">
        <v>52</v>
      </c>
      <c r="S26" s="49">
        <f t="shared" ref="S26:S39" si="104">IFERROR(IF(B5="W",S$23,S$22),"0")</f>
        <v>8</v>
      </c>
      <c r="T26" s="12" t="s">
        <v>53</v>
      </c>
      <c r="U26" s="33">
        <f t="shared" ref="U26:U39" si="105">IFERROR(IF(B5="W",U$23,U$22),"0")</f>
        <v>0</v>
      </c>
      <c r="V26" s="49" t="s">
        <v>54</v>
      </c>
      <c r="W26" s="12">
        <f t="shared" ref="W26:W39" si="106">IFERROR(IF(B5="W",W$23,W$22),"0")</f>
        <v>4</v>
      </c>
      <c r="X26" s="33" t="s">
        <v>52</v>
      </c>
      <c r="Y26" s="49">
        <f t="shared" ref="Y26:Y39" si="107">IFERROR(IF(B5="W",Y$23,Y$22),"0")</f>
        <v>11</v>
      </c>
      <c r="Z26" s="12" t="s">
        <v>53</v>
      </c>
      <c r="AA26" s="33">
        <f t="shared" ref="AA26:AA39" si="108">IFERROR(IF(B5="W",AA$23,AA$22),"0")</f>
        <v>4</v>
      </c>
      <c r="AB26" s="49" t="s">
        <v>54</v>
      </c>
      <c r="AC26" s="12">
        <f t="shared" ref="AC26:AC39" si="109">IFERROR(IF(B5="W",AC$23,AC$22),"0")</f>
        <v>0.7</v>
      </c>
      <c r="AD26" s="33" t="s">
        <v>52</v>
      </c>
      <c r="AE26" s="53">
        <f t="shared" ref="AE26:AE39" si="110">IFERROR(IF(B5="W",AE$23,AE$22),"0")</f>
        <v>1</v>
      </c>
      <c r="AF26" s="12"/>
      <c r="AG26" s="43">
        <f t="shared" ref="AG26:AG39" si="111">IFERROR(IF(B5="W",AG$23,AG$22),"0")</f>
        <v>5</v>
      </c>
      <c r="AH26" s="33" t="s">
        <v>52</v>
      </c>
      <c r="AI26" s="49">
        <f t="shared" ref="AI26:AI39" si="112">IFERROR(IF(B5="W",AI$23,AI$22),"0")</f>
        <v>15</v>
      </c>
      <c r="AJ26" s="12" t="s">
        <v>53</v>
      </c>
      <c r="AK26" s="33">
        <f t="shared" ref="AK26:AK39" si="113">IFERROR(IF(B5="W",AK$23,AK$22),"0")</f>
        <v>3</v>
      </c>
      <c r="AL26" s="49" t="s">
        <v>54</v>
      </c>
      <c r="AM26" s="12">
        <f t="shared" ref="AM26:AM39" si="114">IFERROR(IF(B5="W",AM$23,AM$22),"0")</f>
        <v>0</v>
      </c>
      <c r="AN26" s="33" t="s">
        <v>52</v>
      </c>
      <c r="AO26" s="49">
        <f t="shared" ref="AO26:AO39" si="115">IFERROR(IF(B5="W",AO$23,AO$22),"0")</f>
        <v>1</v>
      </c>
      <c r="AP26" s="12" t="s">
        <v>53</v>
      </c>
      <c r="AQ26" s="33">
        <f t="shared" ref="AQ26:AQ39" si="116">IFERROR(IF(B5="W",AQ$23,AQ$22),"0")</f>
        <v>0</v>
      </c>
      <c r="AR26" s="49" t="s">
        <v>54</v>
      </c>
      <c r="AS26" s="12">
        <f t="shared" ref="AS26:AS39" si="117">IFERROR(IF(B5="W",AS$23,AS$22),"0")</f>
        <v>2</v>
      </c>
      <c r="AT26" s="33" t="s">
        <v>52</v>
      </c>
      <c r="AU26" s="49">
        <f t="shared" ref="AU26:AU39" si="118">IFERROR(IF(B5="W",AU$23,AU$22),"0")</f>
        <v>8</v>
      </c>
      <c r="AV26" s="12" t="s">
        <v>53</v>
      </c>
      <c r="AW26" s="33">
        <f t="shared" ref="AW26:AW39" si="119">IFERROR(IF(B5="W",AW$23,AW$22),"0")</f>
        <v>0</v>
      </c>
      <c r="AX26" s="49" t="s">
        <v>54</v>
      </c>
      <c r="AY26" s="12">
        <f t="shared" ref="AY26:AY39" si="120">IFERROR(IF(B5="W",AY$23,AY$22),"0")</f>
        <v>3</v>
      </c>
      <c r="AZ26" s="33" t="s">
        <v>52</v>
      </c>
      <c r="BA26" s="49">
        <f t="shared" ref="BA26:BA39" si="121">IFERROR(IF(B5="W",BA$23,BA$22),"0")</f>
        <v>6</v>
      </c>
      <c r="BB26" s="12" t="s">
        <v>53</v>
      </c>
      <c r="BC26" s="33">
        <f t="shared" ref="BC26:BC39" si="122">IFERROR(IF(B5="W",BC$23,BC$22),"0")</f>
        <v>3</v>
      </c>
      <c r="BD26" s="49" t="s">
        <v>54</v>
      </c>
      <c r="BE26" s="12">
        <f t="shared" ref="BE26:BE39" si="123">IFERROR(IF(B5="W",BE$23,BE$22),"0")</f>
        <v>0</v>
      </c>
      <c r="BF26" s="33" t="s">
        <v>52</v>
      </c>
      <c r="BG26" s="53">
        <f t="shared" ref="BG26:BG39" si="124">IFERROR(IF(B5="W",BG$23,BG$22),"0")</f>
        <v>0</v>
      </c>
      <c r="BH26" s="12"/>
      <c r="BI26" s="43">
        <f>IFERROR(IF($B$5="W",BI23,BI22),"0")</f>
        <v>2</v>
      </c>
      <c r="BJ26" s="33" t="s">
        <v>52</v>
      </c>
      <c r="BK26" s="49">
        <f>IFERROR(IF($B$5="W",BK23,BK22),"0")</f>
        <v>6</v>
      </c>
      <c r="BL26" s="12" t="s">
        <v>53</v>
      </c>
      <c r="BM26" s="33">
        <f>IFERROR(IF($B$5="W",BM23,BM22),"0")</f>
        <v>2</v>
      </c>
      <c r="BN26" s="49" t="s">
        <v>54</v>
      </c>
      <c r="BO26" s="12">
        <f>IFERROR(IF($B$5="W",BO23,BO22),"0")</f>
        <v>1</v>
      </c>
      <c r="BP26" s="33" t="s">
        <v>52</v>
      </c>
      <c r="BQ26" s="49">
        <f>IFERROR(IF($B$5="W",BQ23,BQ22),"0")</f>
        <v>1</v>
      </c>
      <c r="BR26" s="12" t="s">
        <v>53</v>
      </c>
      <c r="BS26" s="33">
        <f>IFERROR(IF($B$5="W",BS23,BS22),"0")</f>
        <v>1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1</v>
      </c>
      <c r="CB26" s="33" t="s">
        <v>52</v>
      </c>
      <c r="CC26" s="49">
        <f>IFERROR(IF($B$5="W",CC23,CC22),"0")</f>
        <v>5</v>
      </c>
      <c r="CD26" s="12" t="s">
        <v>53</v>
      </c>
      <c r="CE26" s="33">
        <f>IFERROR(IF($B$5="W",CE23,CE22),"0")</f>
        <v>1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5">IFERROR(IF($B$5="W",CI23,CI22),"0")</f>
        <v>0</v>
      </c>
      <c r="CJ26" s="33">
        <f t="shared" si="125"/>
        <v>2</v>
      </c>
      <c r="CK26" s="33">
        <f t="shared" si="125"/>
        <v>12</v>
      </c>
      <c r="CL26" s="33">
        <f t="shared" si="125"/>
        <v>0</v>
      </c>
      <c r="CM26" s="33">
        <f t="shared" si="125"/>
        <v>0</v>
      </c>
      <c r="CN26" s="33">
        <f t="shared" si="125"/>
        <v>14</v>
      </c>
      <c r="CO26" s="33">
        <f t="shared" si="125"/>
        <v>5</v>
      </c>
      <c r="CP26" s="33">
        <f t="shared" si="125"/>
        <v>6</v>
      </c>
      <c r="CQ26" s="33">
        <f t="shared" si="125"/>
        <v>1</v>
      </c>
      <c r="CR26" s="33">
        <f t="shared" si="125"/>
        <v>1</v>
      </c>
      <c r="CS26" s="33">
        <f t="shared" si="125"/>
        <v>1</v>
      </c>
      <c r="CT26" s="33">
        <f t="shared" si="125"/>
        <v>3</v>
      </c>
      <c r="CU26" s="33">
        <f t="shared" si="125"/>
        <v>0</v>
      </c>
      <c r="CV26" s="58">
        <f t="shared" si="125"/>
        <v>18.7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5"/>
        <v>20.60283932363064</v>
      </c>
      <c r="EW26" s="228" t="s">
        <v>74</v>
      </c>
      <c r="EX26" s="6">
        <f t="shared" ref="EX26:EX39" si="126">IFERROR(IF(B5="W",$EX$23,$EX$22),"0")</f>
        <v>0.7</v>
      </c>
      <c r="EY26" s="6">
        <f t="shared" si="96"/>
        <v>1</v>
      </c>
      <c r="EZ26" s="6">
        <f t="shared" ref="EZ26:EZ39" si="127">IFERROR(IF(B5="W",$EZ$23,$EZ$22),"0")</f>
        <v>7.3639999999999999</v>
      </c>
    </row>
    <row r="27" spans="1:197" x14ac:dyDescent="0.2">
      <c r="C27" s="228" t="s">
        <v>75</v>
      </c>
      <c r="D27" s="28">
        <f>IFERROR(IF(B6="W",D23,D22),"0")</f>
        <v>69.666666666666657</v>
      </c>
      <c r="E27" s="86">
        <f t="shared" si="97"/>
        <v>7</v>
      </c>
      <c r="F27" s="33" t="s">
        <v>52</v>
      </c>
      <c r="G27" s="49">
        <f t="shared" si="98"/>
        <v>21</v>
      </c>
      <c r="H27" s="12" t="s">
        <v>53</v>
      </c>
      <c r="I27" s="33">
        <f t="shared" si="99"/>
        <v>5</v>
      </c>
      <c r="J27" s="49" t="s">
        <v>54</v>
      </c>
      <c r="K27" s="12">
        <f t="shared" si="100"/>
        <v>1</v>
      </c>
      <c r="L27" s="33" t="s">
        <v>52</v>
      </c>
      <c r="M27" s="49">
        <f t="shared" si="101"/>
        <v>2</v>
      </c>
      <c r="N27" s="12" t="s">
        <v>53</v>
      </c>
      <c r="O27" s="33">
        <f t="shared" si="102"/>
        <v>1</v>
      </c>
      <c r="P27" s="49" t="s">
        <v>54</v>
      </c>
      <c r="Q27" s="12">
        <f t="shared" si="103"/>
        <v>2</v>
      </c>
      <c r="R27" s="33" t="s">
        <v>52</v>
      </c>
      <c r="S27" s="49">
        <f t="shared" si="104"/>
        <v>8</v>
      </c>
      <c r="T27" s="12" t="s">
        <v>53</v>
      </c>
      <c r="U27" s="33">
        <f t="shared" si="105"/>
        <v>0</v>
      </c>
      <c r="V27" s="49" t="s">
        <v>54</v>
      </c>
      <c r="W27" s="12">
        <f t="shared" si="106"/>
        <v>4</v>
      </c>
      <c r="X27" s="33" t="s">
        <v>52</v>
      </c>
      <c r="Y27" s="49">
        <f t="shared" si="107"/>
        <v>11</v>
      </c>
      <c r="Z27" s="12" t="s">
        <v>53</v>
      </c>
      <c r="AA27" s="33">
        <f t="shared" si="108"/>
        <v>4</v>
      </c>
      <c r="AB27" s="49" t="s">
        <v>54</v>
      </c>
      <c r="AC27" s="12">
        <f t="shared" si="109"/>
        <v>0.7</v>
      </c>
      <c r="AD27" s="33" t="s">
        <v>52</v>
      </c>
      <c r="AE27" s="53">
        <f t="shared" si="110"/>
        <v>1</v>
      </c>
      <c r="AF27" s="12"/>
      <c r="AG27" s="43">
        <f t="shared" si="111"/>
        <v>5</v>
      </c>
      <c r="AH27" s="33" t="s">
        <v>52</v>
      </c>
      <c r="AI27" s="49">
        <f t="shared" si="112"/>
        <v>15</v>
      </c>
      <c r="AJ27" s="12" t="s">
        <v>53</v>
      </c>
      <c r="AK27" s="33">
        <f t="shared" si="113"/>
        <v>3</v>
      </c>
      <c r="AL27" s="49" t="s">
        <v>54</v>
      </c>
      <c r="AM27" s="12">
        <f t="shared" si="114"/>
        <v>0</v>
      </c>
      <c r="AN27" s="33" t="s">
        <v>52</v>
      </c>
      <c r="AO27" s="49">
        <f t="shared" si="115"/>
        <v>1</v>
      </c>
      <c r="AP27" s="12" t="s">
        <v>53</v>
      </c>
      <c r="AQ27" s="33">
        <f t="shared" si="116"/>
        <v>0</v>
      </c>
      <c r="AR27" s="49" t="s">
        <v>54</v>
      </c>
      <c r="AS27" s="12">
        <f t="shared" si="117"/>
        <v>2</v>
      </c>
      <c r="AT27" s="33" t="s">
        <v>52</v>
      </c>
      <c r="AU27" s="49">
        <f t="shared" si="118"/>
        <v>8</v>
      </c>
      <c r="AV27" s="12" t="s">
        <v>53</v>
      </c>
      <c r="AW27" s="33">
        <f t="shared" si="119"/>
        <v>0</v>
      </c>
      <c r="AX27" s="49" t="s">
        <v>54</v>
      </c>
      <c r="AY27" s="12">
        <f t="shared" si="120"/>
        <v>3</v>
      </c>
      <c r="AZ27" s="33" t="s">
        <v>52</v>
      </c>
      <c r="BA27" s="49">
        <f t="shared" si="121"/>
        <v>6</v>
      </c>
      <c r="BB27" s="12" t="s">
        <v>53</v>
      </c>
      <c r="BC27" s="33">
        <f t="shared" si="122"/>
        <v>3</v>
      </c>
      <c r="BD27" s="49" t="s">
        <v>54</v>
      </c>
      <c r="BE27" s="12">
        <f t="shared" si="123"/>
        <v>0</v>
      </c>
      <c r="BF27" s="33" t="s">
        <v>52</v>
      </c>
      <c r="BG27" s="53">
        <f t="shared" si="124"/>
        <v>0</v>
      </c>
      <c r="BH27" s="12"/>
      <c r="BI27" s="43">
        <f>IFERROR(IF($B$6="W",BI23,BI22),"0")</f>
        <v>2</v>
      </c>
      <c r="BJ27" s="33" t="s">
        <v>52</v>
      </c>
      <c r="BK27" s="49">
        <f>IFERROR(IF($B$6="W",BK23,BK22),"0")</f>
        <v>6</v>
      </c>
      <c r="BL27" s="12" t="s">
        <v>53</v>
      </c>
      <c r="BM27" s="33">
        <f>IFERROR(IF($B$6="W",BM23,BM22),"0")</f>
        <v>2</v>
      </c>
      <c r="BN27" s="49" t="s">
        <v>54</v>
      </c>
      <c r="BO27" s="12">
        <f>IFERROR(IF($B$6="W",BO23,BO22),"0")</f>
        <v>1</v>
      </c>
      <c r="BP27" s="33" t="s">
        <v>52</v>
      </c>
      <c r="BQ27" s="49">
        <f>IFERROR(IF($B$6="W",BQ23,BQ22),"0")</f>
        <v>1</v>
      </c>
      <c r="BR27" s="12" t="s">
        <v>53</v>
      </c>
      <c r="BS27" s="33">
        <f>IFERROR(IF($B$6="W",BS23,BS22),"0")</f>
        <v>1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1</v>
      </c>
      <c r="CB27" s="33" t="s">
        <v>52</v>
      </c>
      <c r="CC27" s="49">
        <f>IFERROR(IF($B$6="W",CC23,CC22),"0")</f>
        <v>5</v>
      </c>
      <c r="CD27" s="12" t="s">
        <v>53</v>
      </c>
      <c r="CE27" s="33">
        <f>IFERROR(IF($B$6="W",CE23,CE22),"0")</f>
        <v>1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8">IFERROR(IF($B$6="W",CI23,CI22),"0")</f>
        <v>0</v>
      </c>
      <c r="CJ27" s="33">
        <f t="shared" si="128"/>
        <v>2</v>
      </c>
      <c r="CK27" s="33">
        <f t="shared" si="128"/>
        <v>12</v>
      </c>
      <c r="CL27" s="33">
        <f t="shared" si="128"/>
        <v>0</v>
      </c>
      <c r="CM27" s="33">
        <f t="shared" si="128"/>
        <v>0</v>
      </c>
      <c r="CN27" s="33">
        <f t="shared" si="128"/>
        <v>14</v>
      </c>
      <c r="CO27" s="33">
        <f t="shared" si="128"/>
        <v>5</v>
      </c>
      <c r="CP27" s="33">
        <f t="shared" si="128"/>
        <v>6</v>
      </c>
      <c r="CQ27" s="33">
        <f t="shared" si="128"/>
        <v>1</v>
      </c>
      <c r="CR27" s="33">
        <f t="shared" si="128"/>
        <v>1</v>
      </c>
      <c r="CS27" s="33">
        <f t="shared" si="128"/>
        <v>1</v>
      </c>
      <c r="CT27" s="33">
        <f t="shared" si="128"/>
        <v>3</v>
      </c>
      <c r="CU27" s="33">
        <f t="shared" si="128"/>
        <v>0</v>
      </c>
      <c r="CV27" s="58">
        <f t="shared" si="128"/>
        <v>18.7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5"/>
        <v>20.60283932363064</v>
      </c>
      <c r="EW27" s="228" t="s">
        <v>75</v>
      </c>
      <c r="EX27" s="6">
        <f t="shared" si="126"/>
        <v>0.7</v>
      </c>
      <c r="EY27" s="6">
        <f t="shared" si="96"/>
        <v>1</v>
      </c>
      <c r="EZ27" s="6">
        <f t="shared" si="127"/>
        <v>7.3639999999999999</v>
      </c>
    </row>
    <row r="28" spans="1:197" ht="17" thickBot="1" x14ac:dyDescent="0.25">
      <c r="C28" s="228" t="s">
        <v>76</v>
      </c>
      <c r="D28" s="28">
        <f>IFERROR(IF(B7="W",D23,D22),"0")</f>
        <v>69.666666666666657</v>
      </c>
      <c r="E28" s="86">
        <f t="shared" si="97"/>
        <v>7</v>
      </c>
      <c r="F28" s="33" t="s">
        <v>52</v>
      </c>
      <c r="G28" s="49">
        <f t="shared" si="98"/>
        <v>21</v>
      </c>
      <c r="H28" s="12" t="s">
        <v>53</v>
      </c>
      <c r="I28" s="33">
        <f t="shared" si="99"/>
        <v>5</v>
      </c>
      <c r="J28" s="49" t="s">
        <v>54</v>
      </c>
      <c r="K28" s="12">
        <f t="shared" si="100"/>
        <v>1</v>
      </c>
      <c r="L28" s="33" t="s">
        <v>52</v>
      </c>
      <c r="M28" s="49">
        <f t="shared" si="101"/>
        <v>2</v>
      </c>
      <c r="N28" s="12" t="s">
        <v>53</v>
      </c>
      <c r="O28" s="33">
        <f t="shared" si="102"/>
        <v>1</v>
      </c>
      <c r="P28" s="49" t="s">
        <v>54</v>
      </c>
      <c r="Q28" s="12">
        <f t="shared" si="103"/>
        <v>2</v>
      </c>
      <c r="R28" s="33" t="s">
        <v>52</v>
      </c>
      <c r="S28" s="49">
        <f t="shared" si="104"/>
        <v>8</v>
      </c>
      <c r="T28" s="12" t="s">
        <v>53</v>
      </c>
      <c r="U28" s="33">
        <f t="shared" si="105"/>
        <v>0</v>
      </c>
      <c r="V28" s="49" t="s">
        <v>54</v>
      </c>
      <c r="W28" s="12">
        <f t="shared" si="106"/>
        <v>4</v>
      </c>
      <c r="X28" s="33" t="s">
        <v>52</v>
      </c>
      <c r="Y28" s="49">
        <f t="shared" si="107"/>
        <v>11</v>
      </c>
      <c r="Z28" s="12" t="s">
        <v>53</v>
      </c>
      <c r="AA28" s="33">
        <f t="shared" si="108"/>
        <v>4</v>
      </c>
      <c r="AB28" s="49" t="s">
        <v>54</v>
      </c>
      <c r="AC28" s="12">
        <f t="shared" si="109"/>
        <v>0.7</v>
      </c>
      <c r="AD28" s="33" t="s">
        <v>52</v>
      </c>
      <c r="AE28" s="53">
        <f t="shared" si="110"/>
        <v>1</v>
      </c>
      <c r="AF28" s="12"/>
      <c r="AG28" s="43">
        <f t="shared" si="111"/>
        <v>5</v>
      </c>
      <c r="AH28" s="33" t="s">
        <v>52</v>
      </c>
      <c r="AI28" s="49">
        <f t="shared" si="112"/>
        <v>15</v>
      </c>
      <c r="AJ28" s="12" t="s">
        <v>53</v>
      </c>
      <c r="AK28" s="33">
        <f t="shared" si="113"/>
        <v>3</v>
      </c>
      <c r="AL28" s="49" t="s">
        <v>54</v>
      </c>
      <c r="AM28" s="12">
        <f t="shared" si="114"/>
        <v>0</v>
      </c>
      <c r="AN28" s="33" t="s">
        <v>52</v>
      </c>
      <c r="AO28" s="49">
        <f t="shared" si="115"/>
        <v>1</v>
      </c>
      <c r="AP28" s="12" t="s">
        <v>53</v>
      </c>
      <c r="AQ28" s="33">
        <f t="shared" si="116"/>
        <v>0</v>
      </c>
      <c r="AR28" s="49" t="s">
        <v>54</v>
      </c>
      <c r="AS28" s="12">
        <f t="shared" si="117"/>
        <v>2</v>
      </c>
      <c r="AT28" s="33" t="s">
        <v>52</v>
      </c>
      <c r="AU28" s="49">
        <f t="shared" si="118"/>
        <v>8</v>
      </c>
      <c r="AV28" s="12" t="s">
        <v>53</v>
      </c>
      <c r="AW28" s="33">
        <f t="shared" si="119"/>
        <v>0</v>
      </c>
      <c r="AX28" s="49" t="s">
        <v>54</v>
      </c>
      <c r="AY28" s="12">
        <f t="shared" si="120"/>
        <v>3</v>
      </c>
      <c r="AZ28" s="33" t="s">
        <v>52</v>
      </c>
      <c r="BA28" s="49">
        <f t="shared" si="121"/>
        <v>6</v>
      </c>
      <c r="BB28" s="12" t="s">
        <v>53</v>
      </c>
      <c r="BC28" s="33">
        <f t="shared" si="122"/>
        <v>3</v>
      </c>
      <c r="BD28" s="49" t="s">
        <v>54</v>
      </c>
      <c r="BE28" s="12">
        <f t="shared" si="123"/>
        <v>0</v>
      </c>
      <c r="BF28" s="33" t="s">
        <v>52</v>
      </c>
      <c r="BG28" s="53">
        <f t="shared" si="124"/>
        <v>0</v>
      </c>
      <c r="BH28" s="12"/>
      <c r="BI28" s="43">
        <f>IFERROR(IF($B$7="W",BI23,BI22),"0")</f>
        <v>2</v>
      </c>
      <c r="BJ28" s="33" t="s">
        <v>52</v>
      </c>
      <c r="BK28" s="49">
        <f>IFERROR(IF($B$7="W",BK23,BK22),"0")</f>
        <v>6</v>
      </c>
      <c r="BL28" s="12" t="s">
        <v>53</v>
      </c>
      <c r="BM28" s="33">
        <f>IFERROR(IF($B$7="W",BM23,BM22),"0")</f>
        <v>2</v>
      </c>
      <c r="BN28" s="49" t="s">
        <v>54</v>
      </c>
      <c r="BO28" s="12">
        <f>IFERROR(IF($B$7="W",BO23,BO22),"0")</f>
        <v>1</v>
      </c>
      <c r="BP28" s="33" t="s">
        <v>52</v>
      </c>
      <c r="BQ28" s="49">
        <f>IFERROR(IF($B$7="W",BQ23,BQ22),"0")</f>
        <v>1</v>
      </c>
      <c r="BR28" s="12" t="s">
        <v>53</v>
      </c>
      <c r="BS28" s="33">
        <f>IFERROR(IF($B$7="W",BS23,BS22),"0")</f>
        <v>1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1</v>
      </c>
      <c r="CB28" s="33" t="s">
        <v>52</v>
      </c>
      <c r="CC28" s="49">
        <f>IFERROR(IF($B$7="W",CC23,CC22),"0")</f>
        <v>5</v>
      </c>
      <c r="CD28" s="12" t="s">
        <v>53</v>
      </c>
      <c r="CE28" s="33">
        <f>IFERROR(IF($B$7="W",CE23,CE22),"0")</f>
        <v>1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9">IFERROR(IF($B$7="W",CI23,CI22),"0")</f>
        <v>0</v>
      </c>
      <c r="CJ28" s="33">
        <f t="shared" si="129"/>
        <v>2</v>
      </c>
      <c r="CK28" s="33">
        <f t="shared" si="129"/>
        <v>12</v>
      </c>
      <c r="CL28" s="33">
        <f t="shared" si="129"/>
        <v>0</v>
      </c>
      <c r="CM28" s="33">
        <f t="shared" si="129"/>
        <v>0</v>
      </c>
      <c r="CN28" s="33">
        <f t="shared" si="129"/>
        <v>14</v>
      </c>
      <c r="CO28" s="33">
        <f t="shared" si="129"/>
        <v>5</v>
      </c>
      <c r="CP28" s="33">
        <f t="shared" si="129"/>
        <v>6</v>
      </c>
      <c r="CQ28" s="33">
        <f t="shared" si="129"/>
        <v>1</v>
      </c>
      <c r="CR28" s="33">
        <f t="shared" si="129"/>
        <v>1</v>
      </c>
      <c r="CS28" s="33">
        <f t="shared" si="129"/>
        <v>1</v>
      </c>
      <c r="CT28" s="33">
        <f t="shared" si="129"/>
        <v>3</v>
      </c>
      <c r="CU28" s="33">
        <f t="shared" si="129"/>
        <v>0</v>
      </c>
      <c r="CV28" s="58">
        <f t="shared" si="129"/>
        <v>18.7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5"/>
        <v>20.60283932363064</v>
      </c>
      <c r="EW28" s="228" t="s">
        <v>76</v>
      </c>
      <c r="EX28" s="6">
        <f t="shared" si="126"/>
        <v>0.7</v>
      </c>
      <c r="EY28" s="6">
        <f t="shared" si="96"/>
        <v>1</v>
      </c>
      <c r="EZ28" s="6">
        <f t="shared" si="127"/>
        <v>7.3639999999999999</v>
      </c>
    </row>
    <row r="29" spans="1:197" x14ac:dyDescent="0.2">
      <c r="C29" s="228" t="s">
        <v>222</v>
      </c>
      <c r="D29" s="28">
        <f>IFERROR(IF(B8="W",D23,D22),"0")</f>
        <v>69.666666666666671</v>
      </c>
      <c r="E29" s="86">
        <f t="shared" si="97"/>
        <v>15</v>
      </c>
      <c r="F29" s="33" t="s">
        <v>52</v>
      </c>
      <c r="G29" s="49">
        <f t="shared" si="98"/>
        <v>36</v>
      </c>
      <c r="H29" s="12" t="s">
        <v>53</v>
      </c>
      <c r="I29" s="33">
        <f t="shared" si="99"/>
        <v>9</v>
      </c>
      <c r="J29" s="49" t="s">
        <v>54</v>
      </c>
      <c r="K29" s="12">
        <f t="shared" si="100"/>
        <v>9</v>
      </c>
      <c r="L29" s="33" t="s">
        <v>52</v>
      </c>
      <c r="M29" s="49">
        <f t="shared" si="101"/>
        <v>19</v>
      </c>
      <c r="N29" s="12" t="s">
        <v>53</v>
      </c>
      <c r="O29" s="33">
        <f t="shared" si="102"/>
        <v>6</v>
      </c>
      <c r="P29" s="49" t="s">
        <v>54</v>
      </c>
      <c r="Q29" s="12">
        <f t="shared" si="103"/>
        <v>2</v>
      </c>
      <c r="R29" s="33" t="s">
        <v>52</v>
      </c>
      <c r="S29" s="49">
        <f t="shared" si="104"/>
        <v>6</v>
      </c>
      <c r="T29" s="12" t="s">
        <v>53</v>
      </c>
      <c r="U29" s="33">
        <f t="shared" si="105"/>
        <v>0</v>
      </c>
      <c r="V29" s="49" t="s">
        <v>54</v>
      </c>
      <c r="W29" s="12">
        <f t="shared" si="106"/>
        <v>4</v>
      </c>
      <c r="X29" s="33" t="s">
        <v>52</v>
      </c>
      <c r="Y29" s="49">
        <f t="shared" si="107"/>
        <v>11</v>
      </c>
      <c r="Z29" s="12" t="s">
        <v>53</v>
      </c>
      <c r="AA29" s="33">
        <f t="shared" si="108"/>
        <v>3</v>
      </c>
      <c r="AB29" s="49" t="s">
        <v>54</v>
      </c>
      <c r="AC29" s="12">
        <f t="shared" si="109"/>
        <v>0.6</v>
      </c>
      <c r="AD29" s="33" t="s">
        <v>52</v>
      </c>
      <c r="AE29" s="53">
        <f t="shared" si="110"/>
        <v>1</v>
      </c>
      <c r="AF29" s="12"/>
      <c r="AG29" s="43">
        <f t="shared" si="111"/>
        <v>9</v>
      </c>
      <c r="AH29" s="33" t="s">
        <v>52</v>
      </c>
      <c r="AI29" s="49">
        <f t="shared" si="112"/>
        <v>24</v>
      </c>
      <c r="AJ29" s="12" t="s">
        <v>53</v>
      </c>
      <c r="AK29" s="33">
        <f t="shared" si="113"/>
        <v>4</v>
      </c>
      <c r="AL29" s="49" t="s">
        <v>54</v>
      </c>
      <c r="AM29" s="12">
        <f t="shared" si="114"/>
        <v>5</v>
      </c>
      <c r="AN29" s="33" t="s">
        <v>52</v>
      </c>
      <c r="AO29" s="49">
        <f t="shared" si="115"/>
        <v>10</v>
      </c>
      <c r="AP29" s="12" t="s">
        <v>53</v>
      </c>
      <c r="AQ29" s="33">
        <f t="shared" si="116"/>
        <v>3</v>
      </c>
      <c r="AR29" s="49" t="s">
        <v>54</v>
      </c>
      <c r="AS29" s="12">
        <f t="shared" si="117"/>
        <v>2</v>
      </c>
      <c r="AT29" s="33" t="s">
        <v>52</v>
      </c>
      <c r="AU29" s="49">
        <f t="shared" si="118"/>
        <v>6</v>
      </c>
      <c r="AV29" s="12" t="s">
        <v>53</v>
      </c>
      <c r="AW29" s="33">
        <f t="shared" si="119"/>
        <v>0</v>
      </c>
      <c r="AX29" s="49" t="s">
        <v>54</v>
      </c>
      <c r="AY29" s="12">
        <f t="shared" si="120"/>
        <v>2</v>
      </c>
      <c r="AZ29" s="33" t="s">
        <v>52</v>
      </c>
      <c r="BA29" s="49">
        <f t="shared" si="121"/>
        <v>8</v>
      </c>
      <c r="BB29" s="12" t="s">
        <v>53</v>
      </c>
      <c r="BC29" s="33">
        <f t="shared" si="122"/>
        <v>1</v>
      </c>
      <c r="BD29" s="49" t="s">
        <v>54</v>
      </c>
      <c r="BE29" s="12">
        <f t="shared" si="123"/>
        <v>0</v>
      </c>
      <c r="BF29" s="33" t="s">
        <v>52</v>
      </c>
      <c r="BG29" s="53">
        <f t="shared" si="124"/>
        <v>0</v>
      </c>
      <c r="BH29" s="12"/>
      <c r="BI29" s="43">
        <f>IFERROR(IF($B$8="W",BI23,BI22),"0")</f>
        <v>6</v>
      </c>
      <c r="BJ29" s="33" t="s">
        <v>52</v>
      </c>
      <c r="BK29" s="49">
        <f>IFERROR(IF($B$8="W",BK23,BK22),"0")</f>
        <v>12</v>
      </c>
      <c r="BL29" s="12" t="s">
        <v>53</v>
      </c>
      <c r="BM29" s="33">
        <f>IFERROR(IF($B$8="W",BM23,BM22),"0")</f>
        <v>5</v>
      </c>
      <c r="BN29" s="49" t="s">
        <v>54</v>
      </c>
      <c r="BO29" s="12">
        <f>IFERROR(IF($B$8="W",BO23,BO22),"0")</f>
        <v>4</v>
      </c>
      <c r="BP29" s="33" t="s">
        <v>52</v>
      </c>
      <c r="BQ29" s="49">
        <f>IFERROR(IF($B$8="W",BQ23,BQ22),"0")</f>
        <v>9</v>
      </c>
      <c r="BR29" s="12" t="s">
        <v>53</v>
      </c>
      <c r="BS29" s="33">
        <f>IFERROR(IF($B$8="W",BS23,BS22),"0")</f>
        <v>3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2</v>
      </c>
      <c r="CB29" s="33" t="s">
        <v>52</v>
      </c>
      <c r="CC29" s="49">
        <f>IFERROR(IF($B$8="W",CC23,CC22),"0")</f>
        <v>3</v>
      </c>
      <c r="CD29" s="12" t="s">
        <v>53</v>
      </c>
      <c r="CE29" s="33">
        <f>IFERROR(IF($B$8="W",CE23,CE22),"0")</f>
        <v>2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30">IFERROR(IF($B$8="W",CI23,CI22),"0")</f>
        <v>0</v>
      </c>
      <c r="CJ29" s="33">
        <f t="shared" si="130"/>
        <v>9</v>
      </c>
      <c r="CK29" s="33">
        <f t="shared" si="130"/>
        <v>12</v>
      </c>
      <c r="CL29" s="33">
        <f t="shared" si="130"/>
        <v>0</v>
      </c>
      <c r="CM29" s="33">
        <f t="shared" si="130"/>
        <v>0</v>
      </c>
      <c r="CN29" s="33">
        <f t="shared" si="130"/>
        <v>21</v>
      </c>
      <c r="CO29" s="33">
        <f t="shared" si="130"/>
        <v>9</v>
      </c>
      <c r="CP29" s="33">
        <f t="shared" si="130"/>
        <v>10</v>
      </c>
      <c r="CQ29" s="33">
        <f t="shared" si="130"/>
        <v>1</v>
      </c>
      <c r="CR29" s="33">
        <f t="shared" si="130"/>
        <v>1</v>
      </c>
      <c r="CS29" s="33">
        <f t="shared" si="130"/>
        <v>3</v>
      </c>
      <c r="CT29" s="33">
        <f t="shared" si="130"/>
        <v>1</v>
      </c>
      <c r="CU29" s="33">
        <f t="shared" si="130"/>
        <v>0</v>
      </c>
      <c r="CV29" s="58">
        <f t="shared" si="130"/>
        <v>34.6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5"/>
        <v>26.445813605525938</v>
      </c>
      <c r="EW29" s="228" t="s">
        <v>222</v>
      </c>
      <c r="EX29" s="6">
        <f t="shared" si="126"/>
        <v>0.6</v>
      </c>
      <c r="EY29" s="6">
        <f t="shared" si="96"/>
        <v>1</v>
      </c>
      <c r="EZ29" s="6">
        <f t="shared" si="127"/>
        <v>15.336</v>
      </c>
    </row>
    <row r="30" spans="1:197" x14ac:dyDescent="0.2">
      <c r="C30" s="228" t="s">
        <v>77</v>
      </c>
      <c r="D30" s="28">
        <f>IFERROR(IF(B9="W",D23,D22),"0")</f>
        <v>69.666666666666657</v>
      </c>
      <c r="E30" s="86">
        <f t="shared" si="97"/>
        <v>7</v>
      </c>
      <c r="F30" s="33" t="s">
        <v>52</v>
      </c>
      <c r="G30" s="49">
        <f t="shared" si="98"/>
        <v>21</v>
      </c>
      <c r="H30" s="12" t="s">
        <v>53</v>
      </c>
      <c r="I30" s="33">
        <f t="shared" si="99"/>
        <v>5</v>
      </c>
      <c r="J30" s="49" t="s">
        <v>54</v>
      </c>
      <c r="K30" s="12">
        <f t="shared" si="100"/>
        <v>1</v>
      </c>
      <c r="L30" s="33" t="s">
        <v>52</v>
      </c>
      <c r="M30" s="49">
        <f t="shared" si="101"/>
        <v>2</v>
      </c>
      <c r="N30" s="12" t="s">
        <v>53</v>
      </c>
      <c r="O30" s="33">
        <f t="shared" si="102"/>
        <v>1</v>
      </c>
      <c r="P30" s="49" t="s">
        <v>54</v>
      </c>
      <c r="Q30" s="12">
        <f t="shared" si="103"/>
        <v>2</v>
      </c>
      <c r="R30" s="33" t="s">
        <v>52</v>
      </c>
      <c r="S30" s="49">
        <f t="shared" si="104"/>
        <v>8</v>
      </c>
      <c r="T30" s="12" t="s">
        <v>53</v>
      </c>
      <c r="U30" s="33">
        <f t="shared" si="105"/>
        <v>0</v>
      </c>
      <c r="V30" s="49" t="s">
        <v>54</v>
      </c>
      <c r="W30" s="12">
        <f t="shared" si="106"/>
        <v>4</v>
      </c>
      <c r="X30" s="33" t="s">
        <v>52</v>
      </c>
      <c r="Y30" s="49">
        <f t="shared" si="107"/>
        <v>11</v>
      </c>
      <c r="Z30" s="12" t="s">
        <v>53</v>
      </c>
      <c r="AA30" s="33">
        <f t="shared" si="108"/>
        <v>4</v>
      </c>
      <c r="AB30" s="49" t="s">
        <v>54</v>
      </c>
      <c r="AC30" s="12">
        <f t="shared" si="109"/>
        <v>0.7</v>
      </c>
      <c r="AD30" s="33" t="s">
        <v>52</v>
      </c>
      <c r="AE30" s="53">
        <f t="shared" si="110"/>
        <v>1</v>
      </c>
      <c r="AF30" s="12"/>
      <c r="AG30" s="43">
        <f t="shared" si="111"/>
        <v>5</v>
      </c>
      <c r="AH30" s="33" t="s">
        <v>52</v>
      </c>
      <c r="AI30" s="49">
        <f t="shared" si="112"/>
        <v>15</v>
      </c>
      <c r="AJ30" s="12" t="s">
        <v>53</v>
      </c>
      <c r="AK30" s="33">
        <f t="shared" si="113"/>
        <v>3</v>
      </c>
      <c r="AL30" s="49" t="s">
        <v>54</v>
      </c>
      <c r="AM30" s="12">
        <f t="shared" si="114"/>
        <v>0</v>
      </c>
      <c r="AN30" s="33" t="s">
        <v>52</v>
      </c>
      <c r="AO30" s="49">
        <f t="shared" si="115"/>
        <v>1</v>
      </c>
      <c r="AP30" s="12" t="s">
        <v>53</v>
      </c>
      <c r="AQ30" s="33">
        <f t="shared" si="116"/>
        <v>0</v>
      </c>
      <c r="AR30" s="49" t="s">
        <v>54</v>
      </c>
      <c r="AS30" s="12">
        <f t="shared" si="117"/>
        <v>2</v>
      </c>
      <c r="AT30" s="33" t="s">
        <v>52</v>
      </c>
      <c r="AU30" s="49">
        <f t="shared" si="118"/>
        <v>8</v>
      </c>
      <c r="AV30" s="12" t="s">
        <v>53</v>
      </c>
      <c r="AW30" s="33">
        <f t="shared" si="119"/>
        <v>0</v>
      </c>
      <c r="AX30" s="49" t="s">
        <v>54</v>
      </c>
      <c r="AY30" s="12">
        <f t="shared" si="120"/>
        <v>3</v>
      </c>
      <c r="AZ30" s="33" t="s">
        <v>52</v>
      </c>
      <c r="BA30" s="49">
        <f t="shared" si="121"/>
        <v>6</v>
      </c>
      <c r="BB30" s="12" t="s">
        <v>53</v>
      </c>
      <c r="BC30" s="33">
        <f t="shared" si="122"/>
        <v>3</v>
      </c>
      <c r="BD30" s="49" t="s">
        <v>54</v>
      </c>
      <c r="BE30" s="12">
        <f t="shared" si="123"/>
        <v>0</v>
      </c>
      <c r="BF30" s="33" t="s">
        <v>52</v>
      </c>
      <c r="BG30" s="53">
        <f t="shared" si="124"/>
        <v>0</v>
      </c>
      <c r="BH30" s="12"/>
      <c r="BI30" s="43">
        <f>IFERROR(IF($B$9="W",BI23,BI22),"0")</f>
        <v>2</v>
      </c>
      <c r="BJ30" s="33" t="s">
        <v>52</v>
      </c>
      <c r="BK30" s="49">
        <f>IFERROR(IF($B$9="W",BK23,BK22),"0")</f>
        <v>6</v>
      </c>
      <c r="BL30" s="12" t="s">
        <v>53</v>
      </c>
      <c r="BM30" s="33">
        <f>IFERROR(IF($B$9="W",BM23,BM22),"0")</f>
        <v>2</v>
      </c>
      <c r="BN30" s="49" t="s">
        <v>54</v>
      </c>
      <c r="BO30" s="12">
        <f>IFERROR(IF($B$9="W",BO23,BO22),"0")</f>
        <v>1</v>
      </c>
      <c r="BP30" s="33" t="s">
        <v>52</v>
      </c>
      <c r="BQ30" s="49">
        <f>IFERROR(IF($B$9="W",BQ23,BQ22),"0")</f>
        <v>1</v>
      </c>
      <c r="BR30" s="12" t="s">
        <v>53</v>
      </c>
      <c r="BS30" s="33">
        <f>IFERROR(IF($B$9="W",BS23,BS22),"0")</f>
        <v>1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1</v>
      </c>
      <c r="CB30" s="33" t="s">
        <v>52</v>
      </c>
      <c r="CC30" s="49">
        <f>IFERROR(IF($B$9="W",CC23,CC22),"0")</f>
        <v>5</v>
      </c>
      <c r="CD30" s="12" t="s">
        <v>53</v>
      </c>
      <c r="CE30" s="33">
        <f>IFERROR(IF($B$9="W",CE23,CE22),"0")</f>
        <v>1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31">IFERROR(IF($B$9="W",CI23,CI22),"0")</f>
        <v>0</v>
      </c>
      <c r="CJ30" s="33">
        <f t="shared" si="131"/>
        <v>2</v>
      </c>
      <c r="CK30" s="33">
        <f t="shared" si="131"/>
        <v>12</v>
      </c>
      <c r="CL30" s="33">
        <f t="shared" si="131"/>
        <v>0</v>
      </c>
      <c r="CM30" s="33">
        <f t="shared" si="131"/>
        <v>0</v>
      </c>
      <c r="CN30" s="33">
        <f t="shared" si="131"/>
        <v>14</v>
      </c>
      <c r="CO30" s="33">
        <f t="shared" si="131"/>
        <v>5</v>
      </c>
      <c r="CP30" s="33">
        <f t="shared" si="131"/>
        <v>6</v>
      </c>
      <c r="CQ30" s="33">
        <f t="shared" si="131"/>
        <v>1</v>
      </c>
      <c r="CR30" s="33">
        <f t="shared" si="131"/>
        <v>1</v>
      </c>
      <c r="CS30" s="33">
        <f t="shared" si="131"/>
        <v>1</v>
      </c>
      <c r="CT30" s="33">
        <f t="shared" si="131"/>
        <v>3</v>
      </c>
      <c r="CU30" s="33">
        <f t="shared" si="131"/>
        <v>0</v>
      </c>
      <c r="CV30" s="58">
        <f t="shared" si="131"/>
        <v>18.7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5"/>
        <v>20.60283932363064</v>
      </c>
      <c r="EW30" s="228" t="s">
        <v>77</v>
      </c>
      <c r="EX30" s="6">
        <f t="shared" si="126"/>
        <v>0.7</v>
      </c>
      <c r="EY30" s="6">
        <f t="shared" si="96"/>
        <v>1</v>
      </c>
      <c r="EZ30" s="6">
        <f t="shared" si="127"/>
        <v>7.3639999999999999</v>
      </c>
    </row>
    <row r="31" spans="1:197" ht="17" thickBot="1" x14ac:dyDescent="0.25">
      <c r="C31" s="228" t="s">
        <v>78</v>
      </c>
      <c r="D31" s="28">
        <f>IFERROR(IF(B10="W",D23,D22),"0")</f>
        <v>69.666666666666671</v>
      </c>
      <c r="E31" s="86">
        <f t="shared" si="97"/>
        <v>15</v>
      </c>
      <c r="F31" s="33" t="s">
        <v>52</v>
      </c>
      <c r="G31" s="49">
        <f t="shared" si="98"/>
        <v>36</v>
      </c>
      <c r="H31" s="12" t="s">
        <v>53</v>
      </c>
      <c r="I31" s="33">
        <f t="shared" si="99"/>
        <v>9</v>
      </c>
      <c r="J31" s="49" t="s">
        <v>54</v>
      </c>
      <c r="K31" s="12">
        <f t="shared" si="100"/>
        <v>9</v>
      </c>
      <c r="L31" s="33" t="s">
        <v>52</v>
      </c>
      <c r="M31" s="49">
        <f t="shared" si="101"/>
        <v>19</v>
      </c>
      <c r="N31" s="12" t="s">
        <v>53</v>
      </c>
      <c r="O31" s="33">
        <f t="shared" si="102"/>
        <v>6</v>
      </c>
      <c r="P31" s="49" t="s">
        <v>54</v>
      </c>
      <c r="Q31" s="12">
        <f t="shared" si="103"/>
        <v>2</v>
      </c>
      <c r="R31" s="33" t="s">
        <v>52</v>
      </c>
      <c r="S31" s="49">
        <f t="shared" si="104"/>
        <v>6</v>
      </c>
      <c r="T31" s="12" t="s">
        <v>53</v>
      </c>
      <c r="U31" s="33">
        <f t="shared" si="105"/>
        <v>0</v>
      </c>
      <c r="V31" s="49" t="s">
        <v>54</v>
      </c>
      <c r="W31" s="12">
        <f t="shared" si="106"/>
        <v>4</v>
      </c>
      <c r="X31" s="33" t="s">
        <v>52</v>
      </c>
      <c r="Y31" s="49">
        <f t="shared" si="107"/>
        <v>11</v>
      </c>
      <c r="Z31" s="12" t="s">
        <v>53</v>
      </c>
      <c r="AA31" s="33">
        <f t="shared" si="108"/>
        <v>3</v>
      </c>
      <c r="AB31" s="49" t="s">
        <v>54</v>
      </c>
      <c r="AC31" s="12">
        <f t="shared" si="109"/>
        <v>0.6</v>
      </c>
      <c r="AD31" s="33" t="s">
        <v>52</v>
      </c>
      <c r="AE31" s="53">
        <f t="shared" si="110"/>
        <v>1</v>
      </c>
      <c r="AF31" s="12"/>
      <c r="AG31" s="43">
        <f t="shared" si="111"/>
        <v>9</v>
      </c>
      <c r="AH31" s="33" t="s">
        <v>52</v>
      </c>
      <c r="AI31" s="49">
        <f t="shared" si="112"/>
        <v>24</v>
      </c>
      <c r="AJ31" s="12" t="s">
        <v>53</v>
      </c>
      <c r="AK31" s="33">
        <f t="shared" si="113"/>
        <v>4</v>
      </c>
      <c r="AL31" s="49" t="s">
        <v>54</v>
      </c>
      <c r="AM31" s="12">
        <f t="shared" si="114"/>
        <v>5</v>
      </c>
      <c r="AN31" s="33" t="s">
        <v>52</v>
      </c>
      <c r="AO31" s="49">
        <f t="shared" si="115"/>
        <v>10</v>
      </c>
      <c r="AP31" s="12" t="s">
        <v>53</v>
      </c>
      <c r="AQ31" s="33">
        <f t="shared" si="116"/>
        <v>3</v>
      </c>
      <c r="AR31" s="49" t="s">
        <v>54</v>
      </c>
      <c r="AS31" s="12">
        <f t="shared" si="117"/>
        <v>2</v>
      </c>
      <c r="AT31" s="33" t="s">
        <v>52</v>
      </c>
      <c r="AU31" s="49">
        <f t="shared" si="118"/>
        <v>6</v>
      </c>
      <c r="AV31" s="12" t="s">
        <v>53</v>
      </c>
      <c r="AW31" s="33">
        <f t="shared" si="119"/>
        <v>0</v>
      </c>
      <c r="AX31" s="49" t="s">
        <v>54</v>
      </c>
      <c r="AY31" s="12">
        <f t="shared" si="120"/>
        <v>2</v>
      </c>
      <c r="AZ31" s="33" t="s">
        <v>52</v>
      </c>
      <c r="BA31" s="49">
        <f t="shared" si="121"/>
        <v>8</v>
      </c>
      <c r="BB31" s="12" t="s">
        <v>53</v>
      </c>
      <c r="BC31" s="33">
        <f t="shared" si="122"/>
        <v>1</v>
      </c>
      <c r="BD31" s="49" t="s">
        <v>54</v>
      </c>
      <c r="BE31" s="12">
        <f t="shared" si="123"/>
        <v>0</v>
      </c>
      <c r="BF31" s="33" t="s">
        <v>52</v>
      </c>
      <c r="BG31" s="53">
        <f t="shared" si="124"/>
        <v>0</v>
      </c>
      <c r="BH31" s="12"/>
      <c r="BI31" s="43">
        <f>IFERROR(IF($B$10="W",BI23,BI22),"0")</f>
        <v>6</v>
      </c>
      <c r="BJ31" s="33" t="s">
        <v>52</v>
      </c>
      <c r="BK31" s="49">
        <f>IFERROR(IF($B$10="W",BK23,BK22),"0")</f>
        <v>12</v>
      </c>
      <c r="BL31" s="12" t="s">
        <v>53</v>
      </c>
      <c r="BM31" s="33">
        <f>IFERROR(IF($B$10="W",BM23,BM22),"0")</f>
        <v>5</v>
      </c>
      <c r="BN31" s="49" t="s">
        <v>54</v>
      </c>
      <c r="BO31" s="12">
        <f>IFERROR(IF($B$10="W",BO23,BO22),"0")</f>
        <v>4</v>
      </c>
      <c r="BP31" s="33" t="s">
        <v>52</v>
      </c>
      <c r="BQ31" s="49">
        <f>IFERROR(IF($B$10="W",BQ23,BQ22),"0")</f>
        <v>9</v>
      </c>
      <c r="BR31" s="12" t="s">
        <v>53</v>
      </c>
      <c r="BS31" s="33">
        <f>IFERROR(IF($B$10="W",BS23,BS22),"0")</f>
        <v>3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2</v>
      </c>
      <c r="CB31" s="33" t="s">
        <v>52</v>
      </c>
      <c r="CC31" s="49">
        <f>IFERROR(IF($B$10="W",CC23,CC22),"0")</f>
        <v>3</v>
      </c>
      <c r="CD31" s="12" t="s">
        <v>53</v>
      </c>
      <c r="CE31" s="33">
        <f>IFERROR(IF($B$10="W",CE23,CE22),"0")</f>
        <v>2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2">IFERROR(IF($B$10="W",CI23,CI22),"0")</f>
        <v>0</v>
      </c>
      <c r="CJ31" s="33">
        <f t="shared" si="132"/>
        <v>9</v>
      </c>
      <c r="CK31" s="33">
        <f t="shared" si="132"/>
        <v>12</v>
      </c>
      <c r="CL31" s="33">
        <f t="shared" si="132"/>
        <v>0</v>
      </c>
      <c r="CM31" s="33">
        <f t="shared" si="132"/>
        <v>0</v>
      </c>
      <c r="CN31" s="33">
        <f t="shared" si="132"/>
        <v>21</v>
      </c>
      <c r="CO31" s="33">
        <f t="shared" si="132"/>
        <v>9</v>
      </c>
      <c r="CP31" s="33">
        <f t="shared" si="132"/>
        <v>10</v>
      </c>
      <c r="CQ31" s="33">
        <f t="shared" si="132"/>
        <v>1</v>
      </c>
      <c r="CR31" s="33">
        <f t="shared" si="132"/>
        <v>1</v>
      </c>
      <c r="CS31" s="33">
        <f t="shared" si="132"/>
        <v>3</v>
      </c>
      <c r="CT31" s="33">
        <f t="shared" si="132"/>
        <v>1</v>
      </c>
      <c r="CU31" s="33">
        <f t="shared" si="132"/>
        <v>0</v>
      </c>
      <c r="CV31" s="58">
        <f t="shared" si="132"/>
        <v>34.6</v>
      </c>
      <c r="CW31" s="33"/>
      <c r="CX31" s="4"/>
      <c r="CY31" s="289">
        <f>(G21-E21)+((SUM(EW4:EW18))-(SUM(EV4:EV18)))</f>
        <v>35</v>
      </c>
      <c r="CZ31" s="290">
        <f>CN21</f>
        <v>35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5"/>
        <v>26.445813605525938</v>
      </c>
      <c r="EW31" s="228" t="s">
        <v>78</v>
      </c>
      <c r="EX31" s="6">
        <f t="shared" si="126"/>
        <v>0.6</v>
      </c>
      <c r="EY31" s="6">
        <f t="shared" si="96"/>
        <v>1</v>
      </c>
      <c r="EZ31" s="6">
        <f t="shared" si="127"/>
        <v>15.336</v>
      </c>
    </row>
    <row r="32" spans="1:197" x14ac:dyDescent="0.2">
      <c r="C32" s="228" t="s">
        <v>79</v>
      </c>
      <c r="D32" s="28">
        <f>IFERROR(IF(B11="W",D23,D22),"0")</f>
        <v>69.666666666666657</v>
      </c>
      <c r="E32" s="86">
        <f t="shared" si="97"/>
        <v>7</v>
      </c>
      <c r="F32" s="33" t="s">
        <v>52</v>
      </c>
      <c r="G32" s="49">
        <f t="shared" si="98"/>
        <v>21</v>
      </c>
      <c r="H32" s="12" t="s">
        <v>53</v>
      </c>
      <c r="I32" s="33">
        <f t="shared" si="99"/>
        <v>5</v>
      </c>
      <c r="J32" s="49" t="s">
        <v>54</v>
      </c>
      <c r="K32" s="12">
        <f t="shared" si="100"/>
        <v>1</v>
      </c>
      <c r="L32" s="33" t="s">
        <v>52</v>
      </c>
      <c r="M32" s="49">
        <f t="shared" si="101"/>
        <v>2</v>
      </c>
      <c r="N32" s="12" t="s">
        <v>53</v>
      </c>
      <c r="O32" s="33">
        <f t="shared" si="102"/>
        <v>1</v>
      </c>
      <c r="P32" s="49" t="s">
        <v>54</v>
      </c>
      <c r="Q32" s="12">
        <f t="shared" si="103"/>
        <v>2</v>
      </c>
      <c r="R32" s="33" t="s">
        <v>52</v>
      </c>
      <c r="S32" s="49">
        <f t="shared" si="104"/>
        <v>8</v>
      </c>
      <c r="T32" s="12" t="s">
        <v>53</v>
      </c>
      <c r="U32" s="33">
        <f t="shared" si="105"/>
        <v>0</v>
      </c>
      <c r="V32" s="49" t="s">
        <v>54</v>
      </c>
      <c r="W32" s="12">
        <f t="shared" si="106"/>
        <v>4</v>
      </c>
      <c r="X32" s="33" t="s">
        <v>52</v>
      </c>
      <c r="Y32" s="49">
        <f t="shared" si="107"/>
        <v>11</v>
      </c>
      <c r="Z32" s="12" t="s">
        <v>53</v>
      </c>
      <c r="AA32" s="33">
        <f t="shared" si="108"/>
        <v>4</v>
      </c>
      <c r="AB32" s="49" t="s">
        <v>54</v>
      </c>
      <c r="AC32" s="12">
        <f t="shared" si="109"/>
        <v>0.7</v>
      </c>
      <c r="AD32" s="33" t="s">
        <v>52</v>
      </c>
      <c r="AE32" s="53">
        <f t="shared" si="110"/>
        <v>1</v>
      </c>
      <c r="AF32" s="12"/>
      <c r="AG32" s="43">
        <f t="shared" si="111"/>
        <v>5</v>
      </c>
      <c r="AH32" s="33" t="s">
        <v>52</v>
      </c>
      <c r="AI32" s="49">
        <f t="shared" si="112"/>
        <v>15</v>
      </c>
      <c r="AJ32" s="12" t="s">
        <v>53</v>
      </c>
      <c r="AK32" s="33">
        <f t="shared" si="113"/>
        <v>3</v>
      </c>
      <c r="AL32" s="49" t="s">
        <v>54</v>
      </c>
      <c r="AM32" s="12">
        <f t="shared" si="114"/>
        <v>0</v>
      </c>
      <c r="AN32" s="33" t="s">
        <v>52</v>
      </c>
      <c r="AO32" s="49">
        <f t="shared" si="115"/>
        <v>1</v>
      </c>
      <c r="AP32" s="12" t="s">
        <v>53</v>
      </c>
      <c r="AQ32" s="33">
        <f t="shared" si="116"/>
        <v>0</v>
      </c>
      <c r="AR32" s="49" t="s">
        <v>54</v>
      </c>
      <c r="AS32" s="12">
        <f t="shared" si="117"/>
        <v>2</v>
      </c>
      <c r="AT32" s="33" t="s">
        <v>52</v>
      </c>
      <c r="AU32" s="49">
        <f t="shared" si="118"/>
        <v>8</v>
      </c>
      <c r="AV32" s="12" t="s">
        <v>53</v>
      </c>
      <c r="AW32" s="33">
        <f t="shared" si="119"/>
        <v>0</v>
      </c>
      <c r="AX32" s="49" t="s">
        <v>54</v>
      </c>
      <c r="AY32" s="12">
        <f t="shared" si="120"/>
        <v>3</v>
      </c>
      <c r="AZ32" s="33" t="s">
        <v>52</v>
      </c>
      <c r="BA32" s="49">
        <f t="shared" si="121"/>
        <v>6</v>
      </c>
      <c r="BB32" s="12" t="s">
        <v>53</v>
      </c>
      <c r="BC32" s="33">
        <f t="shared" si="122"/>
        <v>3</v>
      </c>
      <c r="BD32" s="49" t="s">
        <v>54</v>
      </c>
      <c r="BE32" s="12">
        <f t="shared" si="123"/>
        <v>0</v>
      </c>
      <c r="BF32" s="33" t="s">
        <v>52</v>
      </c>
      <c r="BG32" s="53">
        <f t="shared" si="124"/>
        <v>0</v>
      </c>
      <c r="BH32" s="12"/>
      <c r="BI32" s="43">
        <f>IFERROR(IF($B$11="W",BI23,BI22),"0")</f>
        <v>2</v>
      </c>
      <c r="BJ32" s="33" t="s">
        <v>52</v>
      </c>
      <c r="BK32" s="49">
        <f>IFERROR(IF($B$11="W",BK23,BK22),"0")</f>
        <v>6</v>
      </c>
      <c r="BL32" s="12" t="s">
        <v>53</v>
      </c>
      <c r="BM32" s="33">
        <f>IFERROR(IF($B$11="W",BM23,BM22),"0")</f>
        <v>2</v>
      </c>
      <c r="BN32" s="49" t="s">
        <v>54</v>
      </c>
      <c r="BO32" s="12">
        <f>IFERROR(IF($B$11="W",BO23,BO22),"0")</f>
        <v>1</v>
      </c>
      <c r="BP32" s="33" t="s">
        <v>52</v>
      </c>
      <c r="BQ32" s="49">
        <f>IFERROR(IF($B$11="W",BQ23,BQ22),"0")</f>
        <v>1</v>
      </c>
      <c r="BR32" s="12" t="s">
        <v>53</v>
      </c>
      <c r="BS32" s="33">
        <f>IFERROR(IF($B$11="W",BS23,BS22),"0")</f>
        <v>1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1</v>
      </c>
      <c r="CB32" s="33" t="s">
        <v>52</v>
      </c>
      <c r="CC32" s="49">
        <f>IFERROR(IF($B$11="W",CC23,CC22),"0")</f>
        <v>5</v>
      </c>
      <c r="CD32" s="12" t="s">
        <v>53</v>
      </c>
      <c r="CE32" s="33">
        <f>IFERROR(IF($B$11="W",CE23,CE22),"0")</f>
        <v>1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3">IFERROR(IF($B$11="W",CI23,CI22),"0")</f>
        <v>0</v>
      </c>
      <c r="CJ32" s="33">
        <f t="shared" si="133"/>
        <v>2</v>
      </c>
      <c r="CK32" s="33">
        <f t="shared" si="133"/>
        <v>12</v>
      </c>
      <c r="CL32" s="33">
        <f t="shared" si="133"/>
        <v>0</v>
      </c>
      <c r="CM32" s="33">
        <f t="shared" si="133"/>
        <v>0</v>
      </c>
      <c r="CN32" s="33">
        <f t="shared" si="133"/>
        <v>14</v>
      </c>
      <c r="CO32" s="33">
        <f t="shared" si="133"/>
        <v>5</v>
      </c>
      <c r="CP32" s="33">
        <f t="shared" si="133"/>
        <v>6</v>
      </c>
      <c r="CQ32" s="33">
        <f t="shared" si="133"/>
        <v>1</v>
      </c>
      <c r="CR32" s="33">
        <f t="shared" si="133"/>
        <v>1</v>
      </c>
      <c r="CS32" s="33">
        <f t="shared" si="133"/>
        <v>1</v>
      </c>
      <c r="CT32" s="33">
        <f t="shared" si="133"/>
        <v>3</v>
      </c>
      <c r="CU32" s="33">
        <f t="shared" si="133"/>
        <v>0</v>
      </c>
      <c r="CV32" s="58">
        <f t="shared" si="133"/>
        <v>18.7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5"/>
        <v>20.60283932363064</v>
      </c>
      <c r="EW32" s="228" t="s">
        <v>79</v>
      </c>
      <c r="EX32" s="6">
        <f t="shared" si="126"/>
        <v>0.7</v>
      </c>
      <c r="EY32" s="6">
        <f t="shared" si="96"/>
        <v>1</v>
      </c>
      <c r="EZ32" s="6">
        <f t="shared" si="127"/>
        <v>7.3639999999999999</v>
      </c>
    </row>
    <row r="33" spans="3:156" x14ac:dyDescent="0.2">
      <c r="C33" s="228" t="s">
        <v>114</v>
      </c>
      <c r="D33" s="28">
        <f>IFERROR(IF(B12="W",D23,D22),"0")</f>
        <v>69.666666666666671</v>
      </c>
      <c r="E33" s="86">
        <f t="shared" si="97"/>
        <v>15</v>
      </c>
      <c r="F33" s="33" t="s">
        <v>52</v>
      </c>
      <c r="G33" s="49">
        <f t="shared" si="98"/>
        <v>36</v>
      </c>
      <c r="H33" s="12" t="s">
        <v>53</v>
      </c>
      <c r="I33" s="33">
        <f t="shared" si="99"/>
        <v>9</v>
      </c>
      <c r="J33" s="49" t="s">
        <v>54</v>
      </c>
      <c r="K33" s="12">
        <f t="shared" si="100"/>
        <v>9</v>
      </c>
      <c r="L33" s="33" t="s">
        <v>52</v>
      </c>
      <c r="M33" s="49">
        <f t="shared" si="101"/>
        <v>19</v>
      </c>
      <c r="N33" s="12" t="s">
        <v>53</v>
      </c>
      <c r="O33" s="33">
        <f t="shared" si="102"/>
        <v>6</v>
      </c>
      <c r="P33" s="49" t="s">
        <v>54</v>
      </c>
      <c r="Q33" s="12">
        <f t="shared" si="103"/>
        <v>2</v>
      </c>
      <c r="R33" s="33" t="s">
        <v>52</v>
      </c>
      <c r="S33" s="49">
        <f t="shared" si="104"/>
        <v>6</v>
      </c>
      <c r="T33" s="12" t="s">
        <v>53</v>
      </c>
      <c r="U33" s="33">
        <f t="shared" si="105"/>
        <v>0</v>
      </c>
      <c r="V33" s="49" t="s">
        <v>54</v>
      </c>
      <c r="W33" s="12">
        <f t="shared" si="106"/>
        <v>4</v>
      </c>
      <c r="X33" s="33" t="s">
        <v>52</v>
      </c>
      <c r="Y33" s="49">
        <f t="shared" si="107"/>
        <v>11</v>
      </c>
      <c r="Z33" s="12" t="s">
        <v>53</v>
      </c>
      <c r="AA33" s="33">
        <f t="shared" si="108"/>
        <v>3</v>
      </c>
      <c r="AB33" s="49" t="s">
        <v>54</v>
      </c>
      <c r="AC33" s="12">
        <f t="shared" si="109"/>
        <v>0.6</v>
      </c>
      <c r="AD33" s="33" t="s">
        <v>52</v>
      </c>
      <c r="AE33" s="53">
        <f t="shared" si="110"/>
        <v>1</v>
      </c>
      <c r="AF33" s="12"/>
      <c r="AG33" s="43">
        <f t="shared" si="111"/>
        <v>9</v>
      </c>
      <c r="AH33" s="33" t="s">
        <v>52</v>
      </c>
      <c r="AI33" s="49">
        <f t="shared" si="112"/>
        <v>24</v>
      </c>
      <c r="AJ33" s="12" t="s">
        <v>53</v>
      </c>
      <c r="AK33" s="33">
        <f t="shared" si="113"/>
        <v>4</v>
      </c>
      <c r="AL33" s="49" t="s">
        <v>54</v>
      </c>
      <c r="AM33" s="12">
        <f t="shared" si="114"/>
        <v>5</v>
      </c>
      <c r="AN33" s="33" t="s">
        <v>52</v>
      </c>
      <c r="AO33" s="49">
        <f t="shared" si="115"/>
        <v>10</v>
      </c>
      <c r="AP33" s="12" t="s">
        <v>53</v>
      </c>
      <c r="AQ33" s="33">
        <f t="shared" si="116"/>
        <v>3</v>
      </c>
      <c r="AR33" s="49" t="s">
        <v>54</v>
      </c>
      <c r="AS33" s="12">
        <f t="shared" si="117"/>
        <v>2</v>
      </c>
      <c r="AT33" s="33" t="s">
        <v>52</v>
      </c>
      <c r="AU33" s="49">
        <f t="shared" si="118"/>
        <v>6</v>
      </c>
      <c r="AV33" s="12" t="s">
        <v>53</v>
      </c>
      <c r="AW33" s="33">
        <f t="shared" si="119"/>
        <v>0</v>
      </c>
      <c r="AX33" s="49" t="s">
        <v>54</v>
      </c>
      <c r="AY33" s="12">
        <f t="shared" si="120"/>
        <v>2</v>
      </c>
      <c r="AZ33" s="33" t="s">
        <v>52</v>
      </c>
      <c r="BA33" s="49">
        <f t="shared" si="121"/>
        <v>8</v>
      </c>
      <c r="BB33" s="12" t="s">
        <v>53</v>
      </c>
      <c r="BC33" s="33">
        <f t="shared" si="122"/>
        <v>1</v>
      </c>
      <c r="BD33" s="49" t="s">
        <v>54</v>
      </c>
      <c r="BE33" s="12">
        <f t="shared" si="123"/>
        <v>0</v>
      </c>
      <c r="BF33" s="33" t="s">
        <v>52</v>
      </c>
      <c r="BG33" s="53">
        <f t="shared" si="124"/>
        <v>0</v>
      </c>
      <c r="BH33" s="12"/>
      <c r="BI33" s="43">
        <f>IFERROR(IF($B$12="W",BI23,BI22),"0")</f>
        <v>6</v>
      </c>
      <c r="BJ33" s="33" t="s">
        <v>52</v>
      </c>
      <c r="BK33" s="49">
        <f>IFERROR(IF($B$12="W",BK23,BK22),"0")</f>
        <v>12</v>
      </c>
      <c r="BL33" s="12" t="s">
        <v>53</v>
      </c>
      <c r="BM33" s="33">
        <f>IFERROR(IF($B$12="W",BM23,BM22),"0")</f>
        <v>5</v>
      </c>
      <c r="BN33" s="49" t="s">
        <v>54</v>
      </c>
      <c r="BO33" s="12">
        <f>IFERROR(IF($B$12="W",BO23,BO22),"0")</f>
        <v>4</v>
      </c>
      <c r="BP33" s="33" t="s">
        <v>52</v>
      </c>
      <c r="BQ33" s="49">
        <f>IFERROR(IF($B$12="W",BQ23,BQ22),"0")</f>
        <v>9</v>
      </c>
      <c r="BR33" s="12" t="s">
        <v>53</v>
      </c>
      <c r="BS33" s="33">
        <f>IFERROR(IF($B$12="W",BS23,BS22),"0")</f>
        <v>3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2</v>
      </c>
      <c r="CB33" s="33" t="s">
        <v>52</v>
      </c>
      <c r="CC33" s="49">
        <f>IFERROR(IF($B$12="W",CC23,CC22),"0")</f>
        <v>3</v>
      </c>
      <c r="CD33" s="12" t="s">
        <v>53</v>
      </c>
      <c r="CE33" s="33">
        <f>IFERROR(IF($B$12="W",CE23,CE22),"0")</f>
        <v>2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4">IFERROR(IF($B$12="W",CI23,CI22),"0")</f>
        <v>0</v>
      </c>
      <c r="CJ33" s="33">
        <f t="shared" si="134"/>
        <v>9</v>
      </c>
      <c r="CK33" s="33">
        <f t="shared" si="134"/>
        <v>12</v>
      </c>
      <c r="CL33" s="33">
        <f t="shared" si="134"/>
        <v>0</v>
      </c>
      <c r="CM33" s="33">
        <f t="shared" si="134"/>
        <v>0</v>
      </c>
      <c r="CN33" s="33">
        <f t="shared" si="134"/>
        <v>21</v>
      </c>
      <c r="CO33" s="33">
        <f t="shared" si="134"/>
        <v>9</v>
      </c>
      <c r="CP33" s="33">
        <f t="shared" si="134"/>
        <v>10</v>
      </c>
      <c r="CQ33" s="33">
        <f t="shared" si="134"/>
        <v>1</v>
      </c>
      <c r="CR33" s="33">
        <f t="shared" si="134"/>
        <v>1</v>
      </c>
      <c r="CS33" s="33">
        <f t="shared" si="134"/>
        <v>3</v>
      </c>
      <c r="CT33" s="33">
        <f t="shared" si="134"/>
        <v>1</v>
      </c>
      <c r="CU33" s="33">
        <f t="shared" si="134"/>
        <v>0</v>
      </c>
      <c r="CV33" s="58">
        <f t="shared" si="134"/>
        <v>34.6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5"/>
        <v>26.445813605525938</v>
      </c>
      <c r="EW33" s="228" t="s">
        <v>114</v>
      </c>
      <c r="EX33" s="6">
        <f t="shared" si="126"/>
        <v>0.6</v>
      </c>
      <c r="EY33" s="6">
        <f t="shared" si="96"/>
        <v>1</v>
      </c>
      <c r="EZ33" s="6">
        <f t="shared" si="127"/>
        <v>15.336</v>
      </c>
    </row>
    <row r="34" spans="3:156" x14ac:dyDescent="0.2">
      <c r="C34" s="228" t="s">
        <v>223</v>
      </c>
      <c r="D34" s="28">
        <f>IFERROR(IF(B13="W",D23,D22),"0")</f>
        <v>69.666666666666657</v>
      </c>
      <c r="E34" s="86">
        <f t="shared" si="97"/>
        <v>7</v>
      </c>
      <c r="F34" s="33" t="s">
        <v>52</v>
      </c>
      <c r="G34" s="49">
        <f t="shared" si="98"/>
        <v>21</v>
      </c>
      <c r="H34" s="12" t="s">
        <v>53</v>
      </c>
      <c r="I34" s="33">
        <f t="shared" si="99"/>
        <v>5</v>
      </c>
      <c r="J34" s="49" t="s">
        <v>54</v>
      </c>
      <c r="K34" s="12">
        <f t="shared" si="100"/>
        <v>1</v>
      </c>
      <c r="L34" s="33" t="s">
        <v>52</v>
      </c>
      <c r="M34" s="49">
        <f t="shared" si="101"/>
        <v>2</v>
      </c>
      <c r="N34" s="12" t="s">
        <v>53</v>
      </c>
      <c r="O34" s="33">
        <f t="shared" si="102"/>
        <v>1</v>
      </c>
      <c r="P34" s="49" t="s">
        <v>54</v>
      </c>
      <c r="Q34" s="12">
        <f t="shared" si="103"/>
        <v>2</v>
      </c>
      <c r="R34" s="33" t="s">
        <v>52</v>
      </c>
      <c r="S34" s="49">
        <f t="shared" si="104"/>
        <v>8</v>
      </c>
      <c r="T34" s="12" t="s">
        <v>53</v>
      </c>
      <c r="U34" s="33">
        <f t="shared" si="105"/>
        <v>0</v>
      </c>
      <c r="V34" s="49" t="s">
        <v>54</v>
      </c>
      <c r="W34" s="12">
        <f t="shared" si="106"/>
        <v>4</v>
      </c>
      <c r="X34" s="33" t="s">
        <v>52</v>
      </c>
      <c r="Y34" s="49">
        <f t="shared" si="107"/>
        <v>11</v>
      </c>
      <c r="Z34" s="12" t="s">
        <v>53</v>
      </c>
      <c r="AA34" s="33">
        <f t="shared" si="108"/>
        <v>4</v>
      </c>
      <c r="AB34" s="49" t="s">
        <v>54</v>
      </c>
      <c r="AC34" s="12">
        <f t="shared" si="109"/>
        <v>0.7</v>
      </c>
      <c r="AD34" s="33" t="s">
        <v>52</v>
      </c>
      <c r="AE34" s="53">
        <f t="shared" si="110"/>
        <v>1</v>
      </c>
      <c r="AF34" s="12"/>
      <c r="AG34" s="43">
        <f t="shared" si="111"/>
        <v>5</v>
      </c>
      <c r="AH34" s="33" t="s">
        <v>52</v>
      </c>
      <c r="AI34" s="49">
        <f t="shared" si="112"/>
        <v>15</v>
      </c>
      <c r="AJ34" s="12" t="s">
        <v>53</v>
      </c>
      <c r="AK34" s="33">
        <f t="shared" si="113"/>
        <v>3</v>
      </c>
      <c r="AL34" s="49" t="s">
        <v>54</v>
      </c>
      <c r="AM34" s="12">
        <f t="shared" si="114"/>
        <v>0</v>
      </c>
      <c r="AN34" s="33" t="s">
        <v>52</v>
      </c>
      <c r="AO34" s="49">
        <f t="shared" si="115"/>
        <v>1</v>
      </c>
      <c r="AP34" s="12" t="s">
        <v>53</v>
      </c>
      <c r="AQ34" s="33">
        <f t="shared" si="116"/>
        <v>0</v>
      </c>
      <c r="AR34" s="49" t="s">
        <v>54</v>
      </c>
      <c r="AS34" s="12">
        <f t="shared" si="117"/>
        <v>2</v>
      </c>
      <c r="AT34" s="33" t="s">
        <v>52</v>
      </c>
      <c r="AU34" s="49">
        <f t="shared" si="118"/>
        <v>8</v>
      </c>
      <c r="AV34" s="12" t="s">
        <v>53</v>
      </c>
      <c r="AW34" s="33">
        <f t="shared" si="119"/>
        <v>0</v>
      </c>
      <c r="AX34" s="49" t="s">
        <v>54</v>
      </c>
      <c r="AY34" s="12">
        <f t="shared" si="120"/>
        <v>3</v>
      </c>
      <c r="AZ34" s="33" t="s">
        <v>52</v>
      </c>
      <c r="BA34" s="49">
        <f t="shared" si="121"/>
        <v>6</v>
      </c>
      <c r="BB34" s="12" t="s">
        <v>53</v>
      </c>
      <c r="BC34" s="33">
        <f t="shared" si="122"/>
        <v>3</v>
      </c>
      <c r="BD34" s="49" t="s">
        <v>54</v>
      </c>
      <c r="BE34" s="12">
        <f t="shared" si="123"/>
        <v>0</v>
      </c>
      <c r="BF34" s="33" t="s">
        <v>52</v>
      </c>
      <c r="BG34" s="53">
        <f t="shared" si="124"/>
        <v>0</v>
      </c>
      <c r="BH34" s="12"/>
      <c r="BI34" s="43">
        <f>IFERROR(IF($B$13="W",BI23,BI22),"0")</f>
        <v>2</v>
      </c>
      <c r="BJ34" s="33" t="s">
        <v>52</v>
      </c>
      <c r="BK34" s="49">
        <f>IFERROR(IF($B$13="W",BK23,BK22),"0")</f>
        <v>6</v>
      </c>
      <c r="BL34" s="12" t="s">
        <v>53</v>
      </c>
      <c r="BM34" s="33">
        <f>IFERROR(IF($B$13="W",BM23,BM22),"0")</f>
        <v>2</v>
      </c>
      <c r="BN34" s="49" t="s">
        <v>54</v>
      </c>
      <c r="BO34" s="12">
        <f>IFERROR(IF($B$13="W",BO23,BO22),"0")</f>
        <v>1</v>
      </c>
      <c r="BP34" s="33" t="s">
        <v>52</v>
      </c>
      <c r="BQ34" s="49">
        <f>IFERROR(IF($B$13="W",BQ23,BQ22),"0")</f>
        <v>1</v>
      </c>
      <c r="BR34" s="12" t="s">
        <v>53</v>
      </c>
      <c r="BS34" s="33">
        <f>IFERROR(IF($B$13="W",BS23,BS22),"0")</f>
        <v>1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1</v>
      </c>
      <c r="CB34" s="33" t="s">
        <v>52</v>
      </c>
      <c r="CC34" s="49">
        <f>IFERROR(IF($B$13="W",CC23,CC22),"0")</f>
        <v>5</v>
      </c>
      <c r="CD34" s="12" t="s">
        <v>53</v>
      </c>
      <c r="CE34" s="33">
        <f>IFERROR(IF($B$13="W",CE23,CE22),"0")</f>
        <v>1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5">IFERROR(IF($B$13="W",CI23,CI22),"0")</f>
        <v>0</v>
      </c>
      <c r="CJ34" s="33">
        <f t="shared" si="135"/>
        <v>2</v>
      </c>
      <c r="CK34" s="33">
        <f t="shared" si="135"/>
        <v>12</v>
      </c>
      <c r="CL34" s="33">
        <f t="shared" si="135"/>
        <v>0</v>
      </c>
      <c r="CM34" s="33">
        <f t="shared" si="135"/>
        <v>0</v>
      </c>
      <c r="CN34" s="33">
        <f t="shared" si="135"/>
        <v>14</v>
      </c>
      <c r="CO34" s="33">
        <f t="shared" si="135"/>
        <v>5</v>
      </c>
      <c r="CP34" s="33">
        <f t="shared" si="135"/>
        <v>6</v>
      </c>
      <c r="CQ34" s="33">
        <f t="shared" si="135"/>
        <v>1</v>
      </c>
      <c r="CR34" s="33">
        <f t="shared" si="135"/>
        <v>1</v>
      </c>
      <c r="CS34" s="33">
        <f t="shared" si="135"/>
        <v>1</v>
      </c>
      <c r="CT34" s="33">
        <f t="shared" si="135"/>
        <v>3</v>
      </c>
      <c r="CU34" s="33">
        <f t="shared" si="135"/>
        <v>0</v>
      </c>
      <c r="CV34" s="58">
        <f t="shared" si="135"/>
        <v>18.7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5"/>
        <v>20.60283932363064</v>
      </c>
      <c r="EW34" s="228" t="s">
        <v>223</v>
      </c>
      <c r="EX34" s="6">
        <f t="shared" si="126"/>
        <v>0.7</v>
      </c>
      <c r="EY34" s="6">
        <f t="shared" si="96"/>
        <v>1</v>
      </c>
      <c r="EZ34" s="6">
        <f t="shared" si="127"/>
        <v>7.3639999999999999</v>
      </c>
    </row>
    <row r="35" spans="3:156" x14ac:dyDescent="0.2">
      <c r="C35" s="228" t="s">
        <v>80</v>
      </c>
      <c r="D35" s="28">
        <f>IFERROR(IF(B14="W",D23,D22),"0")</f>
        <v>69.666666666666671</v>
      </c>
      <c r="E35" s="86">
        <f t="shared" si="97"/>
        <v>15</v>
      </c>
      <c r="F35" s="33" t="s">
        <v>52</v>
      </c>
      <c r="G35" s="49">
        <f t="shared" si="98"/>
        <v>36</v>
      </c>
      <c r="H35" s="12" t="s">
        <v>53</v>
      </c>
      <c r="I35" s="33">
        <f t="shared" si="99"/>
        <v>9</v>
      </c>
      <c r="J35" s="49" t="s">
        <v>54</v>
      </c>
      <c r="K35" s="12">
        <f t="shared" si="100"/>
        <v>9</v>
      </c>
      <c r="L35" s="33" t="s">
        <v>52</v>
      </c>
      <c r="M35" s="49">
        <f t="shared" si="101"/>
        <v>19</v>
      </c>
      <c r="N35" s="12" t="s">
        <v>53</v>
      </c>
      <c r="O35" s="33">
        <f t="shared" si="102"/>
        <v>6</v>
      </c>
      <c r="P35" s="49" t="s">
        <v>54</v>
      </c>
      <c r="Q35" s="12">
        <f t="shared" si="103"/>
        <v>2</v>
      </c>
      <c r="R35" s="33" t="s">
        <v>52</v>
      </c>
      <c r="S35" s="49">
        <f t="shared" si="104"/>
        <v>6</v>
      </c>
      <c r="T35" s="12" t="s">
        <v>53</v>
      </c>
      <c r="U35" s="33">
        <f t="shared" si="105"/>
        <v>0</v>
      </c>
      <c r="V35" s="49" t="s">
        <v>54</v>
      </c>
      <c r="W35" s="12">
        <f t="shared" si="106"/>
        <v>4</v>
      </c>
      <c r="X35" s="33" t="s">
        <v>52</v>
      </c>
      <c r="Y35" s="49">
        <f t="shared" si="107"/>
        <v>11</v>
      </c>
      <c r="Z35" s="12" t="s">
        <v>53</v>
      </c>
      <c r="AA35" s="33">
        <f t="shared" si="108"/>
        <v>3</v>
      </c>
      <c r="AB35" s="49" t="s">
        <v>54</v>
      </c>
      <c r="AC35" s="12">
        <f t="shared" si="109"/>
        <v>0.6</v>
      </c>
      <c r="AD35" s="33" t="s">
        <v>52</v>
      </c>
      <c r="AE35" s="53">
        <f t="shared" si="110"/>
        <v>1</v>
      </c>
      <c r="AF35" s="12"/>
      <c r="AG35" s="43">
        <f t="shared" si="111"/>
        <v>9</v>
      </c>
      <c r="AH35" s="33" t="s">
        <v>52</v>
      </c>
      <c r="AI35" s="49">
        <f t="shared" si="112"/>
        <v>24</v>
      </c>
      <c r="AJ35" s="12" t="s">
        <v>53</v>
      </c>
      <c r="AK35" s="33">
        <f t="shared" si="113"/>
        <v>4</v>
      </c>
      <c r="AL35" s="49" t="s">
        <v>54</v>
      </c>
      <c r="AM35" s="12">
        <f t="shared" si="114"/>
        <v>5</v>
      </c>
      <c r="AN35" s="33" t="s">
        <v>52</v>
      </c>
      <c r="AO35" s="49">
        <f t="shared" si="115"/>
        <v>10</v>
      </c>
      <c r="AP35" s="12" t="s">
        <v>53</v>
      </c>
      <c r="AQ35" s="33">
        <f t="shared" si="116"/>
        <v>3</v>
      </c>
      <c r="AR35" s="49" t="s">
        <v>54</v>
      </c>
      <c r="AS35" s="12">
        <f t="shared" si="117"/>
        <v>2</v>
      </c>
      <c r="AT35" s="33" t="s">
        <v>52</v>
      </c>
      <c r="AU35" s="49">
        <f t="shared" si="118"/>
        <v>6</v>
      </c>
      <c r="AV35" s="12" t="s">
        <v>53</v>
      </c>
      <c r="AW35" s="33">
        <f t="shared" si="119"/>
        <v>0</v>
      </c>
      <c r="AX35" s="49" t="s">
        <v>54</v>
      </c>
      <c r="AY35" s="12">
        <f t="shared" si="120"/>
        <v>2</v>
      </c>
      <c r="AZ35" s="33" t="s">
        <v>52</v>
      </c>
      <c r="BA35" s="49">
        <f t="shared" si="121"/>
        <v>8</v>
      </c>
      <c r="BB35" s="12" t="s">
        <v>53</v>
      </c>
      <c r="BC35" s="33">
        <f t="shared" si="122"/>
        <v>1</v>
      </c>
      <c r="BD35" s="49" t="s">
        <v>54</v>
      </c>
      <c r="BE35" s="12">
        <f t="shared" si="123"/>
        <v>0</v>
      </c>
      <c r="BF35" s="33" t="s">
        <v>52</v>
      </c>
      <c r="BG35" s="53">
        <f t="shared" si="124"/>
        <v>0</v>
      </c>
      <c r="BH35" s="12"/>
      <c r="BI35" s="43">
        <f>IFERROR(IF($B$14="W",BI23,BI22),"0")</f>
        <v>6</v>
      </c>
      <c r="BJ35" s="12" t="str">
        <f t="shared" ref="BJ35:CI35" si="136">IFERROR(IF($B$14="W",BJ23,BJ22),"0")</f>
        <v>-</v>
      </c>
      <c r="BK35" s="49">
        <f t="shared" si="136"/>
        <v>12</v>
      </c>
      <c r="BL35" s="12" t="str">
        <f t="shared" si="136"/>
        <v>(</v>
      </c>
      <c r="BM35" s="33">
        <f t="shared" si="136"/>
        <v>5</v>
      </c>
      <c r="BN35" s="49" t="str">
        <f t="shared" si="136"/>
        <v>)</v>
      </c>
      <c r="BO35" s="12">
        <f t="shared" si="136"/>
        <v>4</v>
      </c>
      <c r="BP35" s="12" t="str">
        <f t="shared" si="136"/>
        <v>-</v>
      </c>
      <c r="BQ35" s="49">
        <f t="shared" si="136"/>
        <v>9</v>
      </c>
      <c r="BR35" s="12" t="str">
        <f t="shared" si="136"/>
        <v>(</v>
      </c>
      <c r="BS35" s="33">
        <f t="shared" si="136"/>
        <v>3</v>
      </c>
      <c r="BT35" s="49" t="str">
        <f t="shared" si="136"/>
        <v>)</v>
      </c>
      <c r="BU35" s="12">
        <f t="shared" si="136"/>
        <v>0</v>
      </c>
      <c r="BV35" s="12" t="str">
        <f t="shared" si="136"/>
        <v>-</v>
      </c>
      <c r="BW35" s="49">
        <f t="shared" si="136"/>
        <v>0</v>
      </c>
      <c r="BX35" s="12" t="str">
        <f t="shared" si="136"/>
        <v>(</v>
      </c>
      <c r="BY35" s="33">
        <f t="shared" si="136"/>
        <v>0</v>
      </c>
      <c r="BZ35" s="49" t="str">
        <f t="shared" si="136"/>
        <v>)</v>
      </c>
      <c r="CA35" s="12">
        <f t="shared" si="136"/>
        <v>2</v>
      </c>
      <c r="CB35" s="12" t="str">
        <f t="shared" si="136"/>
        <v>-</v>
      </c>
      <c r="CC35" s="49">
        <f t="shared" si="136"/>
        <v>3</v>
      </c>
      <c r="CD35" s="12" t="str">
        <f t="shared" si="136"/>
        <v>(</v>
      </c>
      <c r="CE35" s="33">
        <f t="shared" si="136"/>
        <v>2</v>
      </c>
      <c r="CF35" s="49" t="str">
        <f t="shared" si="136"/>
        <v>)</v>
      </c>
      <c r="CG35" s="12">
        <f t="shared" si="136"/>
        <v>0</v>
      </c>
      <c r="CH35" s="12" t="str">
        <f t="shared" si="136"/>
        <v>-</v>
      </c>
      <c r="CI35" s="53">
        <f t="shared" si="136"/>
        <v>0</v>
      </c>
      <c r="CJ35" s="33">
        <f>IFERROR(IF($B$14="W",CJ23,CJ22),"0")</f>
        <v>9</v>
      </c>
      <c r="CK35" s="33">
        <f t="shared" ref="CK35:CV35" si="137">IFERROR(IF($B$14="W",CK23,CK22),"0")</f>
        <v>12</v>
      </c>
      <c r="CL35" s="33">
        <f t="shared" si="137"/>
        <v>0</v>
      </c>
      <c r="CM35" s="33">
        <f t="shared" si="137"/>
        <v>0</v>
      </c>
      <c r="CN35" s="33">
        <f t="shared" si="137"/>
        <v>21</v>
      </c>
      <c r="CO35" s="33">
        <f t="shared" si="137"/>
        <v>9</v>
      </c>
      <c r="CP35" s="33">
        <f t="shared" si="137"/>
        <v>10</v>
      </c>
      <c r="CQ35" s="33">
        <f t="shared" si="137"/>
        <v>1</v>
      </c>
      <c r="CR35" s="33">
        <f t="shared" si="137"/>
        <v>1</v>
      </c>
      <c r="CS35" s="33">
        <f t="shared" si="137"/>
        <v>3</v>
      </c>
      <c r="CT35" s="33">
        <f t="shared" si="137"/>
        <v>1</v>
      </c>
      <c r="CU35" s="33">
        <f t="shared" si="137"/>
        <v>0</v>
      </c>
      <c r="CV35" s="58">
        <f t="shared" si="137"/>
        <v>34.6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5"/>
        <v>26.445813605525938</v>
      </c>
      <c r="EW35" s="228" t="s">
        <v>80</v>
      </c>
      <c r="EX35" s="6">
        <f t="shared" si="126"/>
        <v>0.6</v>
      </c>
      <c r="EY35" s="6">
        <f t="shared" si="96"/>
        <v>1</v>
      </c>
      <c r="EZ35" s="6">
        <f t="shared" si="127"/>
        <v>15.336</v>
      </c>
    </row>
    <row r="36" spans="3:156" x14ac:dyDescent="0.2">
      <c r="C36" s="228" t="s">
        <v>224</v>
      </c>
      <c r="D36" s="28">
        <f>IFERROR(IF(B15="W",D23,D22),"0")</f>
        <v>69.666666666666671</v>
      </c>
      <c r="E36" s="86">
        <f t="shared" si="97"/>
        <v>15</v>
      </c>
      <c r="F36" s="33" t="s">
        <v>52</v>
      </c>
      <c r="G36" s="49">
        <f t="shared" si="98"/>
        <v>36</v>
      </c>
      <c r="H36" s="12" t="s">
        <v>53</v>
      </c>
      <c r="I36" s="33">
        <f t="shared" si="99"/>
        <v>9</v>
      </c>
      <c r="J36" s="49" t="s">
        <v>54</v>
      </c>
      <c r="K36" s="12">
        <f t="shared" si="100"/>
        <v>9</v>
      </c>
      <c r="L36" s="33" t="s">
        <v>52</v>
      </c>
      <c r="M36" s="49">
        <f t="shared" si="101"/>
        <v>19</v>
      </c>
      <c r="N36" s="12" t="s">
        <v>53</v>
      </c>
      <c r="O36" s="33">
        <f t="shared" si="102"/>
        <v>6</v>
      </c>
      <c r="P36" s="49" t="s">
        <v>54</v>
      </c>
      <c r="Q36" s="12">
        <f t="shared" si="103"/>
        <v>2</v>
      </c>
      <c r="R36" s="33" t="s">
        <v>52</v>
      </c>
      <c r="S36" s="49">
        <f t="shared" si="104"/>
        <v>6</v>
      </c>
      <c r="T36" s="12" t="s">
        <v>53</v>
      </c>
      <c r="U36" s="33">
        <f t="shared" si="105"/>
        <v>0</v>
      </c>
      <c r="V36" s="49" t="s">
        <v>54</v>
      </c>
      <c r="W36" s="12">
        <f t="shared" si="106"/>
        <v>4</v>
      </c>
      <c r="X36" s="33" t="s">
        <v>52</v>
      </c>
      <c r="Y36" s="49">
        <f t="shared" si="107"/>
        <v>11</v>
      </c>
      <c r="Z36" s="12" t="s">
        <v>53</v>
      </c>
      <c r="AA36" s="33">
        <f t="shared" si="108"/>
        <v>3</v>
      </c>
      <c r="AB36" s="49" t="s">
        <v>54</v>
      </c>
      <c r="AC36" s="12">
        <f t="shared" si="109"/>
        <v>0.6</v>
      </c>
      <c r="AD36" s="33" t="s">
        <v>52</v>
      </c>
      <c r="AE36" s="53">
        <f t="shared" si="110"/>
        <v>1</v>
      </c>
      <c r="AF36" s="12"/>
      <c r="AG36" s="43">
        <f t="shared" si="111"/>
        <v>9</v>
      </c>
      <c r="AH36" s="33" t="s">
        <v>52</v>
      </c>
      <c r="AI36" s="49">
        <f t="shared" si="112"/>
        <v>24</v>
      </c>
      <c r="AJ36" s="12" t="s">
        <v>53</v>
      </c>
      <c r="AK36" s="33">
        <f t="shared" si="113"/>
        <v>4</v>
      </c>
      <c r="AL36" s="49" t="s">
        <v>54</v>
      </c>
      <c r="AM36" s="12">
        <f t="shared" si="114"/>
        <v>5</v>
      </c>
      <c r="AN36" s="33" t="s">
        <v>52</v>
      </c>
      <c r="AO36" s="49">
        <f t="shared" si="115"/>
        <v>10</v>
      </c>
      <c r="AP36" s="12" t="s">
        <v>53</v>
      </c>
      <c r="AQ36" s="33">
        <f t="shared" si="116"/>
        <v>3</v>
      </c>
      <c r="AR36" s="49" t="s">
        <v>54</v>
      </c>
      <c r="AS36" s="12">
        <f t="shared" si="117"/>
        <v>2</v>
      </c>
      <c r="AT36" s="33" t="s">
        <v>52</v>
      </c>
      <c r="AU36" s="49">
        <f t="shared" si="118"/>
        <v>6</v>
      </c>
      <c r="AV36" s="12" t="s">
        <v>53</v>
      </c>
      <c r="AW36" s="33">
        <f t="shared" si="119"/>
        <v>0</v>
      </c>
      <c r="AX36" s="49" t="s">
        <v>54</v>
      </c>
      <c r="AY36" s="12">
        <f t="shared" si="120"/>
        <v>2</v>
      </c>
      <c r="AZ36" s="33" t="s">
        <v>52</v>
      </c>
      <c r="BA36" s="49">
        <f t="shared" si="121"/>
        <v>8</v>
      </c>
      <c r="BB36" s="12" t="s">
        <v>53</v>
      </c>
      <c r="BC36" s="33">
        <f t="shared" si="122"/>
        <v>1</v>
      </c>
      <c r="BD36" s="49" t="s">
        <v>54</v>
      </c>
      <c r="BE36" s="12">
        <f t="shared" si="123"/>
        <v>0</v>
      </c>
      <c r="BF36" s="33" t="s">
        <v>52</v>
      </c>
      <c r="BG36" s="53">
        <f t="shared" si="124"/>
        <v>0</v>
      </c>
      <c r="BH36" s="12"/>
      <c r="BI36" s="43">
        <f>IFERROR(IF($B$15="W",BI23,BI22),"0")</f>
        <v>6</v>
      </c>
      <c r="BJ36" s="12" t="str">
        <f t="shared" ref="BJ36:CI36" si="138">IFERROR(IF($B$15="W",BJ23,BJ22),"0")</f>
        <v>-</v>
      </c>
      <c r="BK36" s="49">
        <f t="shared" si="138"/>
        <v>12</v>
      </c>
      <c r="BL36" s="12" t="str">
        <f t="shared" si="138"/>
        <v>(</v>
      </c>
      <c r="BM36" s="33">
        <f t="shared" si="138"/>
        <v>5</v>
      </c>
      <c r="BN36" s="49" t="str">
        <f t="shared" si="138"/>
        <v>)</v>
      </c>
      <c r="BO36" s="12">
        <f t="shared" si="138"/>
        <v>4</v>
      </c>
      <c r="BP36" s="12" t="str">
        <f t="shared" si="138"/>
        <v>-</v>
      </c>
      <c r="BQ36" s="49">
        <f t="shared" si="138"/>
        <v>9</v>
      </c>
      <c r="BR36" s="12" t="str">
        <f t="shared" si="138"/>
        <v>(</v>
      </c>
      <c r="BS36" s="33">
        <f t="shared" si="138"/>
        <v>3</v>
      </c>
      <c r="BT36" s="49" t="str">
        <f t="shared" si="138"/>
        <v>)</v>
      </c>
      <c r="BU36" s="12">
        <f t="shared" si="138"/>
        <v>0</v>
      </c>
      <c r="BV36" s="12" t="str">
        <f t="shared" si="138"/>
        <v>-</v>
      </c>
      <c r="BW36" s="49">
        <f t="shared" si="138"/>
        <v>0</v>
      </c>
      <c r="BX36" s="12" t="str">
        <f t="shared" si="138"/>
        <v>(</v>
      </c>
      <c r="BY36" s="33">
        <f t="shared" si="138"/>
        <v>0</v>
      </c>
      <c r="BZ36" s="49" t="str">
        <f t="shared" si="138"/>
        <v>)</v>
      </c>
      <c r="CA36" s="12">
        <f t="shared" si="138"/>
        <v>2</v>
      </c>
      <c r="CB36" s="12" t="str">
        <f t="shared" si="138"/>
        <v>-</v>
      </c>
      <c r="CC36" s="49">
        <f t="shared" si="138"/>
        <v>3</v>
      </c>
      <c r="CD36" s="12" t="str">
        <f t="shared" si="138"/>
        <v>(</v>
      </c>
      <c r="CE36" s="33">
        <f t="shared" si="138"/>
        <v>2</v>
      </c>
      <c r="CF36" s="49" t="str">
        <f t="shared" si="138"/>
        <v>)</v>
      </c>
      <c r="CG36" s="12">
        <f t="shared" si="138"/>
        <v>0</v>
      </c>
      <c r="CH36" s="12" t="str">
        <f t="shared" si="138"/>
        <v>-</v>
      </c>
      <c r="CI36" s="53">
        <f t="shared" si="138"/>
        <v>0</v>
      </c>
      <c r="CJ36" s="33">
        <f>IFERROR(IF($B$15="W",CJ23,CJ22),"0")</f>
        <v>9</v>
      </c>
      <c r="CK36" s="33">
        <f t="shared" ref="CK36:CV36" si="139">IFERROR(IF($B$15="W",CK23,CK22),"0")</f>
        <v>12</v>
      </c>
      <c r="CL36" s="33">
        <f t="shared" si="139"/>
        <v>0</v>
      </c>
      <c r="CM36" s="33">
        <f t="shared" si="139"/>
        <v>0</v>
      </c>
      <c r="CN36" s="33">
        <f t="shared" si="139"/>
        <v>21</v>
      </c>
      <c r="CO36" s="33">
        <f t="shared" si="139"/>
        <v>9</v>
      </c>
      <c r="CP36" s="33">
        <f t="shared" si="139"/>
        <v>10</v>
      </c>
      <c r="CQ36" s="33">
        <f t="shared" si="139"/>
        <v>1</v>
      </c>
      <c r="CR36" s="33">
        <f t="shared" si="139"/>
        <v>1</v>
      </c>
      <c r="CS36" s="33">
        <f t="shared" si="139"/>
        <v>3</v>
      </c>
      <c r="CT36" s="33">
        <f t="shared" si="139"/>
        <v>1</v>
      </c>
      <c r="CU36" s="33">
        <f t="shared" si="139"/>
        <v>0</v>
      </c>
      <c r="CV36" s="58">
        <f t="shared" si="139"/>
        <v>34.6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5"/>
        <v>26.445813605525938</v>
      </c>
      <c r="EW36" s="228" t="s">
        <v>224</v>
      </c>
      <c r="EX36" s="6">
        <f t="shared" si="126"/>
        <v>0.6</v>
      </c>
      <c r="EY36" s="6">
        <f t="shared" si="96"/>
        <v>1</v>
      </c>
      <c r="EZ36" s="6">
        <f t="shared" si="127"/>
        <v>15.336</v>
      </c>
    </row>
    <row r="37" spans="3:156" x14ac:dyDescent="0.2">
      <c r="C37" s="228" t="s">
        <v>112</v>
      </c>
      <c r="D37" s="28">
        <f>IFERROR(IF(B16="W",D23,D22),"0")</f>
        <v>69.666666666666671</v>
      </c>
      <c r="E37" s="86">
        <f t="shared" si="97"/>
        <v>15</v>
      </c>
      <c r="F37" s="33" t="s">
        <v>52</v>
      </c>
      <c r="G37" s="49">
        <f t="shared" si="98"/>
        <v>36</v>
      </c>
      <c r="H37" s="12" t="s">
        <v>53</v>
      </c>
      <c r="I37" s="33">
        <f t="shared" si="99"/>
        <v>9</v>
      </c>
      <c r="J37" s="49" t="s">
        <v>54</v>
      </c>
      <c r="K37" s="12">
        <f t="shared" si="100"/>
        <v>9</v>
      </c>
      <c r="L37" s="33" t="s">
        <v>52</v>
      </c>
      <c r="M37" s="49">
        <f t="shared" si="101"/>
        <v>19</v>
      </c>
      <c r="N37" s="12" t="s">
        <v>53</v>
      </c>
      <c r="O37" s="33">
        <f t="shared" si="102"/>
        <v>6</v>
      </c>
      <c r="P37" s="49" t="s">
        <v>54</v>
      </c>
      <c r="Q37" s="12">
        <f t="shared" si="103"/>
        <v>2</v>
      </c>
      <c r="R37" s="33" t="s">
        <v>52</v>
      </c>
      <c r="S37" s="49">
        <f t="shared" si="104"/>
        <v>6</v>
      </c>
      <c r="T37" s="12" t="s">
        <v>53</v>
      </c>
      <c r="U37" s="33">
        <f t="shared" si="105"/>
        <v>0</v>
      </c>
      <c r="V37" s="49" t="s">
        <v>54</v>
      </c>
      <c r="W37" s="12">
        <f t="shared" si="106"/>
        <v>4</v>
      </c>
      <c r="X37" s="33" t="s">
        <v>52</v>
      </c>
      <c r="Y37" s="49">
        <f t="shared" si="107"/>
        <v>11</v>
      </c>
      <c r="Z37" s="12" t="s">
        <v>53</v>
      </c>
      <c r="AA37" s="33">
        <f t="shared" si="108"/>
        <v>3</v>
      </c>
      <c r="AB37" s="49" t="s">
        <v>54</v>
      </c>
      <c r="AC37" s="12">
        <f t="shared" si="109"/>
        <v>0.6</v>
      </c>
      <c r="AD37" s="33" t="s">
        <v>52</v>
      </c>
      <c r="AE37" s="53">
        <f t="shared" si="110"/>
        <v>1</v>
      </c>
      <c r="AF37" s="12"/>
      <c r="AG37" s="43">
        <f t="shared" si="111"/>
        <v>9</v>
      </c>
      <c r="AH37" s="33" t="s">
        <v>52</v>
      </c>
      <c r="AI37" s="49">
        <f t="shared" si="112"/>
        <v>24</v>
      </c>
      <c r="AJ37" s="12" t="s">
        <v>53</v>
      </c>
      <c r="AK37" s="33">
        <f t="shared" si="113"/>
        <v>4</v>
      </c>
      <c r="AL37" s="49" t="s">
        <v>54</v>
      </c>
      <c r="AM37" s="12">
        <f t="shared" si="114"/>
        <v>5</v>
      </c>
      <c r="AN37" s="33" t="s">
        <v>52</v>
      </c>
      <c r="AO37" s="49">
        <f t="shared" si="115"/>
        <v>10</v>
      </c>
      <c r="AP37" s="12" t="s">
        <v>53</v>
      </c>
      <c r="AQ37" s="33">
        <f t="shared" si="116"/>
        <v>3</v>
      </c>
      <c r="AR37" s="49" t="s">
        <v>54</v>
      </c>
      <c r="AS37" s="12">
        <f t="shared" si="117"/>
        <v>2</v>
      </c>
      <c r="AT37" s="33" t="s">
        <v>52</v>
      </c>
      <c r="AU37" s="49">
        <f t="shared" si="118"/>
        <v>6</v>
      </c>
      <c r="AV37" s="12" t="s">
        <v>53</v>
      </c>
      <c r="AW37" s="33">
        <f t="shared" si="119"/>
        <v>0</v>
      </c>
      <c r="AX37" s="49" t="s">
        <v>54</v>
      </c>
      <c r="AY37" s="12">
        <f t="shared" si="120"/>
        <v>2</v>
      </c>
      <c r="AZ37" s="33" t="s">
        <v>52</v>
      </c>
      <c r="BA37" s="49">
        <f t="shared" si="121"/>
        <v>8</v>
      </c>
      <c r="BB37" s="12" t="s">
        <v>53</v>
      </c>
      <c r="BC37" s="33">
        <f t="shared" si="122"/>
        <v>1</v>
      </c>
      <c r="BD37" s="49" t="s">
        <v>54</v>
      </c>
      <c r="BE37" s="12">
        <f t="shared" si="123"/>
        <v>0</v>
      </c>
      <c r="BF37" s="33" t="s">
        <v>52</v>
      </c>
      <c r="BG37" s="53">
        <f t="shared" si="124"/>
        <v>0</v>
      </c>
      <c r="BH37" s="12"/>
      <c r="BI37" s="43">
        <f>IFERROR(IF($B$16="W",BI23,BI22),"0")</f>
        <v>6</v>
      </c>
      <c r="BJ37" s="12" t="str">
        <f t="shared" ref="BJ37:CI37" si="140">IFERROR(IF($B$16="W",BJ23,BJ22),"0")</f>
        <v>-</v>
      </c>
      <c r="BK37" s="49">
        <f t="shared" si="140"/>
        <v>12</v>
      </c>
      <c r="BL37" s="12" t="str">
        <f t="shared" si="140"/>
        <v>(</v>
      </c>
      <c r="BM37" s="33">
        <f t="shared" si="140"/>
        <v>5</v>
      </c>
      <c r="BN37" s="49" t="str">
        <f t="shared" si="140"/>
        <v>)</v>
      </c>
      <c r="BO37" s="12">
        <f t="shared" si="140"/>
        <v>4</v>
      </c>
      <c r="BP37" s="12" t="str">
        <f t="shared" si="140"/>
        <v>-</v>
      </c>
      <c r="BQ37" s="49">
        <f t="shared" si="140"/>
        <v>9</v>
      </c>
      <c r="BR37" s="12" t="str">
        <f t="shared" si="140"/>
        <v>(</v>
      </c>
      <c r="BS37" s="33">
        <f t="shared" si="140"/>
        <v>3</v>
      </c>
      <c r="BT37" s="49" t="str">
        <f t="shared" si="140"/>
        <v>)</v>
      </c>
      <c r="BU37" s="12">
        <f t="shared" si="140"/>
        <v>0</v>
      </c>
      <c r="BV37" s="12" t="str">
        <f t="shared" si="140"/>
        <v>-</v>
      </c>
      <c r="BW37" s="49">
        <f t="shared" si="140"/>
        <v>0</v>
      </c>
      <c r="BX37" s="12" t="str">
        <f t="shared" si="140"/>
        <v>(</v>
      </c>
      <c r="BY37" s="33">
        <f t="shared" si="140"/>
        <v>0</v>
      </c>
      <c r="BZ37" s="49" t="str">
        <f t="shared" si="140"/>
        <v>)</v>
      </c>
      <c r="CA37" s="12">
        <f t="shared" si="140"/>
        <v>2</v>
      </c>
      <c r="CB37" s="12" t="str">
        <f t="shared" si="140"/>
        <v>-</v>
      </c>
      <c r="CC37" s="49">
        <f t="shared" si="140"/>
        <v>3</v>
      </c>
      <c r="CD37" s="12" t="str">
        <f t="shared" si="140"/>
        <v>(</v>
      </c>
      <c r="CE37" s="33">
        <f t="shared" si="140"/>
        <v>2</v>
      </c>
      <c r="CF37" s="49" t="str">
        <f t="shared" si="140"/>
        <v>)</v>
      </c>
      <c r="CG37" s="12">
        <f t="shared" si="140"/>
        <v>0</v>
      </c>
      <c r="CH37" s="12" t="str">
        <f t="shared" si="140"/>
        <v>-</v>
      </c>
      <c r="CI37" s="53">
        <f t="shared" si="140"/>
        <v>0</v>
      </c>
      <c r="CJ37" s="33">
        <f>IFERROR(IF($B$16="W",CJ23,CJ22),"0")</f>
        <v>9</v>
      </c>
      <c r="CK37" s="33">
        <f t="shared" ref="CK37:CV37" si="141">IFERROR(IF($B$16="W",CK23,CK22),"0")</f>
        <v>12</v>
      </c>
      <c r="CL37" s="33">
        <f t="shared" si="141"/>
        <v>0</v>
      </c>
      <c r="CM37" s="33">
        <f t="shared" si="141"/>
        <v>0</v>
      </c>
      <c r="CN37" s="33">
        <f t="shared" si="141"/>
        <v>21</v>
      </c>
      <c r="CO37" s="33">
        <f t="shared" si="141"/>
        <v>9</v>
      </c>
      <c r="CP37" s="33">
        <f t="shared" si="141"/>
        <v>10</v>
      </c>
      <c r="CQ37" s="33">
        <f t="shared" si="141"/>
        <v>1</v>
      </c>
      <c r="CR37" s="33">
        <f t="shared" si="141"/>
        <v>1</v>
      </c>
      <c r="CS37" s="33">
        <f t="shared" si="141"/>
        <v>3</v>
      </c>
      <c r="CT37" s="33">
        <f t="shared" si="141"/>
        <v>1</v>
      </c>
      <c r="CU37" s="33">
        <f t="shared" si="141"/>
        <v>0</v>
      </c>
      <c r="CV37" s="58">
        <f t="shared" si="141"/>
        <v>34.6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5"/>
        <v>26.445813605525938</v>
      </c>
      <c r="EW37" s="228" t="s">
        <v>112</v>
      </c>
      <c r="EX37" s="6">
        <f t="shared" si="126"/>
        <v>0.6</v>
      </c>
      <c r="EY37" s="6">
        <f t="shared" si="96"/>
        <v>1</v>
      </c>
      <c r="EZ37" s="6">
        <f>IFERROR(IF(B16="W",$EZ$23,$EZ$22),"0")</f>
        <v>15.336</v>
      </c>
    </row>
    <row r="38" spans="3:156" x14ac:dyDescent="0.2">
      <c r="C38" s="229" t="s">
        <v>81</v>
      </c>
      <c r="D38" s="28">
        <f>IFERROR(IF(B17="W",D23,D22),"0")</f>
        <v>69.666666666666657</v>
      </c>
      <c r="E38" s="86">
        <f t="shared" si="97"/>
        <v>7</v>
      </c>
      <c r="F38" s="33" t="s">
        <v>52</v>
      </c>
      <c r="G38" s="49">
        <f t="shared" si="98"/>
        <v>21</v>
      </c>
      <c r="H38" s="12" t="s">
        <v>53</v>
      </c>
      <c r="I38" s="33">
        <f t="shared" si="99"/>
        <v>5</v>
      </c>
      <c r="J38" s="49" t="s">
        <v>54</v>
      </c>
      <c r="K38" s="12">
        <f t="shared" si="100"/>
        <v>1</v>
      </c>
      <c r="L38" s="33" t="s">
        <v>52</v>
      </c>
      <c r="M38" s="49">
        <f t="shared" si="101"/>
        <v>2</v>
      </c>
      <c r="N38" s="12" t="s">
        <v>53</v>
      </c>
      <c r="O38" s="33">
        <f t="shared" si="102"/>
        <v>1</v>
      </c>
      <c r="P38" s="49" t="s">
        <v>54</v>
      </c>
      <c r="Q38" s="12">
        <f t="shared" si="103"/>
        <v>2</v>
      </c>
      <c r="R38" s="33" t="s">
        <v>52</v>
      </c>
      <c r="S38" s="49">
        <f t="shared" si="104"/>
        <v>8</v>
      </c>
      <c r="T38" s="12" t="s">
        <v>53</v>
      </c>
      <c r="U38" s="33">
        <f t="shared" si="105"/>
        <v>0</v>
      </c>
      <c r="V38" s="49" t="s">
        <v>54</v>
      </c>
      <c r="W38" s="12">
        <f t="shared" si="106"/>
        <v>4</v>
      </c>
      <c r="X38" s="33" t="s">
        <v>52</v>
      </c>
      <c r="Y38" s="49">
        <f t="shared" si="107"/>
        <v>11</v>
      </c>
      <c r="Z38" s="12" t="s">
        <v>53</v>
      </c>
      <c r="AA38" s="33">
        <f t="shared" si="108"/>
        <v>4</v>
      </c>
      <c r="AB38" s="49" t="s">
        <v>54</v>
      </c>
      <c r="AC38" s="12">
        <f t="shared" si="109"/>
        <v>0.7</v>
      </c>
      <c r="AD38" s="33" t="s">
        <v>52</v>
      </c>
      <c r="AE38" s="53">
        <f t="shared" si="110"/>
        <v>1</v>
      </c>
      <c r="AF38" s="12"/>
      <c r="AG38" s="43">
        <f t="shared" si="111"/>
        <v>5</v>
      </c>
      <c r="AH38" s="33" t="s">
        <v>52</v>
      </c>
      <c r="AI38" s="49">
        <f t="shared" si="112"/>
        <v>15</v>
      </c>
      <c r="AJ38" s="12" t="s">
        <v>53</v>
      </c>
      <c r="AK38" s="33">
        <f t="shared" si="113"/>
        <v>3</v>
      </c>
      <c r="AL38" s="49" t="s">
        <v>54</v>
      </c>
      <c r="AM38" s="12">
        <f t="shared" si="114"/>
        <v>0</v>
      </c>
      <c r="AN38" s="33" t="s">
        <v>52</v>
      </c>
      <c r="AO38" s="49">
        <f t="shared" si="115"/>
        <v>1</v>
      </c>
      <c r="AP38" s="12" t="s">
        <v>53</v>
      </c>
      <c r="AQ38" s="33">
        <f t="shared" si="116"/>
        <v>0</v>
      </c>
      <c r="AR38" s="49" t="s">
        <v>54</v>
      </c>
      <c r="AS38" s="12">
        <f t="shared" si="117"/>
        <v>2</v>
      </c>
      <c r="AT38" s="33" t="s">
        <v>52</v>
      </c>
      <c r="AU38" s="49">
        <f t="shared" si="118"/>
        <v>8</v>
      </c>
      <c r="AV38" s="12" t="s">
        <v>53</v>
      </c>
      <c r="AW38" s="33">
        <f t="shared" si="119"/>
        <v>0</v>
      </c>
      <c r="AX38" s="49" t="s">
        <v>54</v>
      </c>
      <c r="AY38" s="12">
        <f t="shared" si="120"/>
        <v>3</v>
      </c>
      <c r="AZ38" s="33" t="s">
        <v>52</v>
      </c>
      <c r="BA38" s="49">
        <f t="shared" si="121"/>
        <v>6</v>
      </c>
      <c r="BB38" s="12" t="s">
        <v>53</v>
      </c>
      <c r="BC38" s="33">
        <f t="shared" si="122"/>
        <v>3</v>
      </c>
      <c r="BD38" s="49" t="s">
        <v>54</v>
      </c>
      <c r="BE38" s="12">
        <f t="shared" si="123"/>
        <v>0</v>
      </c>
      <c r="BF38" s="33" t="s">
        <v>52</v>
      </c>
      <c r="BG38" s="53">
        <f t="shared" si="124"/>
        <v>0</v>
      </c>
      <c r="BH38" s="12"/>
      <c r="BI38" s="43">
        <f>IFERROR(IF($B$17="W",BI23,BI22),"0")</f>
        <v>2</v>
      </c>
      <c r="BJ38" s="12" t="str">
        <f t="shared" ref="BJ38:CI38" si="142">IFERROR(IF($B$17="W",BJ23,BJ22),"0")</f>
        <v>-</v>
      </c>
      <c r="BK38" s="49">
        <f t="shared" si="142"/>
        <v>6</v>
      </c>
      <c r="BL38" s="12" t="str">
        <f t="shared" si="142"/>
        <v>(</v>
      </c>
      <c r="BM38" s="33">
        <f t="shared" si="142"/>
        <v>2</v>
      </c>
      <c r="BN38" s="49" t="str">
        <f t="shared" si="142"/>
        <v>)</v>
      </c>
      <c r="BO38" s="12">
        <f t="shared" si="142"/>
        <v>1</v>
      </c>
      <c r="BP38" s="12" t="str">
        <f t="shared" si="142"/>
        <v>-</v>
      </c>
      <c r="BQ38" s="49">
        <f t="shared" si="142"/>
        <v>1</v>
      </c>
      <c r="BR38" s="12" t="str">
        <f t="shared" si="142"/>
        <v>(</v>
      </c>
      <c r="BS38" s="33">
        <f t="shared" si="142"/>
        <v>1</v>
      </c>
      <c r="BT38" s="49" t="str">
        <f t="shared" si="142"/>
        <v>)</v>
      </c>
      <c r="BU38" s="12">
        <f t="shared" si="142"/>
        <v>0</v>
      </c>
      <c r="BV38" s="12" t="str">
        <f t="shared" si="142"/>
        <v>-</v>
      </c>
      <c r="BW38" s="49">
        <f t="shared" si="142"/>
        <v>0</v>
      </c>
      <c r="BX38" s="12" t="str">
        <f t="shared" si="142"/>
        <v>(</v>
      </c>
      <c r="BY38" s="33">
        <f t="shared" si="142"/>
        <v>0</v>
      </c>
      <c r="BZ38" s="49" t="str">
        <f t="shared" si="142"/>
        <v>)</v>
      </c>
      <c r="CA38" s="12">
        <f t="shared" si="142"/>
        <v>1</v>
      </c>
      <c r="CB38" s="12" t="str">
        <f t="shared" si="142"/>
        <v>-</v>
      </c>
      <c r="CC38" s="49">
        <f t="shared" si="142"/>
        <v>5</v>
      </c>
      <c r="CD38" s="12" t="str">
        <f t="shared" si="142"/>
        <v>(</v>
      </c>
      <c r="CE38" s="33">
        <f t="shared" si="142"/>
        <v>1</v>
      </c>
      <c r="CF38" s="49" t="str">
        <f t="shared" si="142"/>
        <v>)</v>
      </c>
      <c r="CG38" s="12">
        <f t="shared" si="142"/>
        <v>0</v>
      </c>
      <c r="CH38" s="12" t="str">
        <f t="shared" si="142"/>
        <v>-</v>
      </c>
      <c r="CI38" s="53">
        <f t="shared" si="142"/>
        <v>0</v>
      </c>
      <c r="CJ38" s="33">
        <f>IFERROR(IF($B$17="W",CJ23,CJ22),"0")</f>
        <v>2</v>
      </c>
      <c r="CK38" s="33">
        <f t="shared" ref="CK38:CV38" si="143">IFERROR(IF($B$17="W",CK23,CK22),"0")</f>
        <v>12</v>
      </c>
      <c r="CL38" s="33">
        <f t="shared" si="143"/>
        <v>0</v>
      </c>
      <c r="CM38" s="33">
        <f t="shared" si="143"/>
        <v>0</v>
      </c>
      <c r="CN38" s="33">
        <f t="shared" si="143"/>
        <v>14</v>
      </c>
      <c r="CO38" s="33">
        <f t="shared" si="143"/>
        <v>5</v>
      </c>
      <c r="CP38" s="33">
        <f t="shared" si="143"/>
        <v>6</v>
      </c>
      <c r="CQ38" s="33">
        <f t="shared" si="143"/>
        <v>1</v>
      </c>
      <c r="CR38" s="33">
        <f t="shared" si="143"/>
        <v>1</v>
      </c>
      <c r="CS38" s="33">
        <f t="shared" si="143"/>
        <v>1</v>
      </c>
      <c r="CT38" s="33">
        <f t="shared" si="143"/>
        <v>3</v>
      </c>
      <c r="CU38" s="33">
        <f t="shared" si="143"/>
        <v>0</v>
      </c>
      <c r="CV38" s="58">
        <f t="shared" si="143"/>
        <v>18.7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5"/>
        <v>20.60283932363064</v>
      </c>
      <c r="EW38" s="229" t="s">
        <v>81</v>
      </c>
      <c r="EX38" s="6">
        <f t="shared" si="126"/>
        <v>0.7</v>
      </c>
      <c r="EY38" s="6">
        <f t="shared" si="96"/>
        <v>1</v>
      </c>
      <c r="EZ38" s="6">
        <f t="shared" si="127"/>
        <v>7.3639999999999999</v>
      </c>
    </row>
    <row r="39" spans="3:156" x14ac:dyDescent="0.2">
      <c r="C39" s="229" t="s">
        <v>225</v>
      </c>
      <c r="D39" s="28">
        <f>IFERROR(IF(B18="W",D23,D22),"0")</f>
        <v>69.666666666666671</v>
      </c>
      <c r="E39" s="86">
        <f t="shared" si="97"/>
        <v>15</v>
      </c>
      <c r="F39" s="33" t="s">
        <v>52</v>
      </c>
      <c r="G39" s="49">
        <f t="shared" si="98"/>
        <v>36</v>
      </c>
      <c r="H39" s="12" t="s">
        <v>53</v>
      </c>
      <c r="I39" s="33">
        <f t="shared" si="99"/>
        <v>9</v>
      </c>
      <c r="J39" s="49" t="s">
        <v>54</v>
      </c>
      <c r="K39" s="12">
        <f t="shared" si="100"/>
        <v>9</v>
      </c>
      <c r="L39" s="33" t="s">
        <v>52</v>
      </c>
      <c r="M39" s="49">
        <f t="shared" si="101"/>
        <v>19</v>
      </c>
      <c r="N39" s="12" t="s">
        <v>53</v>
      </c>
      <c r="O39" s="33">
        <f t="shared" si="102"/>
        <v>6</v>
      </c>
      <c r="P39" s="49" t="s">
        <v>54</v>
      </c>
      <c r="Q39" s="12">
        <f t="shared" si="103"/>
        <v>2</v>
      </c>
      <c r="R39" s="33" t="s">
        <v>52</v>
      </c>
      <c r="S39" s="49">
        <f t="shared" si="104"/>
        <v>6</v>
      </c>
      <c r="T39" s="12" t="s">
        <v>53</v>
      </c>
      <c r="U39" s="33">
        <f t="shared" si="105"/>
        <v>0</v>
      </c>
      <c r="V39" s="49" t="s">
        <v>54</v>
      </c>
      <c r="W39" s="12">
        <f t="shared" si="106"/>
        <v>4</v>
      </c>
      <c r="X39" s="33" t="s">
        <v>52</v>
      </c>
      <c r="Y39" s="49">
        <f t="shared" si="107"/>
        <v>11</v>
      </c>
      <c r="Z39" s="12" t="s">
        <v>53</v>
      </c>
      <c r="AA39" s="33">
        <f t="shared" si="108"/>
        <v>3</v>
      </c>
      <c r="AB39" s="49" t="s">
        <v>54</v>
      </c>
      <c r="AC39" s="12">
        <f t="shared" si="109"/>
        <v>0.6</v>
      </c>
      <c r="AD39" s="33" t="s">
        <v>52</v>
      </c>
      <c r="AE39" s="53">
        <f t="shared" si="110"/>
        <v>1</v>
      </c>
      <c r="AF39" s="12"/>
      <c r="AG39" s="43">
        <f t="shared" si="111"/>
        <v>9</v>
      </c>
      <c r="AH39" s="33" t="s">
        <v>52</v>
      </c>
      <c r="AI39" s="49">
        <f t="shared" si="112"/>
        <v>24</v>
      </c>
      <c r="AJ39" s="12" t="s">
        <v>53</v>
      </c>
      <c r="AK39" s="33">
        <f t="shared" si="113"/>
        <v>4</v>
      </c>
      <c r="AL39" s="49" t="s">
        <v>54</v>
      </c>
      <c r="AM39" s="12">
        <f t="shared" si="114"/>
        <v>5</v>
      </c>
      <c r="AN39" s="33" t="s">
        <v>52</v>
      </c>
      <c r="AO39" s="49">
        <f t="shared" si="115"/>
        <v>10</v>
      </c>
      <c r="AP39" s="12" t="s">
        <v>53</v>
      </c>
      <c r="AQ39" s="33">
        <f t="shared" si="116"/>
        <v>3</v>
      </c>
      <c r="AR39" s="49" t="s">
        <v>54</v>
      </c>
      <c r="AS39" s="12">
        <f t="shared" si="117"/>
        <v>2</v>
      </c>
      <c r="AT39" s="33" t="s">
        <v>52</v>
      </c>
      <c r="AU39" s="49">
        <f t="shared" si="118"/>
        <v>6</v>
      </c>
      <c r="AV39" s="12" t="s">
        <v>53</v>
      </c>
      <c r="AW39" s="33">
        <f t="shared" si="119"/>
        <v>0</v>
      </c>
      <c r="AX39" s="49" t="s">
        <v>54</v>
      </c>
      <c r="AY39" s="12">
        <f t="shared" si="120"/>
        <v>2</v>
      </c>
      <c r="AZ39" s="33" t="s">
        <v>52</v>
      </c>
      <c r="BA39" s="49">
        <f t="shared" si="121"/>
        <v>8</v>
      </c>
      <c r="BB39" s="12" t="s">
        <v>53</v>
      </c>
      <c r="BC39" s="33">
        <f t="shared" si="122"/>
        <v>1</v>
      </c>
      <c r="BD39" s="49" t="s">
        <v>54</v>
      </c>
      <c r="BE39" s="12">
        <f t="shared" si="123"/>
        <v>0</v>
      </c>
      <c r="BF39" s="33" t="s">
        <v>52</v>
      </c>
      <c r="BG39" s="53">
        <f t="shared" si="124"/>
        <v>0</v>
      </c>
      <c r="BH39" s="12"/>
      <c r="BI39" s="43">
        <f>IFERROR(IF($B$18="W",BI23,BI22),"0")</f>
        <v>6</v>
      </c>
      <c r="BJ39" s="12" t="str">
        <f t="shared" ref="BJ39:CI39" si="144">IFERROR(IF($B$18="W",BJ23,BJ22),"0")</f>
        <v>-</v>
      </c>
      <c r="BK39" s="49">
        <f t="shared" si="144"/>
        <v>12</v>
      </c>
      <c r="BL39" s="12" t="str">
        <f t="shared" si="144"/>
        <v>(</v>
      </c>
      <c r="BM39" s="33">
        <f t="shared" si="144"/>
        <v>5</v>
      </c>
      <c r="BN39" s="49" t="str">
        <f t="shared" si="144"/>
        <v>)</v>
      </c>
      <c r="BO39" s="12">
        <f t="shared" si="144"/>
        <v>4</v>
      </c>
      <c r="BP39" s="12" t="str">
        <f t="shared" si="144"/>
        <v>-</v>
      </c>
      <c r="BQ39" s="49">
        <f t="shared" si="144"/>
        <v>9</v>
      </c>
      <c r="BR39" s="12" t="str">
        <f t="shared" si="144"/>
        <v>(</v>
      </c>
      <c r="BS39" s="33">
        <f t="shared" si="144"/>
        <v>3</v>
      </c>
      <c r="BT39" s="49" t="str">
        <f t="shared" si="144"/>
        <v>)</v>
      </c>
      <c r="BU39" s="12">
        <f t="shared" si="144"/>
        <v>0</v>
      </c>
      <c r="BV39" s="12" t="str">
        <f t="shared" si="144"/>
        <v>-</v>
      </c>
      <c r="BW39" s="49">
        <f t="shared" si="144"/>
        <v>0</v>
      </c>
      <c r="BX39" s="12" t="str">
        <f t="shared" si="144"/>
        <v>(</v>
      </c>
      <c r="BY39" s="33">
        <f t="shared" si="144"/>
        <v>0</v>
      </c>
      <c r="BZ39" s="49" t="str">
        <f t="shared" si="144"/>
        <v>)</v>
      </c>
      <c r="CA39" s="12">
        <f t="shared" si="144"/>
        <v>2</v>
      </c>
      <c r="CB39" s="12" t="str">
        <f t="shared" si="144"/>
        <v>-</v>
      </c>
      <c r="CC39" s="49">
        <f t="shared" si="144"/>
        <v>3</v>
      </c>
      <c r="CD39" s="12" t="str">
        <f t="shared" si="144"/>
        <v>(</v>
      </c>
      <c r="CE39" s="33">
        <f t="shared" si="144"/>
        <v>2</v>
      </c>
      <c r="CF39" s="49" t="str">
        <f t="shared" si="144"/>
        <v>)</v>
      </c>
      <c r="CG39" s="12">
        <f t="shared" si="144"/>
        <v>0</v>
      </c>
      <c r="CH39" s="12" t="str">
        <f t="shared" si="144"/>
        <v>-</v>
      </c>
      <c r="CI39" s="53">
        <f t="shared" si="144"/>
        <v>0</v>
      </c>
      <c r="CJ39" s="33">
        <f>IFERROR(IF($B$18="W",CJ23,CJ22),"0")</f>
        <v>9</v>
      </c>
      <c r="CK39" s="33">
        <f t="shared" ref="CK39:CV39" si="145">IFERROR(IF($B$18="W",CK23,CK22),"0")</f>
        <v>12</v>
      </c>
      <c r="CL39" s="33">
        <f t="shared" si="145"/>
        <v>0</v>
      </c>
      <c r="CM39" s="33">
        <f t="shared" si="145"/>
        <v>0</v>
      </c>
      <c r="CN39" s="33">
        <f t="shared" si="145"/>
        <v>21</v>
      </c>
      <c r="CO39" s="33">
        <f t="shared" si="145"/>
        <v>9</v>
      </c>
      <c r="CP39" s="33">
        <f t="shared" si="145"/>
        <v>10</v>
      </c>
      <c r="CQ39" s="33">
        <f t="shared" si="145"/>
        <v>1</v>
      </c>
      <c r="CR39" s="33">
        <f t="shared" si="145"/>
        <v>1</v>
      </c>
      <c r="CS39" s="33">
        <f t="shared" si="145"/>
        <v>3</v>
      </c>
      <c r="CT39" s="33">
        <f t="shared" si="145"/>
        <v>1</v>
      </c>
      <c r="CU39" s="33">
        <f t="shared" si="145"/>
        <v>0</v>
      </c>
      <c r="CV39" s="58">
        <f t="shared" si="145"/>
        <v>34.6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5"/>
        <v>26.445813605525938</v>
      </c>
      <c r="EW39" s="229" t="s">
        <v>225</v>
      </c>
      <c r="EX39" s="6">
        <f t="shared" si="126"/>
        <v>0.6</v>
      </c>
      <c r="EY39" s="6">
        <f t="shared" si="96"/>
        <v>1</v>
      </c>
      <c r="EZ39" s="6">
        <f t="shared" si="127"/>
        <v>15.336</v>
      </c>
    </row>
    <row r="40" spans="3:156" x14ac:dyDescent="0.2">
      <c r="C40" s="38" t="s">
        <v>42</v>
      </c>
      <c r="D40" s="28">
        <f t="shared" ref="D40:D54" si="146">IFERROR(IF(B4="W",D$22,D$23),"0")</f>
        <v>69.666666666666657</v>
      </c>
      <c r="E40" s="86">
        <f>IFERROR(IF(B4="W",$E$22,$E$23),"0")</f>
        <v>7</v>
      </c>
      <c r="F40" s="33" t="s">
        <v>52</v>
      </c>
      <c r="G40" s="49">
        <f>IFERROR(IF(B4="W",$G$22,$G$23),"0")</f>
        <v>21</v>
      </c>
      <c r="H40" s="12" t="s">
        <v>53</v>
      </c>
      <c r="I40" s="33">
        <f>IFERROR(IF(B4="W",I$22,I$23),"0")</f>
        <v>5</v>
      </c>
      <c r="J40" s="49" t="s">
        <v>54</v>
      </c>
      <c r="K40" s="12">
        <f>IFERROR(IF(B4="W",K$22,K$23),"0")</f>
        <v>1</v>
      </c>
      <c r="L40" s="33" t="s">
        <v>52</v>
      </c>
      <c r="M40" s="49">
        <f>IFERROR(IF(B4="W",M$22,M$23),"0")</f>
        <v>2</v>
      </c>
      <c r="N40" s="12" t="s">
        <v>53</v>
      </c>
      <c r="O40" s="33">
        <f>IFERROR(IF(B4="W",O$22,O$23),"0")</f>
        <v>1</v>
      </c>
      <c r="P40" s="49" t="s">
        <v>54</v>
      </c>
      <c r="Q40" s="12">
        <f>IFERROR(IF(B4="W",Q$22,Q$23),"0")</f>
        <v>2</v>
      </c>
      <c r="R40" s="33" t="s">
        <v>52</v>
      </c>
      <c r="S40" s="49">
        <f>IFERROR(IF(B4="W",S$22,S$23),"0")</f>
        <v>8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4</v>
      </c>
      <c r="X40" s="33" t="s">
        <v>52</v>
      </c>
      <c r="Y40" s="49">
        <f>IFERROR(IF(B4="W",Y$22,Y$23),"0")</f>
        <v>11</v>
      </c>
      <c r="Z40" s="12" t="s">
        <v>53</v>
      </c>
      <c r="AA40" s="33">
        <f>IFERROR(IF(B4="W",AA$22,AA$23),"0")</f>
        <v>4</v>
      </c>
      <c r="AB40" s="49" t="s">
        <v>54</v>
      </c>
      <c r="AC40" s="12">
        <f>IFERROR(IF(B4="W",AC$22,AC$23),"0")</f>
        <v>0.7</v>
      </c>
      <c r="AD40" s="33" t="s">
        <v>52</v>
      </c>
      <c r="AE40" s="53">
        <f>IFERROR(IF(B4="W",AE$22,AE$23),"0")</f>
        <v>1</v>
      </c>
      <c r="AF40" s="12"/>
      <c r="AG40" s="43">
        <f>IFERROR(IF(B4="W",AG$22,AG$23),"0")</f>
        <v>5</v>
      </c>
      <c r="AH40" s="33" t="s">
        <v>52</v>
      </c>
      <c r="AI40" s="49">
        <f>IFERROR(IF(B4="W",AI$22,AI$23),"0")</f>
        <v>15</v>
      </c>
      <c r="AJ40" s="12" t="s">
        <v>53</v>
      </c>
      <c r="AK40" s="33">
        <f>IFERROR(IF(B4="W",AK$22,AK$23),"0")</f>
        <v>3</v>
      </c>
      <c r="AL40" s="49" t="s">
        <v>54</v>
      </c>
      <c r="AM40" s="12">
        <f>IFERROR(IF(B4="W",AM$22,AM$23),"0")</f>
        <v>0</v>
      </c>
      <c r="AN40" s="33" t="s">
        <v>52</v>
      </c>
      <c r="AO40" s="49">
        <f>IFERROR(IF(B4="W",AO$22,AO$23),"0")</f>
        <v>1</v>
      </c>
      <c r="AP40" s="12" t="s">
        <v>53</v>
      </c>
      <c r="AQ40" s="33">
        <f>IFERROR(IF(B4="W",AQ$22,AQ$23),"0")</f>
        <v>0</v>
      </c>
      <c r="AR40" s="49" t="s">
        <v>54</v>
      </c>
      <c r="AS40" s="12">
        <f>IFERROR(IF(B4="W",AS$22,AS$23),"0")</f>
        <v>2</v>
      </c>
      <c r="AT40" s="33" t="s">
        <v>52</v>
      </c>
      <c r="AU40" s="49">
        <f>IFERROR(IF(B4="W",AU$22,AU$23),"0")</f>
        <v>8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3</v>
      </c>
      <c r="AZ40" s="33" t="s">
        <v>52</v>
      </c>
      <c r="BA40" s="49">
        <f>IFERROR(IF(B4="W",BA$22,BA$23),"0")</f>
        <v>6</v>
      </c>
      <c r="BB40" s="12" t="s">
        <v>53</v>
      </c>
      <c r="BC40" s="33">
        <f>IFERROR(IF(B4="W",BC$22,BC$23),"0")</f>
        <v>3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2</v>
      </c>
      <c r="BJ40" s="33" t="s">
        <v>52</v>
      </c>
      <c r="BK40" s="49">
        <f>IFERROR(IF($B$4="W",BK22,BK23),"0")</f>
        <v>6</v>
      </c>
      <c r="BL40" s="12" t="s">
        <v>53</v>
      </c>
      <c r="BM40" s="33">
        <f>IFERROR(IF($B$4="W",BM22,BM23),"0")</f>
        <v>2</v>
      </c>
      <c r="BN40" s="49" t="s">
        <v>54</v>
      </c>
      <c r="BO40" s="12">
        <f>IFERROR(IF($B$4="W",BO22,BO23),"0")</f>
        <v>1</v>
      </c>
      <c r="BP40" s="33" t="s">
        <v>52</v>
      </c>
      <c r="BQ40" s="49">
        <f>IFERROR(IF($B$4="W",BQ22,BQ23),"0")</f>
        <v>1</v>
      </c>
      <c r="BR40" s="12" t="s">
        <v>53</v>
      </c>
      <c r="BS40" s="33">
        <f>IFERROR(IF($B$4="W",BS22,BS23),"0")</f>
        <v>1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1</v>
      </c>
      <c r="CB40" s="33" t="s">
        <v>52</v>
      </c>
      <c r="CC40" s="49">
        <f>IFERROR(IF($B$4="W",CC22,CC23),"0")</f>
        <v>5</v>
      </c>
      <c r="CD40" s="12" t="s">
        <v>53</v>
      </c>
      <c r="CE40" s="33">
        <f>IFERROR(IF($B$4="W",CE22,CE23),"0")</f>
        <v>1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7">IFERROR(IF($B$4="W",CI22,CI23),"0")</f>
        <v>0</v>
      </c>
      <c r="CJ40" s="33">
        <f t="shared" si="147"/>
        <v>2</v>
      </c>
      <c r="CK40" s="33">
        <f t="shared" si="147"/>
        <v>12</v>
      </c>
      <c r="CL40" s="33">
        <f t="shared" si="147"/>
        <v>0</v>
      </c>
      <c r="CM40" s="33">
        <f t="shared" si="147"/>
        <v>0</v>
      </c>
      <c r="CN40" s="33">
        <f t="shared" si="147"/>
        <v>14</v>
      </c>
      <c r="CO40" s="33">
        <f t="shared" si="147"/>
        <v>5</v>
      </c>
      <c r="CP40" s="33">
        <f t="shared" si="147"/>
        <v>6</v>
      </c>
      <c r="CQ40" s="33">
        <f t="shared" si="147"/>
        <v>1</v>
      </c>
      <c r="CR40" s="33">
        <f t="shared" si="147"/>
        <v>1</v>
      </c>
      <c r="CS40" s="33">
        <f t="shared" si="147"/>
        <v>1</v>
      </c>
      <c r="CT40" s="33">
        <f t="shared" si="147"/>
        <v>3</v>
      </c>
      <c r="CU40" s="33">
        <f t="shared" si="147"/>
        <v>0</v>
      </c>
      <c r="CV40" s="58">
        <f t="shared" si="147"/>
        <v>18.7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8">IFERROR(IF(B4="W",$EG$22,$EG$23),"0")</f>
        <v>20.60283932363064</v>
      </c>
      <c r="EW40" s="38" t="s">
        <v>42</v>
      </c>
      <c r="EX40" s="6">
        <f t="shared" ref="EX40:EX54" si="149">IFERROR(IF(B4="W",$EX$22,$EX$23),"0")</f>
        <v>0.7</v>
      </c>
      <c r="EY40" s="6">
        <f>IFERROR(IF(B4="W",$EY$22,$EY$23),"0")</f>
        <v>1</v>
      </c>
      <c r="EZ40" s="6">
        <f>IFERROR(IF(B4="W",$EZ$22,$EZ$23),"0")</f>
        <v>7.3639999999999999</v>
      </c>
    </row>
    <row r="41" spans="3:156" x14ac:dyDescent="0.2">
      <c r="C41" s="38" t="s">
        <v>43</v>
      </c>
      <c r="D41" s="28">
        <f t="shared" si="146"/>
        <v>69.666666666666671</v>
      </c>
      <c r="E41" s="86">
        <f t="shared" ref="E41:E54" si="150">IFERROR(IF(B5="W",$E$22,$E$23),"0")</f>
        <v>15</v>
      </c>
      <c r="F41" s="33" t="s">
        <v>52</v>
      </c>
      <c r="G41" s="49">
        <f t="shared" ref="G41:G54" si="151">IFERROR(IF(B5="W",$G$22,$G$23),"0")</f>
        <v>36</v>
      </c>
      <c r="H41" s="12" t="s">
        <v>53</v>
      </c>
      <c r="I41" s="33">
        <f t="shared" ref="I41:I54" si="152">IFERROR(IF(B5="W",I$22,I$23),"0")</f>
        <v>9</v>
      </c>
      <c r="J41" s="49" t="s">
        <v>54</v>
      </c>
      <c r="K41" s="12">
        <f t="shared" ref="K41:K54" si="153">IFERROR(IF(B5="W",K$22,K$23),"0")</f>
        <v>9</v>
      </c>
      <c r="L41" s="33" t="s">
        <v>52</v>
      </c>
      <c r="M41" s="49">
        <f t="shared" ref="M41:M54" si="154">IFERROR(IF(B5="W",M$22,M$23),"0")</f>
        <v>19</v>
      </c>
      <c r="N41" s="12" t="s">
        <v>53</v>
      </c>
      <c r="O41" s="33">
        <f t="shared" ref="O41:O54" si="155">IFERROR(IF(B5="W",O$22,O$23),"0")</f>
        <v>6</v>
      </c>
      <c r="P41" s="49" t="s">
        <v>54</v>
      </c>
      <c r="Q41" s="12">
        <f t="shared" ref="Q41:Q54" si="156">IFERROR(IF(B5="W",Q$22,Q$23),"0")</f>
        <v>2</v>
      </c>
      <c r="R41" s="33" t="s">
        <v>52</v>
      </c>
      <c r="S41" s="49">
        <f t="shared" ref="S41:S54" si="157">IFERROR(IF(B5="W",S$22,S$23),"0")</f>
        <v>6</v>
      </c>
      <c r="T41" s="12" t="s">
        <v>53</v>
      </c>
      <c r="U41" s="33">
        <f t="shared" ref="U41:U54" si="158">IFERROR(IF(B5="W",U$22,U$23),"0")</f>
        <v>0</v>
      </c>
      <c r="V41" s="49" t="s">
        <v>54</v>
      </c>
      <c r="W41" s="12">
        <f t="shared" ref="W41:W54" si="159">IFERROR(IF(B5="W",W$22,W$23),"0")</f>
        <v>4</v>
      </c>
      <c r="X41" s="33" t="s">
        <v>52</v>
      </c>
      <c r="Y41" s="49">
        <f t="shared" ref="Y41:Y54" si="160">IFERROR(IF(B5="W",Y$22,Y$23),"0")</f>
        <v>11</v>
      </c>
      <c r="Z41" s="12" t="s">
        <v>53</v>
      </c>
      <c r="AA41" s="33">
        <f t="shared" ref="AA41:AA54" si="161">IFERROR(IF(B5="W",AA$22,AA$23),"0")</f>
        <v>3</v>
      </c>
      <c r="AB41" s="49" t="s">
        <v>54</v>
      </c>
      <c r="AC41" s="12">
        <f t="shared" ref="AC41:AC54" si="162">IFERROR(IF(B5="W",AC$22,AC$23),"0")</f>
        <v>0.6</v>
      </c>
      <c r="AD41" s="33" t="s">
        <v>52</v>
      </c>
      <c r="AE41" s="53">
        <f t="shared" ref="AE41:AE54" si="163">IFERROR(IF(B5="W",AE$22,AE$23),"0")</f>
        <v>1</v>
      </c>
      <c r="AF41" s="12"/>
      <c r="AG41" s="43">
        <f t="shared" ref="AG41:AG54" si="164">IFERROR(IF(B5="W",AG$22,AG$23),"0")</f>
        <v>9</v>
      </c>
      <c r="AH41" s="33" t="s">
        <v>52</v>
      </c>
      <c r="AI41" s="49">
        <f t="shared" ref="AI41:AI54" si="165">IFERROR(IF(B5="W",AI$22,AI$23),"0")</f>
        <v>24</v>
      </c>
      <c r="AJ41" s="12" t="s">
        <v>53</v>
      </c>
      <c r="AK41" s="33">
        <f t="shared" ref="AK41:AK54" si="166">IFERROR(IF(B5="W",AK$22,AK$23),"0")</f>
        <v>4</v>
      </c>
      <c r="AL41" s="49" t="s">
        <v>54</v>
      </c>
      <c r="AM41" s="12">
        <f t="shared" ref="AM41:AM54" si="167">IFERROR(IF(B5="W",AM$22,AM$23),"0")</f>
        <v>5</v>
      </c>
      <c r="AN41" s="33" t="s">
        <v>52</v>
      </c>
      <c r="AO41" s="49">
        <f t="shared" ref="AO41:AO54" si="168">IFERROR(IF(B5="W",AO$22,AO$23),"0")</f>
        <v>10</v>
      </c>
      <c r="AP41" s="12" t="s">
        <v>53</v>
      </c>
      <c r="AQ41" s="33">
        <f t="shared" ref="AQ41:AQ54" si="169">IFERROR(IF(B5="W",AQ$22,AQ$23),"0")</f>
        <v>3</v>
      </c>
      <c r="AR41" s="49" t="s">
        <v>54</v>
      </c>
      <c r="AS41" s="12">
        <f t="shared" ref="AS41:AS54" si="170">IFERROR(IF(B5="W",AS$22,AS$23),"0")</f>
        <v>2</v>
      </c>
      <c r="AT41" s="33" t="s">
        <v>52</v>
      </c>
      <c r="AU41" s="49">
        <f t="shared" ref="AU41:AU54" si="171">IFERROR(IF(B5="W",AU$22,AU$23),"0")</f>
        <v>6</v>
      </c>
      <c r="AV41" s="12" t="s">
        <v>53</v>
      </c>
      <c r="AW41" s="33">
        <f t="shared" ref="AW41:AW54" si="172">IFERROR(IF(B5="W",AW$22,AW$23),"0")</f>
        <v>0</v>
      </c>
      <c r="AX41" s="49" t="s">
        <v>54</v>
      </c>
      <c r="AY41" s="12">
        <f t="shared" ref="AY41:AY54" si="173">IFERROR(IF(B5="W",AY$22,AY$23),"0")</f>
        <v>2</v>
      </c>
      <c r="AZ41" s="33" t="s">
        <v>52</v>
      </c>
      <c r="BA41" s="49">
        <f t="shared" ref="BA41:BA54" si="174">IFERROR(IF(B5="W",BA$22,BA$23),"0")</f>
        <v>8</v>
      </c>
      <c r="BB41" s="12" t="s">
        <v>53</v>
      </c>
      <c r="BC41" s="33">
        <f t="shared" ref="BC41:BC54" si="175">IFERROR(IF(B5="W",BC$22,BC$23),"0")</f>
        <v>1</v>
      </c>
      <c r="BD41" s="49" t="s">
        <v>54</v>
      </c>
      <c r="BE41" s="12">
        <f t="shared" ref="BE41:BE54" si="176">IFERROR(IF(B5="W",BE$22,BE$23),"0")</f>
        <v>0</v>
      </c>
      <c r="BF41" s="33" t="s">
        <v>52</v>
      </c>
      <c r="BG41" s="53">
        <f t="shared" ref="BG41:BG54" si="177">IFERROR(IF(B5="W",BG$22,BG$23),"0")</f>
        <v>0</v>
      </c>
      <c r="BH41" s="12"/>
      <c r="BI41" s="43">
        <f>IFERROR(IF($B$5="W",BI22,BI23),"0")</f>
        <v>6</v>
      </c>
      <c r="BJ41" s="33" t="s">
        <v>52</v>
      </c>
      <c r="BK41" s="49">
        <f>IFERROR(IF($B$5="W",BK22,BK23),"0")</f>
        <v>12</v>
      </c>
      <c r="BL41" s="12" t="s">
        <v>53</v>
      </c>
      <c r="BM41" s="33">
        <f>IFERROR(IF($B$5="W",BM22,BM23),"0")</f>
        <v>5</v>
      </c>
      <c r="BN41" s="49" t="s">
        <v>54</v>
      </c>
      <c r="BO41" s="12">
        <f>IFERROR(IF($B$5="W",BO22,BO23),"0")</f>
        <v>4</v>
      </c>
      <c r="BP41" s="33" t="s">
        <v>52</v>
      </c>
      <c r="BQ41" s="49">
        <f>IFERROR(IF($B$5="W",BQ22,BQ23),"0")</f>
        <v>9</v>
      </c>
      <c r="BR41" s="12" t="s">
        <v>53</v>
      </c>
      <c r="BS41" s="33">
        <f>IFERROR(IF($B$5="W",BS22,BS23),"0")</f>
        <v>3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2</v>
      </c>
      <c r="CB41" s="33" t="s">
        <v>52</v>
      </c>
      <c r="CC41" s="49">
        <f>IFERROR(IF($B$5="W",CC22,CC23),"0")</f>
        <v>3</v>
      </c>
      <c r="CD41" s="12" t="s">
        <v>53</v>
      </c>
      <c r="CE41" s="33">
        <f>IFERROR(IF($B$5="W",CE22,CE23),"0")</f>
        <v>2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8">IFERROR(IF($B$5="W",CI22,CI23),"0")</f>
        <v>0</v>
      </c>
      <c r="CJ41" s="33">
        <f t="shared" si="178"/>
        <v>9</v>
      </c>
      <c r="CK41" s="33">
        <f t="shared" si="178"/>
        <v>12</v>
      </c>
      <c r="CL41" s="33">
        <f t="shared" si="178"/>
        <v>0</v>
      </c>
      <c r="CM41" s="33">
        <f t="shared" si="178"/>
        <v>0</v>
      </c>
      <c r="CN41" s="33">
        <f t="shared" si="178"/>
        <v>21</v>
      </c>
      <c r="CO41" s="33">
        <f t="shared" si="178"/>
        <v>9</v>
      </c>
      <c r="CP41" s="33">
        <f t="shared" si="178"/>
        <v>10</v>
      </c>
      <c r="CQ41" s="33">
        <f t="shared" si="178"/>
        <v>1</v>
      </c>
      <c r="CR41" s="33">
        <f t="shared" si="178"/>
        <v>1</v>
      </c>
      <c r="CS41" s="33">
        <f t="shared" si="178"/>
        <v>3</v>
      </c>
      <c r="CT41" s="33">
        <f t="shared" si="178"/>
        <v>1</v>
      </c>
      <c r="CU41" s="33">
        <f t="shared" si="178"/>
        <v>0</v>
      </c>
      <c r="CV41" s="58">
        <f t="shared" si="178"/>
        <v>34.6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8"/>
        <v>26.445813605525938</v>
      </c>
      <c r="EW41" s="38" t="s">
        <v>43</v>
      </c>
      <c r="EX41" s="6">
        <f t="shared" si="149"/>
        <v>0.6</v>
      </c>
      <c r="EY41" s="6">
        <f t="shared" ref="EY41:EY54" si="179">IFERROR(IF(B5="W",$EY$22,$EY$23),"0")</f>
        <v>1</v>
      </c>
      <c r="EZ41" s="6">
        <f t="shared" ref="EZ41:EZ54" si="180">IFERROR(IF(B5="W",$EZ$22,$EZ$23),"0")</f>
        <v>15.336</v>
      </c>
    </row>
    <row r="42" spans="3:156" x14ac:dyDescent="0.2">
      <c r="C42" s="38" t="s">
        <v>44</v>
      </c>
      <c r="D42" s="28">
        <f t="shared" si="146"/>
        <v>69.666666666666671</v>
      </c>
      <c r="E42" s="86">
        <f t="shared" si="150"/>
        <v>15</v>
      </c>
      <c r="F42" s="33" t="s">
        <v>52</v>
      </c>
      <c r="G42" s="49">
        <f t="shared" si="151"/>
        <v>36</v>
      </c>
      <c r="H42" s="12" t="s">
        <v>53</v>
      </c>
      <c r="I42" s="33">
        <f t="shared" si="152"/>
        <v>9</v>
      </c>
      <c r="J42" s="49" t="s">
        <v>54</v>
      </c>
      <c r="K42" s="12">
        <f t="shared" si="153"/>
        <v>9</v>
      </c>
      <c r="L42" s="33" t="s">
        <v>52</v>
      </c>
      <c r="M42" s="49">
        <f t="shared" si="154"/>
        <v>19</v>
      </c>
      <c r="N42" s="12" t="s">
        <v>53</v>
      </c>
      <c r="O42" s="33">
        <f t="shared" si="155"/>
        <v>6</v>
      </c>
      <c r="P42" s="49" t="s">
        <v>54</v>
      </c>
      <c r="Q42" s="12">
        <f t="shared" si="156"/>
        <v>2</v>
      </c>
      <c r="R42" s="33" t="s">
        <v>52</v>
      </c>
      <c r="S42" s="49">
        <f t="shared" si="157"/>
        <v>6</v>
      </c>
      <c r="T42" s="12" t="s">
        <v>53</v>
      </c>
      <c r="U42" s="33">
        <f t="shared" si="158"/>
        <v>0</v>
      </c>
      <c r="V42" s="49" t="s">
        <v>54</v>
      </c>
      <c r="W42" s="12">
        <f t="shared" si="159"/>
        <v>4</v>
      </c>
      <c r="X42" s="33" t="s">
        <v>52</v>
      </c>
      <c r="Y42" s="49">
        <f t="shared" si="160"/>
        <v>11</v>
      </c>
      <c r="Z42" s="12" t="s">
        <v>53</v>
      </c>
      <c r="AA42" s="33">
        <f t="shared" si="161"/>
        <v>3</v>
      </c>
      <c r="AB42" s="49" t="s">
        <v>54</v>
      </c>
      <c r="AC42" s="12">
        <f t="shared" si="162"/>
        <v>0.6</v>
      </c>
      <c r="AD42" s="33" t="s">
        <v>52</v>
      </c>
      <c r="AE42" s="53">
        <f t="shared" si="163"/>
        <v>1</v>
      </c>
      <c r="AF42" s="12"/>
      <c r="AG42" s="43">
        <f t="shared" si="164"/>
        <v>9</v>
      </c>
      <c r="AH42" s="33" t="s">
        <v>52</v>
      </c>
      <c r="AI42" s="49">
        <f t="shared" si="165"/>
        <v>24</v>
      </c>
      <c r="AJ42" s="12" t="s">
        <v>53</v>
      </c>
      <c r="AK42" s="33">
        <f t="shared" si="166"/>
        <v>4</v>
      </c>
      <c r="AL42" s="49" t="s">
        <v>54</v>
      </c>
      <c r="AM42" s="12">
        <f t="shared" si="167"/>
        <v>5</v>
      </c>
      <c r="AN42" s="33" t="s">
        <v>52</v>
      </c>
      <c r="AO42" s="49">
        <f t="shared" si="168"/>
        <v>10</v>
      </c>
      <c r="AP42" s="12" t="s">
        <v>53</v>
      </c>
      <c r="AQ42" s="33">
        <f t="shared" si="169"/>
        <v>3</v>
      </c>
      <c r="AR42" s="49" t="s">
        <v>54</v>
      </c>
      <c r="AS42" s="12">
        <f t="shared" si="170"/>
        <v>2</v>
      </c>
      <c r="AT42" s="33" t="s">
        <v>52</v>
      </c>
      <c r="AU42" s="49">
        <f t="shared" si="171"/>
        <v>6</v>
      </c>
      <c r="AV42" s="12" t="s">
        <v>53</v>
      </c>
      <c r="AW42" s="33">
        <f t="shared" si="172"/>
        <v>0</v>
      </c>
      <c r="AX42" s="49" t="s">
        <v>54</v>
      </c>
      <c r="AY42" s="12">
        <f t="shared" si="173"/>
        <v>2</v>
      </c>
      <c r="AZ42" s="33" t="s">
        <v>52</v>
      </c>
      <c r="BA42" s="49">
        <f t="shared" si="174"/>
        <v>8</v>
      </c>
      <c r="BB42" s="12" t="s">
        <v>53</v>
      </c>
      <c r="BC42" s="33">
        <f t="shared" si="175"/>
        <v>1</v>
      </c>
      <c r="BD42" s="49" t="s">
        <v>54</v>
      </c>
      <c r="BE42" s="12">
        <f t="shared" si="176"/>
        <v>0</v>
      </c>
      <c r="BF42" s="33" t="s">
        <v>52</v>
      </c>
      <c r="BG42" s="53">
        <f t="shared" si="177"/>
        <v>0</v>
      </c>
      <c r="BH42" s="12"/>
      <c r="BI42" s="43">
        <f>IFERROR(IF($B$6="W",BI22,BI23),"0")</f>
        <v>6</v>
      </c>
      <c r="BJ42" s="33" t="s">
        <v>52</v>
      </c>
      <c r="BK42" s="49">
        <f>IFERROR(IF($B$6="W",BK22,BK23),"0")</f>
        <v>12</v>
      </c>
      <c r="BL42" s="12" t="s">
        <v>53</v>
      </c>
      <c r="BM42" s="33">
        <f>IFERROR(IF($B$6="W",BM22,BM23),"0")</f>
        <v>5</v>
      </c>
      <c r="BN42" s="49" t="s">
        <v>54</v>
      </c>
      <c r="BO42" s="12">
        <f>IFERROR(IF($B$6="W",BO22,BO23),"0")</f>
        <v>4</v>
      </c>
      <c r="BP42" s="33" t="s">
        <v>52</v>
      </c>
      <c r="BQ42" s="49">
        <f>IFERROR(IF($B$6="W",BQ22,BQ23),"0")</f>
        <v>9</v>
      </c>
      <c r="BR42" s="12" t="s">
        <v>53</v>
      </c>
      <c r="BS42" s="33">
        <f>IFERROR(IF($B$6="W",BS22,BS23),"0")</f>
        <v>3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2</v>
      </c>
      <c r="CB42" s="33" t="s">
        <v>52</v>
      </c>
      <c r="CC42" s="49">
        <f>IFERROR(IF($B$6="W",CC22,CC23),"0")</f>
        <v>3</v>
      </c>
      <c r="CD42" s="12" t="s">
        <v>53</v>
      </c>
      <c r="CE42" s="33">
        <f>IFERROR(IF($B$6="W",CE22,CE23),"0")</f>
        <v>2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81">IFERROR(IF($B$6="W",CI22,CI23),"0")</f>
        <v>0</v>
      </c>
      <c r="CJ42" s="33">
        <f t="shared" si="181"/>
        <v>9</v>
      </c>
      <c r="CK42" s="33">
        <f t="shared" si="181"/>
        <v>12</v>
      </c>
      <c r="CL42" s="33">
        <f t="shared" si="181"/>
        <v>0</v>
      </c>
      <c r="CM42" s="33">
        <f t="shared" si="181"/>
        <v>0</v>
      </c>
      <c r="CN42" s="33">
        <f t="shared" si="181"/>
        <v>21</v>
      </c>
      <c r="CO42" s="33">
        <f t="shared" si="181"/>
        <v>9</v>
      </c>
      <c r="CP42" s="33">
        <f t="shared" si="181"/>
        <v>10</v>
      </c>
      <c r="CQ42" s="33">
        <f t="shared" si="181"/>
        <v>1</v>
      </c>
      <c r="CR42" s="33">
        <f t="shared" si="181"/>
        <v>1</v>
      </c>
      <c r="CS42" s="33">
        <f t="shared" si="181"/>
        <v>3</v>
      </c>
      <c r="CT42" s="33">
        <f t="shared" si="181"/>
        <v>1</v>
      </c>
      <c r="CU42" s="33">
        <f t="shared" si="181"/>
        <v>0</v>
      </c>
      <c r="CV42" s="58">
        <f t="shared" si="181"/>
        <v>34.6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8"/>
        <v>26.445813605525938</v>
      </c>
      <c r="EW42" s="38" t="s">
        <v>44</v>
      </c>
      <c r="EX42" s="6">
        <f t="shared" si="149"/>
        <v>0.6</v>
      </c>
      <c r="EY42" s="6">
        <f t="shared" si="179"/>
        <v>1</v>
      </c>
      <c r="EZ42" s="6">
        <f t="shared" si="180"/>
        <v>15.336</v>
      </c>
    </row>
    <row r="43" spans="3:156" x14ac:dyDescent="0.2">
      <c r="C43" s="38" t="s">
        <v>45</v>
      </c>
      <c r="D43" s="28">
        <f t="shared" si="146"/>
        <v>69.666666666666671</v>
      </c>
      <c r="E43" s="86">
        <f t="shared" si="150"/>
        <v>15</v>
      </c>
      <c r="F43" s="33" t="s">
        <v>52</v>
      </c>
      <c r="G43" s="49">
        <f t="shared" si="151"/>
        <v>36</v>
      </c>
      <c r="H43" s="12" t="s">
        <v>53</v>
      </c>
      <c r="I43" s="33">
        <f t="shared" si="152"/>
        <v>9</v>
      </c>
      <c r="J43" s="49" t="s">
        <v>54</v>
      </c>
      <c r="K43" s="12">
        <f t="shared" si="153"/>
        <v>9</v>
      </c>
      <c r="L43" s="33" t="s">
        <v>52</v>
      </c>
      <c r="M43" s="49">
        <f t="shared" si="154"/>
        <v>19</v>
      </c>
      <c r="N43" s="12" t="s">
        <v>53</v>
      </c>
      <c r="O43" s="33">
        <f t="shared" si="155"/>
        <v>6</v>
      </c>
      <c r="P43" s="49" t="s">
        <v>54</v>
      </c>
      <c r="Q43" s="12">
        <f t="shared" si="156"/>
        <v>2</v>
      </c>
      <c r="R43" s="33" t="s">
        <v>52</v>
      </c>
      <c r="S43" s="49">
        <f t="shared" si="157"/>
        <v>6</v>
      </c>
      <c r="T43" s="12" t="s">
        <v>53</v>
      </c>
      <c r="U43" s="33">
        <f t="shared" si="158"/>
        <v>0</v>
      </c>
      <c r="V43" s="49" t="s">
        <v>54</v>
      </c>
      <c r="W43" s="12">
        <f t="shared" si="159"/>
        <v>4</v>
      </c>
      <c r="X43" s="33" t="s">
        <v>52</v>
      </c>
      <c r="Y43" s="49">
        <f t="shared" si="160"/>
        <v>11</v>
      </c>
      <c r="Z43" s="12" t="s">
        <v>53</v>
      </c>
      <c r="AA43" s="33">
        <f t="shared" si="161"/>
        <v>3</v>
      </c>
      <c r="AB43" s="49" t="s">
        <v>54</v>
      </c>
      <c r="AC43" s="12">
        <f t="shared" si="162"/>
        <v>0.6</v>
      </c>
      <c r="AD43" s="33" t="s">
        <v>52</v>
      </c>
      <c r="AE43" s="53">
        <f t="shared" si="163"/>
        <v>1</v>
      </c>
      <c r="AF43" s="12"/>
      <c r="AG43" s="43">
        <f t="shared" si="164"/>
        <v>9</v>
      </c>
      <c r="AH43" s="33" t="s">
        <v>52</v>
      </c>
      <c r="AI43" s="49">
        <f t="shared" si="165"/>
        <v>24</v>
      </c>
      <c r="AJ43" s="12" t="s">
        <v>53</v>
      </c>
      <c r="AK43" s="33">
        <f t="shared" si="166"/>
        <v>4</v>
      </c>
      <c r="AL43" s="49" t="s">
        <v>54</v>
      </c>
      <c r="AM43" s="12">
        <f t="shared" si="167"/>
        <v>5</v>
      </c>
      <c r="AN43" s="33" t="s">
        <v>52</v>
      </c>
      <c r="AO43" s="49">
        <f t="shared" si="168"/>
        <v>10</v>
      </c>
      <c r="AP43" s="12" t="s">
        <v>53</v>
      </c>
      <c r="AQ43" s="33">
        <f t="shared" si="169"/>
        <v>3</v>
      </c>
      <c r="AR43" s="49" t="s">
        <v>54</v>
      </c>
      <c r="AS43" s="12">
        <f t="shared" si="170"/>
        <v>2</v>
      </c>
      <c r="AT43" s="33" t="s">
        <v>52</v>
      </c>
      <c r="AU43" s="49">
        <f t="shared" si="171"/>
        <v>6</v>
      </c>
      <c r="AV43" s="12" t="s">
        <v>53</v>
      </c>
      <c r="AW43" s="33">
        <f t="shared" si="172"/>
        <v>0</v>
      </c>
      <c r="AX43" s="49" t="s">
        <v>54</v>
      </c>
      <c r="AY43" s="12">
        <f t="shared" si="173"/>
        <v>2</v>
      </c>
      <c r="AZ43" s="33" t="s">
        <v>52</v>
      </c>
      <c r="BA43" s="49">
        <f t="shared" si="174"/>
        <v>8</v>
      </c>
      <c r="BB43" s="12" t="s">
        <v>53</v>
      </c>
      <c r="BC43" s="33">
        <f t="shared" si="175"/>
        <v>1</v>
      </c>
      <c r="BD43" s="49" t="s">
        <v>54</v>
      </c>
      <c r="BE43" s="12">
        <f t="shared" si="176"/>
        <v>0</v>
      </c>
      <c r="BF43" s="33" t="s">
        <v>52</v>
      </c>
      <c r="BG43" s="53">
        <f t="shared" si="177"/>
        <v>0</v>
      </c>
      <c r="BH43" s="12"/>
      <c r="BI43" s="43">
        <f>IFERROR(IF($B$7="W",BI22,BI23),"0")</f>
        <v>6</v>
      </c>
      <c r="BJ43" s="33" t="s">
        <v>52</v>
      </c>
      <c r="BK43" s="49">
        <f>IFERROR(IF($B$7="W",BK22,BK23),"0")</f>
        <v>12</v>
      </c>
      <c r="BL43" s="12" t="s">
        <v>53</v>
      </c>
      <c r="BM43" s="33">
        <f>IFERROR(IF($B$7="W",BM22,BM23),"0")</f>
        <v>5</v>
      </c>
      <c r="BN43" s="49" t="s">
        <v>54</v>
      </c>
      <c r="BO43" s="12">
        <f>IFERROR(IF($B$7="W",BO22,BO23),"0")</f>
        <v>4</v>
      </c>
      <c r="BP43" s="33" t="s">
        <v>52</v>
      </c>
      <c r="BQ43" s="49">
        <f>IFERROR(IF($B$7="W",BQ22,BQ23),"0")</f>
        <v>9</v>
      </c>
      <c r="BR43" s="12" t="s">
        <v>53</v>
      </c>
      <c r="BS43" s="33">
        <f>IFERROR(IF($B$7="W",BS22,BS23),"0")</f>
        <v>3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2</v>
      </c>
      <c r="CB43" s="33" t="s">
        <v>52</v>
      </c>
      <c r="CC43" s="49">
        <f>IFERROR(IF($B$7="W",CC22,CC23),"0")</f>
        <v>3</v>
      </c>
      <c r="CD43" s="12" t="s">
        <v>53</v>
      </c>
      <c r="CE43" s="33">
        <f>IFERROR(IF($B$7="W",CE22,CE23),"0")</f>
        <v>2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2">IFERROR(IF($B$7="W",CI22,CI23),"0")</f>
        <v>0</v>
      </c>
      <c r="CJ43" s="33">
        <f t="shared" si="182"/>
        <v>9</v>
      </c>
      <c r="CK43" s="33">
        <f t="shared" si="182"/>
        <v>12</v>
      </c>
      <c r="CL43" s="33">
        <f t="shared" si="182"/>
        <v>0</v>
      </c>
      <c r="CM43" s="33">
        <f t="shared" si="182"/>
        <v>0</v>
      </c>
      <c r="CN43" s="33">
        <f t="shared" si="182"/>
        <v>21</v>
      </c>
      <c r="CO43" s="33">
        <f t="shared" si="182"/>
        <v>9</v>
      </c>
      <c r="CP43" s="33">
        <f t="shared" si="182"/>
        <v>10</v>
      </c>
      <c r="CQ43" s="33">
        <f t="shared" si="182"/>
        <v>1</v>
      </c>
      <c r="CR43" s="33">
        <f t="shared" si="182"/>
        <v>1</v>
      </c>
      <c r="CS43" s="33">
        <f t="shared" si="182"/>
        <v>3</v>
      </c>
      <c r="CT43" s="33">
        <f t="shared" si="182"/>
        <v>1</v>
      </c>
      <c r="CU43" s="33">
        <f t="shared" si="182"/>
        <v>0</v>
      </c>
      <c r="CV43" s="58">
        <f t="shared" si="182"/>
        <v>34.6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8"/>
        <v>26.445813605525938</v>
      </c>
      <c r="EW43" s="38" t="s">
        <v>45</v>
      </c>
      <c r="EX43" s="6">
        <f t="shared" si="149"/>
        <v>0.6</v>
      </c>
      <c r="EY43" s="6">
        <f t="shared" si="179"/>
        <v>1</v>
      </c>
      <c r="EZ43" s="6">
        <f t="shared" si="180"/>
        <v>15.336</v>
      </c>
    </row>
    <row r="44" spans="3:156" x14ac:dyDescent="0.2">
      <c r="C44" s="38" t="s">
        <v>226</v>
      </c>
      <c r="D44" s="28">
        <f t="shared" si="146"/>
        <v>69.666666666666657</v>
      </c>
      <c r="E44" s="86">
        <f t="shared" si="150"/>
        <v>7</v>
      </c>
      <c r="F44" s="33" t="s">
        <v>52</v>
      </c>
      <c r="G44" s="49">
        <f t="shared" si="151"/>
        <v>21</v>
      </c>
      <c r="H44" s="12" t="s">
        <v>53</v>
      </c>
      <c r="I44" s="33">
        <f t="shared" si="152"/>
        <v>5</v>
      </c>
      <c r="J44" s="49" t="s">
        <v>54</v>
      </c>
      <c r="K44" s="12">
        <f t="shared" si="153"/>
        <v>1</v>
      </c>
      <c r="L44" s="33" t="s">
        <v>52</v>
      </c>
      <c r="M44" s="49">
        <f t="shared" si="154"/>
        <v>2</v>
      </c>
      <c r="N44" s="12" t="s">
        <v>53</v>
      </c>
      <c r="O44" s="33">
        <f t="shared" si="155"/>
        <v>1</v>
      </c>
      <c r="P44" s="49" t="s">
        <v>54</v>
      </c>
      <c r="Q44" s="12">
        <f t="shared" si="156"/>
        <v>2</v>
      </c>
      <c r="R44" s="33" t="s">
        <v>52</v>
      </c>
      <c r="S44" s="49">
        <f t="shared" si="157"/>
        <v>8</v>
      </c>
      <c r="T44" s="12" t="s">
        <v>53</v>
      </c>
      <c r="U44" s="33">
        <f t="shared" si="158"/>
        <v>0</v>
      </c>
      <c r="V44" s="49" t="s">
        <v>54</v>
      </c>
      <c r="W44" s="12">
        <f t="shared" si="159"/>
        <v>4</v>
      </c>
      <c r="X44" s="33" t="s">
        <v>52</v>
      </c>
      <c r="Y44" s="49">
        <f t="shared" si="160"/>
        <v>11</v>
      </c>
      <c r="Z44" s="12" t="s">
        <v>53</v>
      </c>
      <c r="AA44" s="33">
        <f t="shared" si="161"/>
        <v>4</v>
      </c>
      <c r="AB44" s="49" t="s">
        <v>54</v>
      </c>
      <c r="AC44" s="12">
        <f t="shared" si="162"/>
        <v>0.7</v>
      </c>
      <c r="AD44" s="33" t="s">
        <v>52</v>
      </c>
      <c r="AE44" s="53">
        <f t="shared" si="163"/>
        <v>1</v>
      </c>
      <c r="AF44" s="12"/>
      <c r="AG44" s="43">
        <f t="shared" si="164"/>
        <v>5</v>
      </c>
      <c r="AH44" s="33" t="s">
        <v>52</v>
      </c>
      <c r="AI44" s="49">
        <f t="shared" si="165"/>
        <v>15</v>
      </c>
      <c r="AJ44" s="12" t="s">
        <v>53</v>
      </c>
      <c r="AK44" s="33">
        <f t="shared" si="166"/>
        <v>3</v>
      </c>
      <c r="AL44" s="49" t="s">
        <v>54</v>
      </c>
      <c r="AM44" s="12">
        <f t="shared" si="167"/>
        <v>0</v>
      </c>
      <c r="AN44" s="33" t="s">
        <v>52</v>
      </c>
      <c r="AO44" s="49">
        <f t="shared" si="168"/>
        <v>1</v>
      </c>
      <c r="AP44" s="12" t="s">
        <v>53</v>
      </c>
      <c r="AQ44" s="33">
        <f t="shared" si="169"/>
        <v>0</v>
      </c>
      <c r="AR44" s="49" t="s">
        <v>54</v>
      </c>
      <c r="AS44" s="12">
        <f t="shared" si="170"/>
        <v>2</v>
      </c>
      <c r="AT44" s="33" t="s">
        <v>52</v>
      </c>
      <c r="AU44" s="49">
        <f t="shared" si="171"/>
        <v>8</v>
      </c>
      <c r="AV44" s="12" t="s">
        <v>53</v>
      </c>
      <c r="AW44" s="33">
        <f t="shared" si="172"/>
        <v>0</v>
      </c>
      <c r="AX44" s="49" t="s">
        <v>54</v>
      </c>
      <c r="AY44" s="12">
        <f t="shared" si="173"/>
        <v>3</v>
      </c>
      <c r="AZ44" s="33" t="s">
        <v>52</v>
      </c>
      <c r="BA44" s="49">
        <f t="shared" si="174"/>
        <v>6</v>
      </c>
      <c r="BB44" s="12" t="s">
        <v>53</v>
      </c>
      <c r="BC44" s="33">
        <f t="shared" si="175"/>
        <v>3</v>
      </c>
      <c r="BD44" s="49" t="s">
        <v>54</v>
      </c>
      <c r="BE44" s="12">
        <f t="shared" si="176"/>
        <v>0</v>
      </c>
      <c r="BF44" s="33" t="s">
        <v>52</v>
      </c>
      <c r="BG44" s="53">
        <f t="shared" si="177"/>
        <v>0</v>
      </c>
      <c r="BH44" s="12"/>
      <c r="BI44" s="43">
        <f>IFERROR(IF($B$8="W",BI22,BI23),"0")</f>
        <v>2</v>
      </c>
      <c r="BJ44" s="33" t="s">
        <v>52</v>
      </c>
      <c r="BK44" s="49">
        <f>IFERROR(IF($B$8="W",BK22,BK23),"0")</f>
        <v>6</v>
      </c>
      <c r="BL44" s="12" t="s">
        <v>53</v>
      </c>
      <c r="BM44" s="33">
        <f>IFERROR(IF($B$8="W",BM22,BM23),"0")</f>
        <v>2</v>
      </c>
      <c r="BN44" s="49" t="s">
        <v>54</v>
      </c>
      <c r="BO44" s="12">
        <f>IFERROR(IF($B$8="W",BO22,BO23),"0")</f>
        <v>1</v>
      </c>
      <c r="BP44" s="33" t="s">
        <v>52</v>
      </c>
      <c r="BQ44" s="49">
        <f>IFERROR(IF($B$8="W",BQ22,BQ23),"0")</f>
        <v>1</v>
      </c>
      <c r="BR44" s="12" t="s">
        <v>53</v>
      </c>
      <c r="BS44" s="33">
        <f>IFERROR(IF($B$8="W",BS22,BS23),"0")</f>
        <v>1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1</v>
      </c>
      <c r="CB44" s="33" t="s">
        <v>52</v>
      </c>
      <c r="CC44" s="49">
        <f>IFERROR(IF($B$8="W",CC22,CC23),"0")</f>
        <v>5</v>
      </c>
      <c r="CD44" s="12" t="s">
        <v>53</v>
      </c>
      <c r="CE44" s="33">
        <f>IFERROR(IF($B$8="W",CE22,CE23),"0")</f>
        <v>1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3">IFERROR(IF($B$8="W",CI22,CI23),"0")</f>
        <v>0</v>
      </c>
      <c r="CJ44" s="33">
        <f t="shared" si="183"/>
        <v>2</v>
      </c>
      <c r="CK44" s="33">
        <f t="shared" si="183"/>
        <v>12</v>
      </c>
      <c r="CL44" s="33">
        <f t="shared" si="183"/>
        <v>0</v>
      </c>
      <c r="CM44" s="33">
        <f t="shared" si="183"/>
        <v>0</v>
      </c>
      <c r="CN44" s="33">
        <f t="shared" si="183"/>
        <v>14</v>
      </c>
      <c r="CO44" s="33">
        <f t="shared" si="183"/>
        <v>5</v>
      </c>
      <c r="CP44" s="33">
        <f t="shared" si="183"/>
        <v>6</v>
      </c>
      <c r="CQ44" s="33">
        <f t="shared" si="183"/>
        <v>1</v>
      </c>
      <c r="CR44" s="33">
        <f t="shared" si="183"/>
        <v>1</v>
      </c>
      <c r="CS44" s="33">
        <f t="shared" si="183"/>
        <v>1</v>
      </c>
      <c r="CT44" s="33">
        <f t="shared" si="183"/>
        <v>3</v>
      </c>
      <c r="CU44" s="33">
        <f t="shared" si="183"/>
        <v>0</v>
      </c>
      <c r="CV44" s="58">
        <f t="shared" si="183"/>
        <v>18.7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8"/>
        <v>20.60283932363064</v>
      </c>
      <c r="EW44" s="38" t="s">
        <v>226</v>
      </c>
      <c r="EX44" s="6">
        <f t="shared" si="149"/>
        <v>0.7</v>
      </c>
      <c r="EY44" s="6">
        <f t="shared" si="179"/>
        <v>1</v>
      </c>
      <c r="EZ44" s="6">
        <f t="shared" si="180"/>
        <v>7.3639999999999999</v>
      </c>
    </row>
    <row r="45" spans="3:156" x14ac:dyDescent="0.2">
      <c r="C45" s="38" t="s">
        <v>46</v>
      </c>
      <c r="D45" s="28">
        <f t="shared" si="146"/>
        <v>69.666666666666671</v>
      </c>
      <c r="E45" s="86">
        <f t="shared" si="150"/>
        <v>15</v>
      </c>
      <c r="F45" s="33" t="s">
        <v>52</v>
      </c>
      <c r="G45" s="49">
        <f t="shared" si="151"/>
        <v>36</v>
      </c>
      <c r="H45" s="12" t="s">
        <v>53</v>
      </c>
      <c r="I45" s="33">
        <f t="shared" si="152"/>
        <v>9</v>
      </c>
      <c r="J45" s="49" t="s">
        <v>54</v>
      </c>
      <c r="K45" s="12">
        <f t="shared" si="153"/>
        <v>9</v>
      </c>
      <c r="L45" s="33" t="s">
        <v>52</v>
      </c>
      <c r="M45" s="49">
        <f t="shared" si="154"/>
        <v>19</v>
      </c>
      <c r="N45" s="12" t="s">
        <v>53</v>
      </c>
      <c r="O45" s="33">
        <f t="shared" si="155"/>
        <v>6</v>
      </c>
      <c r="P45" s="49" t="s">
        <v>54</v>
      </c>
      <c r="Q45" s="12">
        <f t="shared" si="156"/>
        <v>2</v>
      </c>
      <c r="R45" s="33" t="s">
        <v>52</v>
      </c>
      <c r="S45" s="49">
        <f t="shared" si="157"/>
        <v>6</v>
      </c>
      <c r="T45" s="12" t="s">
        <v>53</v>
      </c>
      <c r="U45" s="33">
        <f t="shared" si="158"/>
        <v>0</v>
      </c>
      <c r="V45" s="49" t="s">
        <v>54</v>
      </c>
      <c r="W45" s="12">
        <f t="shared" si="159"/>
        <v>4</v>
      </c>
      <c r="X45" s="33" t="s">
        <v>52</v>
      </c>
      <c r="Y45" s="49">
        <f t="shared" si="160"/>
        <v>11</v>
      </c>
      <c r="Z45" s="12" t="s">
        <v>53</v>
      </c>
      <c r="AA45" s="33">
        <f t="shared" si="161"/>
        <v>3</v>
      </c>
      <c r="AB45" s="49" t="s">
        <v>54</v>
      </c>
      <c r="AC45" s="12">
        <f t="shared" si="162"/>
        <v>0.6</v>
      </c>
      <c r="AD45" s="33" t="s">
        <v>52</v>
      </c>
      <c r="AE45" s="53">
        <f t="shared" si="163"/>
        <v>1</v>
      </c>
      <c r="AF45" s="12"/>
      <c r="AG45" s="43">
        <f t="shared" si="164"/>
        <v>9</v>
      </c>
      <c r="AH45" s="33" t="s">
        <v>52</v>
      </c>
      <c r="AI45" s="49">
        <f t="shared" si="165"/>
        <v>24</v>
      </c>
      <c r="AJ45" s="12" t="s">
        <v>53</v>
      </c>
      <c r="AK45" s="33">
        <f t="shared" si="166"/>
        <v>4</v>
      </c>
      <c r="AL45" s="49" t="s">
        <v>54</v>
      </c>
      <c r="AM45" s="12">
        <f t="shared" si="167"/>
        <v>5</v>
      </c>
      <c r="AN45" s="33" t="s">
        <v>52</v>
      </c>
      <c r="AO45" s="49">
        <f t="shared" si="168"/>
        <v>10</v>
      </c>
      <c r="AP45" s="12" t="s">
        <v>53</v>
      </c>
      <c r="AQ45" s="33">
        <f t="shared" si="169"/>
        <v>3</v>
      </c>
      <c r="AR45" s="49" t="s">
        <v>54</v>
      </c>
      <c r="AS45" s="12">
        <f t="shared" si="170"/>
        <v>2</v>
      </c>
      <c r="AT45" s="33" t="s">
        <v>52</v>
      </c>
      <c r="AU45" s="49">
        <f t="shared" si="171"/>
        <v>6</v>
      </c>
      <c r="AV45" s="12" t="s">
        <v>53</v>
      </c>
      <c r="AW45" s="33">
        <f t="shared" si="172"/>
        <v>0</v>
      </c>
      <c r="AX45" s="49" t="s">
        <v>54</v>
      </c>
      <c r="AY45" s="12">
        <f t="shared" si="173"/>
        <v>2</v>
      </c>
      <c r="AZ45" s="33" t="s">
        <v>52</v>
      </c>
      <c r="BA45" s="49">
        <f t="shared" si="174"/>
        <v>8</v>
      </c>
      <c r="BB45" s="12" t="s">
        <v>53</v>
      </c>
      <c r="BC45" s="33">
        <f t="shared" si="175"/>
        <v>1</v>
      </c>
      <c r="BD45" s="49" t="s">
        <v>54</v>
      </c>
      <c r="BE45" s="12">
        <f t="shared" si="176"/>
        <v>0</v>
      </c>
      <c r="BF45" s="33" t="s">
        <v>52</v>
      </c>
      <c r="BG45" s="53">
        <f t="shared" si="177"/>
        <v>0</v>
      </c>
      <c r="BH45" s="12"/>
      <c r="BI45" s="43">
        <f>IFERROR(IF($B$9="W",BI22,BI23),"0")</f>
        <v>6</v>
      </c>
      <c r="BJ45" s="33" t="s">
        <v>52</v>
      </c>
      <c r="BK45" s="49">
        <f>IFERROR(IF($B$9="W",BK22,BK23),"0")</f>
        <v>12</v>
      </c>
      <c r="BL45" s="12" t="s">
        <v>53</v>
      </c>
      <c r="BM45" s="33">
        <f>IFERROR(IF($B$9="W",BM22,BM23),"0")</f>
        <v>5</v>
      </c>
      <c r="BN45" s="49" t="s">
        <v>54</v>
      </c>
      <c r="BO45" s="12">
        <f>IFERROR(IF($B$9="W",BO22,BO23),"0")</f>
        <v>4</v>
      </c>
      <c r="BP45" s="33" t="s">
        <v>52</v>
      </c>
      <c r="BQ45" s="49">
        <f>IFERROR(IF($B$9="W",BQ22,BQ23),"0")</f>
        <v>9</v>
      </c>
      <c r="BR45" s="12" t="s">
        <v>53</v>
      </c>
      <c r="BS45" s="33">
        <f>IFERROR(IF($B$9="W",BS22,BS23),"0")</f>
        <v>3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2</v>
      </c>
      <c r="CB45" s="33" t="s">
        <v>52</v>
      </c>
      <c r="CC45" s="49">
        <f>IFERROR(IF($B$9="W",CC22,CC23),"0")</f>
        <v>3</v>
      </c>
      <c r="CD45" s="12" t="s">
        <v>53</v>
      </c>
      <c r="CE45" s="33">
        <f>IFERROR(IF($B$9="W",CE22,CE23),"0")</f>
        <v>2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4">IFERROR(IF($B$9="W",CI22,CI23),"0")</f>
        <v>0</v>
      </c>
      <c r="CJ45" s="33">
        <f t="shared" si="184"/>
        <v>9</v>
      </c>
      <c r="CK45" s="33">
        <f t="shared" si="184"/>
        <v>12</v>
      </c>
      <c r="CL45" s="33">
        <f t="shared" si="184"/>
        <v>0</v>
      </c>
      <c r="CM45" s="33">
        <f t="shared" si="184"/>
        <v>0</v>
      </c>
      <c r="CN45" s="33">
        <f t="shared" si="184"/>
        <v>21</v>
      </c>
      <c r="CO45" s="33">
        <f t="shared" si="184"/>
        <v>9</v>
      </c>
      <c r="CP45" s="33">
        <f t="shared" si="184"/>
        <v>10</v>
      </c>
      <c r="CQ45" s="33">
        <f t="shared" si="184"/>
        <v>1</v>
      </c>
      <c r="CR45" s="33">
        <f t="shared" si="184"/>
        <v>1</v>
      </c>
      <c r="CS45" s="33">
        <f t="shared" si="184"/>
        <v>3</v>
      </c>
      <c r="CT45" s="33">
        <f t="shared" si="184"/>
        <v>1</v>
      </c>
      <c r="CU45" s="33">
        <f t="shared" si="184"/>
        <v>0</v>
      </c>
      <c r="CV45" s="58">
        <f t="shared" si="184"/>
        <v>34.6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8"/>
        <v>26.445813605525938</v>
      </c>
      <c r="EW45" s="38" t="s">
        <v>46</v>
      </c>
      <c r="EX45" s="6">
        <f t="shared" si="149"/>
        <v>0.6</v>
      </c>
      <c r="EY45" s="6">
        <f t="shared" si="179"/>
        <v>1</v>
      </c>
      <c r="EZ45" s="6">
        <f t="shared" si="180"/>
        <v>15.336</v>
      </c>
    </row>
    <row r="46" spans="3:156" x14ac:dyDescent="0.2">
      <c r="C46" s="38" t="s">
        <v>47</v>
      </c>
      <c r="D46" s="28">
        <f t="shared" si="146"/>
        <v>69.666666666666657</v>
      </c>
      <c r="E46" s="86">
        <f t="shared" si="150"/>
        <v>7</v>
      </c>
      <c r="F46" s="33" t="s">
        <v>52</v>
      </c>
      <c r="G46" s="49">
        <f t="shared" si="151"/>
        <v>21</v>
      </c>
      <c r="H46" s="12" t="s">
        <v>53</v>
      </c>
      <c r="I46" s="33">
        <f t="shared" si="152"/>
        <v>5</v>
      </c>
      <c r="J46" s="49" t="s">
        <v>54</v>
      </c>
      <c r="K46" s="12">
        <f t="shared" si="153"/>
        <v>1</v>
      </c>
      <c r="L46" s="33" t="s">
        <v>52</v>
      </c>
      <c r="M46" s="49">
        <f t="shared" si="154"/>
        <v>2</v>
      </c>
      <c r="N46" s="12" t="s">
        <v>53</v>
      </c>
      <c r="O46" s="33">
        <f t="shared" si="155"/>
        <v>1</v>
      </c>
      <c r="P46" s="49" t="s">
        <v>54</v>
      </c>
      <c r="Q46" s="12">
        <f t="shared" si="156"/>
        <v>2</v>
      </c>
      <c r="R46" s="33" t="s">
        <v>52</v>
      </c>
      <c r="S46" s="49">
        <f t="shared" si="157"/>
        <v>8</v>
      </c>
      <c r="T46" s="12" t="s">
        <v>53</v>
      </c>
      <c r="U46" s="33">
        <f t="shared" si="158"/>
        <v>0</v>
      </c>
      <c r="V46" s="49" t="s">
        <v>54</v>
      </c>
      <c r="W46" s="12">
        <f t="shared" si="159"/>
        <v>4</v>
      </c>
      <c r="X46" s="33" t="s">
        <v>52</v>
      </c>
      <c r="Y46" s="49">
        <f t="shared" si="160"/>
        <v>11</v>
      </c>
      <c r="Z46" s="12" t="s">
        <v>53</v>
      </c>
      <c r="AA46" s="33">
        <f t="shared" si="161"/>
        <v>4</v>
      </c>
      <c r="AB46" s="49" t="s">
        <v>54</v>
      </c>
      <c r="AC46" s="12">
        <f t="shared" si="162"/>
        <v>0.7</v>
      </c>
      <c r="AD46" s="33" t="s">
        <v>52</v>
      </c>
      <c r="AE46" s="53">
        <f t="shared" si="163"/>
        <v>1</v>
      </c>
      <c r="AF46" s="12"/>
      <c r="AG46" s="43">
        <f t="shared" si="164"/>
        <v>5</v>
      </c>
      <c r="AH46" s="33" t="s">
        <v>52</v>
      </c>
      <c r="AI46" s="49">
        <f t="shared" si="165"/>
        <v>15</v>
      </c>
      <c r="AJ46" s="12" t="s">
        <v>53</v>
      </c>
      <c r="AK46" s="33">
        <f t="shared" si="166"/>
        <v>3</v>
      </c>
      <c r="AL46" s="49" t="s">
        <v>54</v>
      </c>
      <c r="AM46" s="12">
        <f t="shared" si="167"/>
        <v>0</v>
      </c>
      <c r="AN46" s="33" t="s">
        <v>52</v>
      </c>
      <c r="AO46" s="49">
        <f t="shared" si="168"/>
        <v>1</v>
      </c>
      <c r="AP46" s="12" t="s">
        <v>53</v>
      </c>
      <c r="AQ46" s="33">
        <f t="shared" si="169"/>
        <v>0</v>
      </c>
      <c r="AR46" s="49" t="s">
        <v>54</v>
      </c>
      <c r="AS46" s="12">
        <f t="shared" si="170"/>
        <v>2</v>
      </c>
      <c r="AT46" s="33" t="s">
        <v>52</v>
      </c>
      <c r="AU46" s="49">
        <f t="shared" si="171"/>
        <v>8</v>
      </c>
      <c r="AV46" s="12" t="s">
        <v>53</v>
      </c>
      <c r="AW46" s="33">
        <f t="shared" si="172"/>
        <v>0</v>
      </c>
      <c r="AX46" s="49" t="s">
        <v>54</v>
      </c>
      <c r="AY46" s="12">
        <f t="shared" si="173"/>
        <v>3</v>
      </c>
      <c r="AZ46" s="33" t="s">
        <v>52</v>
      </c>
      <c r="BA46" s="49">
        <f t="shared" si="174"/>
        <v>6</v>
      </c>
      <c r="BB46" s="12" t="s">
        <v>53</v>
      </c>
      <c r="BC46" s="33">
        <f t="shared" si="175"/>
        <v>3</v>
      </c>
      <c r="BD46" s="49" t="s">
        <v>54</v>
      </c>
      <c r="BE46" s="12">
        <f t="shared" si="176"/>
        <v>0</v>
      </c>
      <c r="BF46" s="33" t="s">
        <v>52</v>
      </c>
      <c r="BG46" s="53">
        <f t="shared" si="177"/>
        <v>0</v>
      </c>
      <c r="BH46" s="12"/>
      <c r="BI46" s="43">
        <f>IFERROR(IF($B$10="W",BI22,BI23),"0")</f>
        <v>2</v>
      </c>
      <c r="BJ46" s="33" t="s">
        <v>52</v>
      </c>
      <c r="BK46" s="49">
        <f>IFERROR(IF($B$10="W",BK22,BK23),"0")</f>
        <v>6</v>
      </c>
      <c r="BL46" s="12" t="s">
        <v>53</v>
      </c>
      <c r="BM46" s="33">
        <f>IFERROR(IF($B$10="W",BM22,BM23),"0")</f>
        <v>2</v>
      </c>
      <c r="BN46" s="49" t="s">
        <v>54</v>
      </c>
      <c r="BO46" s="12">
        <f>IFERROR(IF($B$10="W",BO22,BO23),"0")</f>
        <v>1</v>
      </c>
      <c r="BP46" s="33" t="s">
        <v>52</v>
      </c>
      <c r="BQ46" s="49">
        <f>IFERROR(IF($B$10="W",BQ22,BQ23),"0")</f>
        <v>1</v>
      </c>
      <c r="BR46" s="12" t="s">
        <v>53</v>
      </c>
      <c r="BS46" s="33">
        <f>IFERROR(IF($B$10="W",BS22,BS23),"0")</f>
        <v>1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1</v>
      </c>
      <c r="CB46" s="33" t="s">
        <v>52</v>
      </c>
      <c r="CC46" s="49">
        <f>IFERROR(IF($B$10="W",CC22,CC23),"0")</f>
        <v>5</v>
      </c>
      <c r="CD46" s="12" t="s">
        <v>53</v>
      </c>
      <c r="CE46" s="33">
        <f>IFERROR(IF($B$10="W",CE22,CE23),"0")</f>
        <v>1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5">IFERROR(IF($B$10="W",CI22,CI23),"0")</f>
        <v>0</v>
      </c>
      <c r="CJ46" s="33">
        <f t="shared" si="185"/>
        <v>2</v>
      </c>
      <c r="CK46" s="33">
        <f t="shared" si="185"/>
        <v>12</v>
      </c>
      <c r="CL46" s="33">
        <f t="shared" si="185"/>
        <v>0</v>
      </c>
      <c r="CM46" s="33">
        <f t="shared" si="185"/>
        <v>0</v>
      </c>
      <c r="CN46" s="33">
        <f t="shared" si="185"/>
        <v>14</v>
      </c>
      <c r="CO46" s="33">
        <f t="shared" si="185"/>
        <v>5</v>
      </c>
      <c r="CP46" s="33">
        <f t="shared" si="185"/>
        <v>6</v>
      </c>
      <c r="CQ46" s="33">
        <f t="shared" si="185"/>
        <v>1</v>
      </c>
      <c r="CR46" s="33">
        <f t="shared" si="185"/>
        <v>1</v>
      </c>
      <c r="CS46" s="33">
        <f t="shared" si="185"/>
        <v>1</v>
      </c>
      <c r="CT46" s="33">
        <f t="shared" si="185"/>
        <v>3</v>
      </c>
      <c r="CU46" s="33">
        <f t="shared" si="185"/>
        <v>0</v>
      </c>
      <c r="CV46" s="58">
        <f t="shared" si="185"/>
        <v>18.7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8"/>
        <v>20.60283932363064</v>
      </c>
      <c r="EW46" s="38" t="s">
        <v>47</v>
      </c>
      <c r="EX46" s="6">
        <f t="shared" si="149"/>
        <v>0.7</v>
      </c>
      <c r="EY46" s="6">
        <f t="shared" si="179"/>
        <v>1</v>
      </c>
      <c r="EZ46" s="6">
        <f t="shared" si="180"/>
        <v>7.3639999999999999</v>
      </c>
    </row>
    <row r="47" spans="3:156" x14ac:dyDescent="0.2">
      <c r="C47" s="38" t="s">
        <v>48</v>
      </c>
      <c r="D47" s="28">
        <f t="shared" si="146"/>
        <v>69.666666666666671</v>
      </c>
      <c r="E47" s="86">
        <f t="shared" si="150"/>
        <v>15</v>
      </c>
      <c r="F47" s="33" t="s">
        <v>52</v>
      </c>
      <c r="G47" s="49">
        <f t="shared" si="151"/>
        <v>36</v>
      </c>
      <c r="H47" s="12" t="s">
        <v>53</v>
      </c>
      <c r="I47" s="33">
        <f t="shared" si="152"/>
        <v>9</v>
      </c>
      <c r="J47" s="49" t="s">
        <v>54</v>
      </c>
      <c r="K47" s="12">
        <f t="shared" si="153"/>
        <v>9</v>
      </c>
      <c r="L47" s="33" t="s">
        <v>52</v>
      </c>
      <c r="M47" s="49">
        <f t="shared" si="154"/>
        <v>19</v>
      </c>
      <c r="N47" s="12" t="s">
        <v>53</v>
      </c>
      <c r="O47" s="33">
        <f t="shared" si="155"/>
        <v>6</v>
      </c>
      <c r="P47" s="49" t="s">
        <v>54</v>
      </c>
      <c r="Q47" s="12">
        <f t="shared" si="156"/>
        <v>2</v>
      </c>
      <c r="R47" s="33" t="s">
        <v>52</v>
      </c>
      <c r="S47" s="49">
        <f t="shared" si="157"/>
        <v>6</v>
      </c>
      <c r="T47" s="12" t="s">
        <v>53</v>
      </c>
      <c r="U47" s="33">
        <f t="shared" si="158"/>
        <v>0</v>
      </c>
      <c r="V47" s="49" t="s">
        <v>54</v>
      </c>
      <c r="W47" s="12">
        <f t="shared" si="159"/>
        <v>4</v>
      </c>
      <c r="X47" s="33" t="s">
        <v>52</v>
      </c>
      <c r="Y47" s="49">
        <f t="shared" si="160"/>
        <v>11</v>
      </c>
      <c r="Z47" s="12" t="s">
        <v>53</v>
      </c>
      <c r="AA47" s="33">
        <f t="shared" si="161"/>
        <v>3</v>
      </c>
      <c r="AB47" s="49" t="s">
        <v>54</v>
      </c>
      <c r="AC47" s="12">
        <f t="shared" si="162"/>
        <v>0.6</v>
      </c>
      <c r="AD47" s="33" t="s">
        <v>52</v>
      </c>
      <c r="AE47" s="53">
        <f t="shared" si="163"/>
        <v>1</v>
      </c>
      <c r="AF47" s="12"/>
      <c r="AG47" s="43">
        <f t="shared" si="164"/>
        <v>9</v>
      </c>
      <c r="AH47" s="33" t="s">
        <v>52</v>
      </c>
      <c r="AI47" s="49">
        <f t="shared" si="165"/>
        <v>24</v>
      </c>
      <c r="AJ47" s="12" t="s">
        <v>53</v>
      </c>
      <c r="AK47" s="33">
        <f t="shared" si="166"/>
        <v>4</v>
      </c>
      <c r="AL47" s="49" t="s">
        <v>54</v>
      </c>
      <c r="AM47" s="12">
        <f t="shared" si="167"/>
        <v>5</v>
      </c>
      <c r="AN47" s="33" t="s">
        <v>52</v>
      </c>
      <c r="AO47" s="49">
        <f t="shared" si="168"/>
        <v>10</v>
      </c>
      <c r="AP47" s="12" t="s">
        <v>53</v>
      </c>
      <c r="AQ47" s="33">
        <f t="shared" si="169"/>
        <v>3</v>
      </c>
      <c r="AR47" s="49" t="s">
        <v>54</v>
      </c>
      <c r="AS47" s="12">
        <f t="shared" si="170"/>
        <v>2</v>
      </c>
      <c r="AT47" s="33" t="s">
        <v>52</v>
      </c>
      <c r="AU47" s="49">
        <f t="shared" si="171"/>
        <v>6</v>
      </c>
      <c r="AV47" s="12" t="s">
        <v>53</v>
      </c>
      <c r="AW47" s="33">
        <f t="shared" si="172"/>
        <v>0</v>
      </c>
      <c r="AX47" s="49" t="s">
        <v>54</v>
      </c>
      <c r="AY47" s="12">
        <f t="shared" si="173"/>
        <v>2</v>
      </c>
      <c r="AZ47" s="33" t="s">
        <v>52</v>
      </c>
      <c r="BA47" s="49">
        <f t="shared" si="174"/>
        <v>8</v>
      </c>
      <c r="BB47" s="12" t="s">
        <v>53</v>
      </c>
      <c r="BC47" s="33">
        <f t="shared" si="175"/>
        <v>1</v>
      </c>
      <c r="BD47" s="49" t="s">
        <v>54</v>
      </c>
      <c r="BE47" s="12">
        <f t="shared" si="176"/>
        <v>0</v>
      </c>
      <c r="BF47" s="33" t="s">
        <v>52</v>
      </c>
      <c r="BG47" s="53">
        <f t="shared" si="177"/>
        <v>0</v>
      </c>
      <c r="BH47" s="12"/>
      <c r="BI47" s="43">
        <f>IFERROR(IF($B$11="W",BI22,BI23),"0")</f>
        <v>6</v>
      </c>
      <c r="BJ47" s="33" t="s">
        <v>52</v>
      </c>
      <c r="BK47" s="49">
        <f>IFERROR(IF($B$11="W",BK22,BK23),"0")</f>
        <v>12</v>
      </c>
      <c r="BL47" s="12" t="s">
        <v>53</v>
      </c>
      <c r="BM47" s="33">
        <f>IFERROR(IF($B$11="W",BM22,BM23),"0")</f>
        <v>5</v>
      </c>
      <c r="BN47" s="49" t="s">
        <v>54</v>
      </c>
      <c r="BO47" s="12">
        <f>IFERROR(IF($B$11="W",BO22,BO23),"0")</f>
        <v>4</v>
      </c>
      <c r="BP47" s="33" t="s">
        <v>52</v>
      </c>
      <c r="BQ47" s="49">
        <f>IFERROR(IF($B$11="W",BQ22,BQ23),"0")</f>
        <v>9</v>
      </c>
      <c r="BR47" s="12" t="s">
        <v>53</v>
      </c>
      <c r="BS47" s="33">
        <f>IFERROR(IF($B$11="W",BS22,BS23),"0")</f>
        <v>3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2</v>
      </c>
      <c r="CB47" s="33" t="s">
        <v>52</v>
      </c>
      <c r="CC47" s="49">
        <f>IFERROR(IF($B$11="W",CC22,CC23),"0")</f>
        <v>3</v>
      </c>
      <c r="CD47" s="12" t="s">
        <v>53</v>
      </c>
      <c r="CE47" s="33">
        <f>IFERROR(IF($B$11="W",CE22,CE23),"0")</f>
        <v>2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6">IFERROR(IF($B$11="W",CI22,CI23),"0")</f>
        <v>0</v>
      </c>
      <c r="CJ47" s="33">
        <f t="shared" si="186"/>
        <v>9</v>
      </c>
      <c r="CK47" s="33">
        <f t="shared" si="186"/>
        <v>12</v>
      </c>
      <c r="CL47" s="33">
        <f t="shared" si="186"/>
        <v>0</v>
      </c>
      <c r="CM47" s="33">
        <f t="shared" si="186"/>
        <v>0</v>
      </c>
      <c r="CN47" s="33">
        <f t="shared" si="186"/>
        <v>21</v>
      </c>
      <c r="CO47" s="33">
        <f t="shared" si="186"/>
        <v>9</v>
      </c>
      <c r="CP47" s="33">
        <f t="shared" si="186"/>
        <v>10</v>
      </c>
      <c r="CQ47" s="33">
        <f t="shared" si="186"/>
        <v>1</v>
      </c>
      <c r="CR47" s="33">
        <f t="shared" si="186"/>
        <v>1</v>
      </c>
      <c r="CS47" s="33">
        <f t="shared" si="186"/>
        <v>3</v>
      </c>
      <c r="CT47" s="33">
        <f t="shared" si="186"/>
        <v>1</v>
      </c>
      <c r="CU47" s="33">
        <f t="shared" si="186"/>
        <v>0</v>
      </c>
      <c r="CV47" s="58">
        <f t="shared" si="186"/>
        <v>34.6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8"/>
        <v>26.445813605525938</v>
      </c>
      <c r="EW47" s="38" t="s">
        <v>48</v>
      </c>
      <c r="EX47" s="6">
        <f t="shared" si="149"/>
        <v>0.6</v>
      </c>
      <c r="EY47" s="6">
        <f t="shared" si="179"/>
        <v>1</v>
      </c>
      <c r="EZ47" s="6">
        <f t="shared" si="180"/>
        <v>15.336</v>
      </c>
    </row>
    <row r="48" spans="3:156" x14ac:dyDescent="0.2">
      <c r="C48" s="38" t="s">
        <v>115</v>
      </c>
      <c r="D48" s="28">
        <f t="shared" si="146"/>
        <v>69.666666666666657</v>
      </c>
      <c r="E48" s="86">
        <f t="shared" si="150"/>
        <v>7</v>
      </c>
      <c r="F48" s="33" t="s">
        <v>52</v>
      </c>
      <c r="G48" s="49">
        <f t="shared" si="151"/>
        <v>21</v>
      </c>
      <c r="H48" s="12" t="s">
        <v>53</v>
      </c>
      <c r="I48" s="33">
        <f t="shared" si="152"/>
        <v>5</v>
      </c>
      <c r="J48" s="49" t="s">
        <v>54</v>
      </c>
      <c r="K48" s="12">
        <f t="shared" si="153"/>
        <v>1</v>
      </c>
      <c r="L48" s="33" t="s">
        <v>52</v>
      </c>
      <c r="M48" s="49">
        <f t="shared" si="154"/>
        <v>2</v>
      </c>
      <c r="N48" s="12" t="s">
        <v>53</v>
      </c>
      <c r="O48" s="33">
        <f t="shared" si="155"/>
        <v>1</v>
      </c>
      <c r="P48" s="49" t="s">
        <v>54</v>
      </c>
      <c r="Q48" s="12">
        <f t="shared" si="156"/>
        <v>2</v>
      </c>
      <c r="R48" s="33" t="s">
        <v>52</v>
      </c>
      <c r="S48" s="49">
        <f t="shared" si="157"/>
        <v>8</v>
      </c>
      <c r="T48" s="12" t="s">
        <v>53</v>
      </c>
      <c r="U48" s="33">
        <f t="shared" si="158"/>
        <v>0</v>
      </c>
      <c r="V48" s="49" t="s">
        <v>54</v>
      </c>
      <c r="W48" s="12">
        <f t="shared" si="159"/>
        <v>4</v>
      </c>
      <c r="X48" s="33" t="s">
        <v>52</v>
      </c>
      <c r="Y48" s="49">
        <f t="shared" si="160"/>
        <v>11</v>
      </c>
      <c r="Z48" s="12" t="s">
        <v>53</v>
      </c>
      <c r="AA48" s="33">
        <f t="shared" si="161"/>
        <v>4</v>
      </c>
      <c r="AB48" s="49" t="s">
        <v>54</v>
      </c>
      <c r="AC48" s="12">
        <f t="shared" si="162"/>
        <v>0.7</v>
      </c>
      <c r="AD48" s="33" t="s">
        <v>52</v>
      </c>
      <c r="AE48" s="53">
        <f t="shared" si="163"/>
        <v>1</v>
      </c>
      <c r="AF48" s="12"/>
      <c r="AG48" s="43">
        <f t="shared" si="164"/>
        <v>5</v>
      </c>
      <c r="AH48" s="33" t="s">
        <v>52</v>
      </c>
      <c r="AI48" s="49">
        <f t="shared" si="165"/>
        <v>15</v>
      </c>
      <c r="AJ48" s="12" t="s">
        <v>53</v>
      </c>
      <c r="AK48" s="33">
        <f t="shared" si="166"/>
        <v>3</v>
      </c>
      <c r="AL48" s="49" t="s">
        <v>54</v>
      </c>
      <c r="AM48" s="12">
        <f t="shared" si="167"/>
        <v>0</v>
      </c>
      <c r="AN48" s="33" t="s">
        <v>52</v>
      </c>
      <c r="AO48" s="49">
        <f t="shared" si="168"/>
        <v>1</v>
      </c>
      <c r="AP48" s="12" t="s">
        <v>53</v>
      </c>
      <c r="AQ48" s="33">
        <f t="shared" si="169"/>
        <v>0</v>
      </c>
      <c r="AR48" s="49" t="s">
        <v>54</v>
      </c>
      <c r="AS48" s="12">
        <f t="shared" si="170"/>
        <v>2</v>
      </c>
      <c r="AT48" s="33" t="s">
        <v>52</v>
      </c>
      <c r="AU48" s="49">
        <f t="shared" si="171"/>
        <v>8</v>
      </c>
      <c r="AV48" s="12" t="s">
        <v>53</v>
      </c>
      <c r="AW48" s="33">
        <f t="shared" si="172"/>
        <v>0</v>
      </c>
      <c r="AX48" s="49" t="s">
        <v>54</v>
      </c>
      <c r="AY48" s="12">
        <f t="shared" si="173"/>
        <v>3</v>
      </c>
      <c r="AZ48" s="33" t="s">
        <v>52</v>
      </c>
      <c r="BA48" s="49">
        <f t="shared" si="174"/>
        <v>6</v>
      </c>
      <c r="BB48" s="12" t="s">
        <v>53</v>
      </c>
      <c r="BC48" s="33">
        <f t="shared" si="175"/>
        <v>3</v>
      </c>
      <c r="BD48" s="49" t="s">
        <v>54</v>
      </c>
      <c r="BE48" s="12">
        <f t="shared" si="176"/>
        <v>0</v>
      </c>
      <c r="BF48" s="33" t="s">
        <v>52</v>
      </c>
      <c r="BG48" s="53">
        <f t="shared" si="177"/>
        <v>0</v>
      </c>
      <c r="BH48" s="12"/>
      <c r="BI48" s="43">
        <f>IFERROR(IF($B$12="W",BI22,BI23),"0")</f>
        <v>2</v>
      </c>
      <c r="BJ48" s="33" t="s">
        <v>52</v>
      </c>
      <c r="BK48" s="49">
        <f>IFERROR(IF($B$12="W",BK22,BK23),"0")</f>
        <v>6</v>
      </c>
      <c r="BL48" s="12" t="s">
        <v>53</v>
      </c>
      <c r="BM48" s="33">
        <f>IFERROR(IF($B$12="W",BM22,BM23),"0")</f>
        <v>2</v>
      </c>
      <c r="BN48" s="49" t="s">
        <v>54</v>
      </c>
      <c r="BO48" s="12">
        <f>IFERROR(IF($B$12="W",BO22,BO23),"0")</f>
        <v>1</v>
      </c>
      <c r="BP48" s="33" t="s">
        <v>52</v>
      </c>
      <c r="BQ48" s="49">
        <f>IFERROR(IF($B$12="W",BQ22,BQ23),"0")</f>
        <v>1</v>
      </c>
      <c r="BR48" s="12" t="s">
        <v>53</v>
      </c>
      <c r="BS48" s="33">
        <f>IFERROR(IF($B$12="W",BS22,BS23),"0")</f>
        <v>1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1</v>
      </c>
      <c r="CB48" s="33" t="s">
        <v>52</v>
      </c>
      <c r="CC48" s="49">
        <f>IFERROR(IF($B$12="W",CC22,CC23),"0")</f>
        <v>5</v>
      </c>
      <c r="CD48" s="12" t="s">
        <v>53</v>
      </c>
      <c r="CE48" s="33">
        <f>IFERROR(IF($B$12="W",CE22,CE23),"0")</f>
        <v>1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7">IFERROR(IF($B$12="W",CI22,CI23),"0")</f>
        <v>0</v>
      </c>
      <c r="CJ48" s="33">
        <f t="shared" si="187"/>
        <v>2</v>
      </c>
      <c r="CK48" s="33">
        <f t="shared" si="187"/>
        <v>12</v>
      </c>
      <c r="CL48" s="33">
        <f t="shared" si="187"/>
        <v>0</v>
      </c>
      <c r="CM48" s="33">
        <f t="shared" si="187"/>
        <v>0</v>
      </c>
      <c r="CN48" s="33">
        <f t="shared" si="187"/>
        <v>14</v>
      </c>
      <c r="CO48" s="33">
        <f t="shared" si="187"/>
        <v>5</v>
      </c>
      <c r="CP48" s="33">
        <f t="shared" si="187"/>
        <v>6</v>
      </c>
      <c r="CQ48" s="33">
        <f t="shared" si="187"/>
        <v>1</v>
      </c>
      <c r="CR48" s="33">
        <f t="shared" si="187"/>
        <v>1</v>
      </c>
      <c r="CS48" s="33">
        <f t="shared" si="187"/>
        <v>1</v>
      </c>
      <c r="CT48" s="33">
        <f t="shared" si="187"/>
        <v>3</v>
      </c>
      <c r="CU48" s="33">
        <f t="shared" si="187"/>
        <v>0</v>
      </c>
      <c r="CV48" s="58">
        <f t="shared" si="187"/>
        <v>18.7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8"/>
        <v>20.60283932363064</v>
      </c>
      <c r="EW48" s="38" t="s">
        <v>115</v>
      </c>
      <c r="EX48" s="6">
        <f t="shared" si="149"/>
        <v>0.7</v>
      </c>
      <c r="EY48" s="6">
        <f t="shared" si="179"/>
        <v>1</v>
      </c>
      <c r="EZ48" s="6">
        <f t="shared" si="180"/>
        <v>7.3639999999999999</v>
      </c>
    </row>
    <row r="49" spans="2:156" x14ac:dyDescent="0.2">
      <c r="C49" s="38" t="s">
        <v>227</v>
      </c>
      <c r="D49" s="28">
        <f t="shared" si="146"/>
        <v>69.666666666666671</v>
      </c>
      <c r="E49" s="86">
        <f t="shared" si="150"/>
        <v>15</v>
      </c>
      <c r="F49" s="33" t="s">
        <v>52</v>
      </c>
      <c r="G49" s="49">
        <f t="shared" si="151"/>
        <v>36</v>
      </c>
      <c r="H49" s="12" t="s">
        <v>53</v>
      </c>
      <c r="I49" s="33">
        <f t="shared" si="152"/>
        <v>9</v>
      </c>
      <c r="J49" s="49" t="s">
        <v>54</v>
      </c>
      <c r="K49" s="12">
        <f t="shared" si="153"/>
        <v>9</v>
      </c>
      <c r="L49" s="33" t="s">
        <v>52</v>
      </c>
      <c r="M49" s="49">
        <f t="shared" si="154"/>
        <v>19</v>
      </c>
      <c r="N49" s="12" t="s">
        <v>53</v>
      </c>
      <c r="O49" s="33">
        <f t="shared" si="155"/>
        <v>6</v>
      </c>
      <c r="P49" s="49" t="s">
        <v>54</v>
      </c>
      <c r="Q49" s="12">
        <f t="shared" si="156"/>
        <v>2</v>
      </c>
      <c r="R49" s="33" t="s">
        <v>52</v>
      </c>
      <c r="S49" s="49">
        <f t="shared" si="157"/>
        <v>6</v>
      </c>
      <c r="T49" s="12" t="s">
        <v>53</v>
      </c>
      <c r="U49" s="33">
        <f t="shared" si="158"/>
        <v>0</v>
      </c>
      <c r="V49" s="49" t="s">
        <v>54</v>
      </c>
      <c r="W49" s="12">
        <f t="shared" si="159"/>
        <v>4</v>
      </c>
      <c r="X49" s="33" t="s">
        <v>52</v>
      </c>
      <c r="Y49" s="49">
        <f t="shared" si="160"/>
        <v>11</v>
      </c>
      <c r="Z49" s="12" t="s">
        <v>53</v>
      </c>
      <c r="AA49" s="33">
        <f t="shared" si="161"/>
        <v>3</v>
      </c>
      <c r="AB49" s="49" t="s">
        <v>54</v>
      </c>
      <c r="AC49" s="12">
        <f t="shared" si="162"/>
        <v>0.6</v>
      </c>
      <c r="AD49" s="33" t="s">
        <v>52</v>
      </c>
      <c r="AE49" s="53">
        <f t="shared" si="163"/>
        <v>1</v>
      </c>
      <c r="AF49" s="12"/>
      <c r="AG49" s="43">
        <f t="shared" si="164"/>
        <v>9</v>
      </c>
      <c r="AH49" s="33" t="s">
        <v>52</v>
      </c>
      <c r="AI49" s="49">
        <f t="shared" si="165"/>
        <v>24</v>
      </c>
      <c r="AJ49" s="12" t="s">
        <v>53</v>
      </c>
      <c r="AK49" s="33">
        <f t="shared" si="166"/>
        <v>4</v>
      </c>
      <c r="AL49" s="49" t="s">
        <v>54</v>
      </c>
      <c r="AM49" s="12">
        <f t="shared" si="167"/>
        <v>5</v>
      </c>
      <c r="AN49" s="33" t="s">
        <v>52</v>
      </c>
      <c r="AO49" s="49">
        <f t="shared" si="168"/>
        <v>10</v>
      </c>
      <c r="AP49" s="12" t="s">
        <v>53</v>
      </c>
      <c r="AQ49" s="33">
        <f t="shared" si="169"/>
        <v>3</v>
      </c>
      <c r="AR49" s="49" t="s">
        <v>54</v>
      </c>
      <c r="AS49" s="12">
        <f t="shared" si="170"/>
        <v>2</v>
      </c>
      <c r="AT49" s="33" t="s">
        <v>52</v>
      </c>
      <c r="AU49" s="49">
        <f t="shared" si="171"/>
        <v>6</v>
      </c>
      <c r="AV49" s="12" t="s">
        <v>53</v>
      </c>
      <c r="AW49" s="33">
        <f t="shared" si="172"/>
        <v>0</v>
      </c>
      <c r="AX49" s="49" t="s">
        <v>54</v>
      </c>
      <c r="AY49" s="12">
        <f t="shared" si="173"/>
        <v>2</v>
      </c>
      <c r="AZ49" s="33" t="s">
        <v>52</v>
      </c>
      <c r="BA49" s="49">
        <f t="shared" si="174"/>
        <v>8</v>
      </c>
      <c r="BB49" s="12" t="s">
        <v>53</v>
      </c>
      <c r="BC49" s="33">
        <f t="shared" si="175"/>
        <v>1</v>
      </c>
      <c r="BD49" s="49" t="s">
        <v>54</v>
      </c>
      <c r="BE49" s="12">
        <f t="shared" si="176"/>
        <v>0</v>
      </c>
      <c r="BF49" s="33" t="s">
        <v>52</v>
      </c>
      <c r="BG49" s="53">
        <f t="shared" si="177"/>
        <v>0</v>
      </c>
      <c r="BH49" s="12"/>
      <c r="BI49" s="43">
        <f>IFERROR(IF($B$13="W",BI22,BI23),"0")</f>
        <v>6</v>
      </c>
      <c r="BJ49" s="33" t="s">
        <v>52</v>
      </c>
      <c r="BK49" s="49">
        <f>IFERROR(IF($B$13="W",BK22,BK23),"0")</f>
        <v>12</v>
      </c>
      <c r="BL49" s="12" t="s">
        <v>53</v>
      </c>
      <c r="BM49" s="33">
        <f>IFERROR(IF($B$13="W",BM22,BM23),"0")</f>
        <v>5</v>
      </c>
      <c r="BN49" s="49" t="s">
        <v>54</v>
      </c>
      <c r="BO49" s="12">
        <f>IFERROR(IF($B$13="W",BO22,BO23),"0")</f>
        <v>4</v>
      </c>
      <c r="BP49" s="33" t="s">
        <v>52</v>
      </c>
      <c r="BQ49" s="49">
        <f>IFERROR(IF($B$13="W",BQ22,BQ23),"0")</f>
        <v>9</v>
      </c>
      <c r="BR49" s="12" t="s">
        <v>53</v>
      </c>
      <c r="BS49" s="33">
        <f>IFERROR(IF($B$13="W",BS22,BS23),"0")</f>
        <v>3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2</v>
      </c>
      <c r="CB49" s="33" t="s">
        <v>52</v>
      </c>
      <c r="CC49" s="49">
        <f>IFERROR(IF($B$13="W",CC22,CC23),"0")</f>
        <v>3</v>
      </c>
      <c r="CD49" s="12" t="s">
        <v>53</v>
      </c>
      <c r="CE49" s="33">
        <f>IFERROR(IF($B$13="W",CE22,CE23),"0")</f>
        <v>2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8">IFERROR(IF($B$13="W",CI22,CI23),"0")</f>
        <v>0</v>
      </c>
      <c r="CJ49" s="33">
        <f t="shared" si="188"/>
        <v>9</v>
      </c>
      <c r="CK49" s="33">
        <f t="shared" si="188"/>
        <v>12</v>
      </c>
      <c r="CL49" s="33">
        <f t="shared" si="188"/>
        <v>0</v>
      </c>
      <c r="CM49" s="33">
        <f t="shared" si="188"/>
        <v>0</v>
      </c>
      <c r="CN49" s="33">
        <f t="shared" si="188"/>
        <v>21</v>
      </c>
      <c r="CO49" s="33">
        <f t="shared" si="188"/>
        <v>9</v>
      </c>
      <c r="CP49" s="33">
        <f t="shared" si="188"/>
        <v>10</v>
      </c>
      <c r="CQ49" s="33">
        <f t="shared" si="188"/>
        <v>1</v>
      </c>
      <c r="CR49" s="33">
        <f t="shared" si="188"/>
        <v>1</v>
      </c>
      <c r="CS49" s="33">
        <f t="shared" si="188"/>
        <v>3</v>
      </c>
      <c r="CT49" s="33">
        <f t="shared" si="188"/>
        <v>1</v>
      </c>
      <c r="CU49" s="33">
        <f t="shared" si="188"/>
        <v>0</v>
      </c>
      <c r="CV49" s="58">
        <f t="shared" si="188"/>
        <v>34.6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8"/>
        <v>26.445813605525938</v>
      </c>
      <c r="EW49" s="38" t="s">
        <v>227</v>
      </c>
      <c r="EX49" s="6">
        <f t="shared" si="149"/>
        <v>0.6</v>
      </c>
      <c r="EY49" s="6">
        <f t="shared" si="179"/>
        <v>1</v>
      </c>
      <c r="EZ49" s="6">
        <f t="shared" si="180"/>
        <v>15.336</v>
      </c>
    </row>
    <row r="50" spans="2:156" x14ac:dyDescent="0.2">
      <c r="C50" s="38" t="s">
        <v>228</v>
      </c>
      <c r="D50" s="28">
        <f t="shared" si="146"/>
        <v>69.666666666666657</v>
      </c>
      <c r="E50" s="86">
        <f t="shared" si="150"/>
        <v>7</v>
      </c>
      <c r="F50" s="33" t="s">
        <v>52</v>
      </c>
      <c r="G50" s="49">
        <f t="shared" si="151"/>
        <v>21</v>
      </c>
      <c r="H50" s="12" t="s">
        <v>53</v>
      </c>
      <c r="I50" s="33">
        <f t="shared" si="152"/>
        <v>5</v>
      </c>
      <c r="J50" s="49" t="s">
        <v>54</v>
      </c>
      <c r="K50" s="12">
        <f t="shared" si="153"/>
        <v>1</v>
      </c>
      <c r="L50" s="33" t="s">
        <v>52</v>
      </c>
      <c r="M50" s="49">
        <f t="shared" si="154"/>
        <v>2</v>
      </c>
      <c r="N50" s="12" t="s">
        <v>53</v>
      </c>
      <c r="O50" s="33">
        <f t="shared" si="155"/>
        <v>1</v>
      </c>
      <c r="P50" s="49" t="s">
        <v>54</v>
      </c>
      <c r="Q50" s="12">
        <f t="shared" si="156"/>
        <v>2</v>
      </c>
      <c r="R50" s="33" t="s">
        <v>52</v>
      </c>
      <c r="S50" s="49">
        <f t="shared" si="157"/>
        <v>8</v>
      </c>
      <c r="T50" s="12" t="s">
        <v>53</v>
      </c>
      <c r="U50" s="33">
        <f t="shared" si="158"/>
        <v>0</v>
      </c>
      <c r="V50" s="49" t="s">
        <v>54</v>
      </c>
      <c r="W50" s="12">
        <f t="shared" si="159"/>
        <v>4</v>
      </c>
      <c r="X50" s="33" t="s">
        <v>52</v>
      </c>
      <c r="Y50" s="49">
        <f t="shared" si="160"/>
        <v>11</v>
      </c>
      <c r="Z50" s="12" t="s">
        <v>53</v>
      </c>
      <c r="AA50" s="33">
        <f t="shared" si="161"/>
        <v>4</v>
      </c>
      <c r="AB50" s="49" t="s">
        <v>54</v>
      </c>
      <c r="AC50" s="12">
        <f t="shared" si="162"/>
        <v>0.7</v>
      </c>
      <c r="AD50" s="33" t="s">
        <v>52</v>
      </c>
      <c r="AE50" s="53">
        <f t="shared" si="163"/>
        <v>1</v>
      </c>
      <c r="AF50" s="12"/>
      <c r="AG50" s="43">
        <f t="shared" si="164"/>
        <v>5</v>
      </c>
      <c r="AH50" s="33" t="s">
        <v>52</v>
      </c>
      <c r="AI50" s="49">
        <f t="shared" si="165"/>
        <v>15</v>
      </c>
      <c r="AJ50" s="12" t="s">
        <v>53</v>
      </c>
      <c r="AK50" s="33">
        <f t="shared" si="166"/>
        <v>3</v>
      </c>
      <c r="AL50" s="49" t="s">
        <v>54</v>
      </c>
      <c r="AM50" s="12">
        <f t="shared" si="167"/>
        <v>0</v>
      </c>
      <c r="AN50" s="33" t="s">
        <v>52</v>
      </c>
      <c r="AO50" s="49">
        <f t="shared" si="168"/>
        <v>1</v>
      </c>
      <c r="AP50" s="12" t="s">
        <v>53</v>
      </c>
      <c r="AQ50" s="33">
        <f t="shared" si="169"/>
        <v>0</v>
      </c>
      <c r="AR50" s="49" t="s">
        <v>54</v>
      </c>
      <c r="AS50" s="12">
        <f t="shared" si="170"/>
        <v>2</v>
      </c>
      <c r="AT50" s="33" t="s">
        <v>52</v>
      </c>
      <c r="AU50" s="49">
        <f t="shared" si="171"/>
        <v>8</v>
      </c>
      <c r="AV50" s="12" t="s">
        <v>53</v>
      </c>
      <c r="AW50" s="33">
        <f t="shared" si="172"/>
        <v>0</v>
      </c>
      <c r="AX50" s="49" t="s">
        <v>54</v>
      </c>
      <c r="AY50" s="12">
        <f t="shared" si="173"/>
        <v>3</v>
      </c>
      <c r="AZ50" s="33" t="s">
        <v>52</v>
      </c>
      <c r="BA50" s="49">
        <f t="shared" si="174"/>
        <v>6</v>
      </c>
      <c r="BB50" s="12" t="s">
        <v>53</v>
      </c>
      <c r="BC50" s="33">
        <f t="shared" si="175"/>
        <v>3</v>
      </c>
      <c r="BD50" s="49" t="s">
        <v>54</v>
      </c>
      <c r="BE50" s="12">
        <f t="shared" si="176"/>
        <v>0</v>
      </c>
      <c r="BF50" s="33" t="s">
        <v>52</v>
      </c>
      <c r="BG50" s="53">
        <f t="shared" si="177"/>
        <v>0</v>
      </c>
      <c r="BH50" s="12"/>
      <c r="BI50" s="43">
        <f>IFERROR(IF($B$14="W",BI22,BI23),"0")</f>
        <v>2</v>
      </c>
      <c r="BJ50" s="12" t="str">
        <f t="shared" ref="BJ50:CI50" si="189">IFERROR(IF($B$14="W",BJ22,BJ23),"0")</f>
        <v>-</v>
      </c>
      <c r="BK50" s="49">
        <f t="shared" si="189"/>
        <v>6</v>
      </c>
      <c r="BL50" s="12" t="str">
        <f t="shared" si="189"/>
        <v>(</v>
      </c>
      <c r="BM50" s="33">
        <f t="shared" si="189"/>
        <v>2</v>
      </c>
      <c r="BN50" s="49" t="str">
        <f t="shared" si="189"/>
        <v>)</v>
      </c>
      <c r="BO50" s="12">
        <f t="shared" si="189"/>
        <v>1</v>
      </c>
      <c r="BP50" s="12" t="str">
        <f t="shared" si="189"/>
        <v>-</v>
      </c>
      <c r="BQ50" s="49">
        <f t="shared" si="189"/>
        <v>1</v>
      </c>
      <c r="BR50" s="12" t="str">
        <f t="shared" si="189"/>
        <v>(</v>
      </c>
      <c r="BS50" s="33">
        <f t="shared" si="189"/>
        <v>1</v>
      </c>
      <c r="BT50" s="49" t="str">
        <f t="shared" si="189"/>
        <v>)</v>
      </c>
      <c r="BU50" s="12">
        <f t="shared" si="189"/>
        <v>0</v>
      </c>
      <c r="BV50" s="12" t="str">
        <f t="shared" si="189"/>
        <v>-</v>
      </c>
      <c r="BW50" s="49">
        <f t="shared" si="189"/>
        <v>0</v>
      </c>
      <c r="BX50" s="12" t="str">
        <f t="shared" si="189"/>
        <v>(</v>
      </c>
      <c r="BY50" s="12">
        <f t="shared" si="189"/>
        <v>0</v>
      </c>
      <c r="BZ50" s="49" t="str">
        <f t="shared" si="189"/>
        <v>)</v>
      </c>
      <c r="CA50" s="12">
        <f t="shared" si="189"/>
        <v>1</v>
      </c>
      <c r="CB50" s="12" t="str">
        <f t="shared" si="189"/>
        <v>-</v>
      </c>
      <c r="CC50" s="49">
        <f t="shared" si="189"/>
        <v>5</v>
      </c>
      <c r="CD50" s="12" t="str">
        <f t="shared" si="189"/>
        <v>(</v>
      </c>
      <c r="CE50" s="33">
        <f t="shared" si="189"/>
        <v>1</v>
      </c>
      <c r="CF50" s="49" t="str">
        <f t="shared" si="189"/>
        <v>)</v>
      </c>
      <c r="CG50" s="12">
        <f t="shared" si="189"/>
        <v>0</v>
      </c>
      <c r="CH50" s="12" t="str">
        <f t="shared" si="189"/>
        <v>-</v>
      </c>
      <c r="CI50" s="53">
        <f t="shared" si="189"/>
        <v>0</v>
      </c>
      <c r="CJ50" s="33">
        <f>IFERROR(IF($B$14="W",CJ22,CJ23),"0")</f>
        <v>2</v>
      </c>
      <c r="CK50" s="33">
        <f t="shared" ref="CK50:CV50" si="190">IFERROR(IF($B$14="W",CK22,CK23),"0")</f>
        <v>12</v>
      </c>
      <c r="CL50" s="33">
        <f t="shared" si="190"/>
        <v>0</v>
      </c>
      <c r="CM50" s="33">
        <f t="shared" si="190"/>
        <v>0</v>
      </c>
      <c r="CN50" s="33">
        <f t="shared" si="190"/>
        <v>14</v>
      </c>
      <c r="CO50" s="33">
        <f t="shared" si="190"/>
        <v>5</v>
      </c>
      <c r="CP50" s="33">
        <f t="shared" si="190"/>
        <v>6</v>
      </c>
      <c r="CQ50" s="33">
        <f t="shared" si="190"/>
        <v>1</v>
      </c>
      <c r="CR50" s="33">
        <f t="shared" si="190"/>
        <v>1</v>
      </c>
      <c r="CS50" s="33">
        <f t="shared" si="190"/>
        <v>1</v>
      </c>
      <c r="CT50" s="33">
        <f t="shared" si="190"/>
        <v>3</v>
      </c>
      <c r="CU50" s="33">
        <f t="shared" si="190"/>
        <v>0</v>
      </c>
      <c r="CV50" s="58">
        <f t="shared" si="190"/>
        <v>18.7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8"/>
        <v>20.60283932363064</v>
      </c>
      <c r="EW50" s="38" t="s">
        <v>228</v>
      </c>
      <c r="EX50" s="6">
        <f t="shared" si="149"/>
        <v>0.7</v>
      </c>
      <c r="EY50" s="6">
        <f t="shared" si="179"/>
        <v>1</v>
      </c>
      <c r="EZ50" s="6">
        <f t="shared" si="180"/>
        <v>7.3639999999999999</v>
      </c>
    </row>
    <row r="51" spans="2:156" x14ac:dyDescent="0.2">
      <c r="C51" s="38" t="s">
        <v>229</v>
      </c>
      <c r="D51" s="28">
        <f t="shared" si="146"/>
        <v>69.666666666666657</v>
      </c>
      <c r="E51" s="86">
        <f t="shared" si="150"/>
        <v>7</v>
      </c>
      <c r="F51" s="33" t="s">
        <v>52</v>
      </c>
      <c r="G51" s="49">
        <f t="shared" si="151"/>
        <v>21</v>
      </c>
      <c r="H51" s="12" t="s">
        <v>53</v>
      </c>
      <c r="I51" s="33">
        <f t="shared" si="152"/>
        <v>5</v>
      </c>
      <c r="J51" s="49" t="s">
        <v>54</v>
      </c>
      <c r="K51" s="12">
        <f t="shared" si="153"/>
        <v>1</v>
      </c>
      <c r="L51" s="33" t="s">
        <v>52</v>
      </c>
      <c r="M51" s="49">
        <f t="shared" si="154"/>
        <v>2</v>
      </c>
      <c r="N51" s="12" t="s">
        <v>53</v>
      </c>
      <c r="O51" s="33">
        <f t="shared" si="155"/>
        <v>1</v>
      </c>
      <c r="P51" s="49" t="s">
        <v>54</v>
      </c>
      <c r="Q51" s="12">
        <f t="shared" si="156"/>
        <v>2</v>
      </c>
      <c r="R51" s="33" t="s">
        <v>52</v>
      </c>
      <c r="S51" s="49">
        <f t="shared" si="157"/>
        <v>8</v>
      </c>
      <c r="T51" s="12" t="s">
        <v>53</v>
      </c>
      <c r="U51" s="33">
        <f t="shared" si="158"/>
        <v>0</v>
      </c>
      <c r="V51" s="49" t="s">
        <v>54</v>
      </c>
      <c r="W51" s="12">
        <f t="shared" si="159"/>
        <v>4</v>
      </c>
      <c r="X51" s="33" t="s">
        <v>52</v>
      </c>
      <c r="Y51" s="49">
        <f t="shared" si="160"/>
        <v>11</v>
      </c>
      <c r="Z51" s="12" t="s">
        <v>53</v>
      </c>
      <c r="AA51" s="33">
        <f t="shared" si="161"/>
        <v>4</v>
      </c>
      <c r="AB51" s="49" t="s">
        <v>54</v>
      </c>
      <c r="AC51" s="12">
        <f t="shared" si="162"/>
        <v>0.7</v>
      </c>
      <c r="AD51" s="33" t="s">
        <v>52</v>
      </c>
      <c r="AE51" s="53">
        <f t="shared" si="163"/>
        <v>1</v>
      </c>
      <c r="AF51" s="12"/>
      <c r="AG51" s="43">
        <f t="shared" si="164"/>
        <v>5</v>
      </c>
      <c r="AH51" s="33" t="s">
        <v>52</v>
      </c>
      <c r="AI51" s="49">
        <f t="shared" si="165"/>
        <v>15</v>
      </c>
      <c r="AJ51" s="12" t="s">
        <v>53</v>
      </c>
      <c r="AK51" s="33">
        <f t="shared" si="166"/>
        <v>3</v>
      </c>
      <c r="AL51" s="49" t="s">
        <v>54</v>
      </c>
      <c r="AM51" s="12">
        <f t="shared" si="167"/>
        <v>0</v>
      </c>
      <c r="AN51" s="33" t="s">
        <v>52</v>
      </c>
      <c r="AO51" s="49">
        <f t="shared" si="168"/>
        <v>1</v>
      </c>
      <c r="AP51" s="12" t="s">
        <v>53</v>
      </c>
      <c r="AQ51" s="33">
        <f t="shared" si="169"/>
        <v>0</v>
      </c>
      <c r="AR51" s="49" t="s">
        <v>54</v>
      </c>
      <c r="AS51" s="12">
        <f t="shared" si="170"/>
        <v>2</v>
      </c>
      <c r="AT51" s="33" t="s">
        <v>52</v>
      </c>
      <c r="AU51" s="49">
        <f t="shared" si="171"/>
        <v>8</v>
      </c>
      <c r="AV51" s="12" t="s">
        <v>53</v>
      </c>
      <c r="AW51" s="33">
        <f t="shared" si="172"/>
        <v>0</v>
      </c>
      <c r="AX51" s="49" t="s">
        <v>54</v>
      </c>
      <c r="AY51" s="12">
        <f t="shared" si="173"/>
        <v>3</v>
      </c>
      <c r="AZ51" s="33" t="s">
        <v>52</v>
      </c>
      <c r="BA51" s="49">
        <f t="shared" si="174"/>
        <v>6</v>
      </c>
      <c r="BB51" s="12" t="s">
        <v>53</v>
      </c>
      <c r="BC51" s="33">
        <f t="shared" si="175"/>
        <v>3</v>
      </c>
      <c r="BD51" s="49" t="s">
        <v>54</v>
      </c>
      <c r="BE51" s="12">
        <f t="shared" si="176"/>
        <v>0</v>
      </c>
      <c r="BF51" s="33" t="s">
        <v>52</v>
      </c>
      <c r="BG51" s="53">
        <f t="shared" si="177"/>
        <v>0</v>
      </c>
      <c r="BH51" s="12"/>
      <c r="BI51" s="43">
        <f>IFERROR(IF($B$15="W",BI22,BI23),"0")</f>
        <v>2</v>
      </c>
      <c r="BJ51" s="12" t="str">
        <f t="shared" ref="BJ51:CI51" si="191">IFERROR(IF($B$15="W",BJ22,BJ23),"0")</f>
        <v>-</v>
      </c>
      <c r="BK51" s="49">
        <f t="shared" si="191"/>
        <v>6</v>
      </c>
      <c r="BL51" s="12" t="str">
        <f t="shared" si="191"/>
        <v>(</v>
      </c>
      <c r="BM51" s="33">
        <f t="shared" si="191"/>
        <v>2</v>
      </c>
      <c r="BN51" s="49" t="str">
        <f t="shared" si="191"/>
        <v>)</v>
      </c>
      <c r="BO51" s="12">
        <f t="shared" si="191"/>
        <v>1</v>
      </c>
      <c r="BP51" s="12" t="str">
        <f t="shared" si="191"/>
        <v>-</v>
      </c>
      <c r="BQ51" s="49">
        <f t="shared" si="191"/>
        <v>1</v>
      </c>
      <c r="BR51" s="12" t="str">
        <f t="shared" si="191"/>
        <v>(</v>
      </c>
      <c r="BS51" s="33">
        <f t="shared" si="191"/>
        <v>1</v>
      </c>
      <c r="BT51" s="49" t="str">
        <f t="shared" si="191"/>
        <v>)</v>
      </c>
      <c r="BU51" s="12">
        <f t="shared" si="191"/>
        <v>0</v>
      </c>
      <c r="BV51" s="12" t="str">
        <f t="shared" si="191"/>
        <v>-</v>
      </c>
      <c r="BW51" s="49">
        <f t="shared" si="191"/>
        <v>0</v>
      </c>
      <c r="BX51" s="12" t="str">
        <f t="shared" si="191"/>
        <v>(</v>
      </c>
      <c r="BY51" s="12">
        <f t="shared" si="191"/>
        <v>0</v>
      </c>
      <c r="BZ51" s="49" t="str">
        <f t="shared" si="191"/>
        <v>)</v>
      </c>
      <c r="CA51" s="12">
        <f t="shared" si="191"/>
        <v>1</v>
      </c>
      <c r="CB51" s="12" t="str">
        <f t="shared" si="191"/>
        <v>-</v>
      </c>
      <c r="CC51" s="49">
        <f t="shared" si="191"/>
        <v>5</v>
      </c>
      <c r="CD51" s="12" t="str">
        <f t="shared" si="191"/>
        <v>(</v>
      </c>
      <c r="CE51" s="33">
        <f t="shared" si="191"/>
        <v>1</v>
      </c>
      <c r="CF51" s="49" t="str">
        <f t="shared" si="191"/>
        <v>)</v>
      </c>
      <c r="CG51" s="12">
        <f t="shared" si="191"/>
        <v>0</v>
      </c>
      <c r="CH51" s="12" t="str">
        <f t="shared" si="191"/>
        <v>-</v>
      </c>
      <c r="CI51" s="53">
        <f t="shared" si="191"/>
        <v>0</v>
      </c>
      <c r="CJ51" s="33">
        <f>IFERROR(IF($B$15="W",CJ22,CJ23),"0")</f>
        <v>2</v>
      </c>
      <c r="CK51" s="33">
        <f t="shared" ref="CK51:CV51" si="192">IFERROR(IF($B$15="W",CK22,CK23),"0")</f>
        <v>12</v>
      </c>
      <c r="CL51" s="33">
        <f t="shared" si="192"/>
        <v>0</v>
      </c>
      <c r="CM51" s="33">
        <f t="shared" si="192"/>
        <v>0</v>
      </c>
      <c r="CN51" s="33">
        <f t="shared" si="192"/>
        <v>14</v>
      </c>
      <c r="CO51" s="33">
        <f t="shared" si="192"/>
        <v>5</v>
      </c>
      <c r="CP51" s="33">
        <f t="shared" si="192"/>
        <v>6</v>
      </c>
      <c r="CQ51" s="33">
        <f t="shared" si="192"/>
        <v>1</v>
      </c>
      <c r="CR51" s="33">
        <f t="shared" si="192"/>
        <v>1</v>
      </c>
      <c r="CS51" s="33">
        <f t="shared" si="192"/>
        <v>1</v>
      </c>
      <c r="CT51" s="33">
        <f t="shared" si="192"/>
        <v>3</v>
      </c>
      <c r="CU51" s="33">
        <f t="shared" si="192"/>
        <v>0</v>
      </c>
      <c r="CV51" s="58">
        <f t="shared" si="192"/>
        <v>18.7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8"/>
        <v>20.60283932363064</v>
      </c>
      <c r="EW51" s="38" t="s">
        <v>229</v>
      </c>
      <c r="EX51" s="6">
        <f t="shared" si="149"/>
        <v>0.7</v>
      </c>
      <c r="EY51" s="6">
        <f t="shared" si="179"/>
        <v>1</v>
      </c>
      <c r="EZ51" s="6">
        <f t="shared" si="180"/>
        <v>7.3639999999999999</v>
      </c>
    </row>
    <row r="52" spans="2:156" x14ac:dyDescent="0.2">
      <c r="C52" s="38" t="s">
        <v>113</v>
      </c>
      <c r="D52" s="28">
        <f t="shared" si="146"/>
        <v>69.666666666666657</v>
      </c>
      <c r="E52" s="86">
        <f t="shared" si="150"/>
        <v>7</v>
      </c>
      <c r="F52" s="33" t="s">
        <v>52</v>
      </c>
      <c r="G52" s="49">
        <f t="shared" si="151"/>
        <v>21</v>
      </c>
      <c r="H52" s="12" t="s">
        <v>53</v>
      </c>
      <c r="I52" s="33">
        <f t="shared" si="152"/>
        <v>5</v>
      </c>
      <c r="J52" s="49" t="s">
        <v>54</v>
      </c>
      <c r="K52" s="12">
        <f t="shared" si="153"/>
        <v>1</v>
      </c>
      <c r="L52" s="33" t="s">
        <v>52</v>
      </c>
      <c r="M52" s="49">
        <f t="shared" si="154"/>
        <v>2</v>
      </c>
      <c r="N52" s="12" t="s">
        <v>53</v>
      </c>
      <c r="O52" s="33">
        <f t="shared" si="155"/>
        <v>1</v>
      </c>
      <c r="P52" s="49" t="s">
        <v>54</v>
      </c>
      <c r="Q52" s="12">
        <f t="shared" si="156"/>
        <v>2</v>
      </c>
      <c r="R52" s="33" t="s">
        <v>52</v>
      </c>
      <c r="S52" s="49">
        <f t="shared" si="157"/>
        <v>8</v>
      </c>
      <c r="T52" s="12" t="s">
        <v>53</v>
      </c>
      <c r="U52" s="33">
        <f t="shared" si="158"/>
        <v>0</v>
      </c>
      <c r="V52" s="49" t="s">
        <v>54</v>
      </c>
      <c r="W52" s="12">
        <f t="shared" si="159"/>
        <v>4</v>
      </c>
      <c r="X52" s="33" t="s">
        <v>52</v>
      </c>
      <c r="Y52" s="49">
        <f t="shared" si="160"/>
        <v>11</v>
      </c>
      <c r="Z52" s="12" t="s">
        <v>53</v>
      </c>
      <c r="AA52" s="33">
        <f t="shared" si="161"/>
        <v>4</v>
      </c>
      <c r="AB52" s="49" t="s">
        <v>54</v>
      </c>
      <c r="AC52" s="12">
        <f t="shared" si="162"/>
        <v>0.7</v>
      </c>
      <c r="AD52" s="33" t="s">
        <v>52</v>
      </c>
      <c r="AE52" s="53">
        <f t="shared" si="163"/>
        <v>1</v>
      </c>
      <c r="AF52" s="12"/>
      <c r="AG52" s="43">
        <f t="shared" si="164"/>
        <v>5</v>
      </c>
      <c r="AH52" s="33" t="s">
        <v>52</v>
      </c>
      <c r="AI52" s="49">
        <f t="shared" si="165"/>
        <v>15</v>
      </c>
      <c r="AJ52" s="12" t="s">
        <v>53</v>
      </c>
      <c r="AK52" s="33">
        <f t="shared" si="166"/>
        <v>3</v>
      </c>
      <c r="AL52" s="49" t="s">
        <v>54</v>
      </c>
      <c r="AM52" s="12">
        <f t="shared" si="167"/>
        <v>0</v>
      </c>
      <c r="AN52" s="33" t="s">
        <v>52</v>
      </c>
      <c r="AO52" s="49">
        <f t="shared" si="168"/>
        <v>1</v>
      </c>
      <c r="AP52" s="12" t="s">
        <v>53</v>
      </c>
      <c r="AQ52" s="33">
        <f t="shared" si="169"/>
        <v>0</v>
      </c>
      <c r="AR52" s="49" t="s">
        <v>54</v>
      </c>
      <c r="AS52" s="12">
        <f t="shared" si="170"/>
        <v>2</v>
      </c>
      <c r="AT52" s="33" t="s">
        <v>52</v>
      </c>
      <c r="AU52" s="49">
        <f t="shared" si="171"/>
        <v>8</v>
      </c>
      <c r="AV52" s="12" t="s">
        <v>53</v>
      </c>
      <c r="AW52" s="33">
        <f t="shared" si="172"/>
        <v>0</v>
      </c>
      <c r="AX52" s="49" t="s">
        <v>54</v>
      </c>
      <c r="AY52" s="12">
        <f t="shared" si="173"/>
        <v>3</v>
      </c>
      <c r="AZ52" s="33" t="s">
        <v>52</v>
      </c>
      <c r="BA52" s="49">
        <f t="shared" si="174"/>
        <v>6</v>
      </c>
      <c r="BB52" s="12" t="s">
        <v>53</v>
      </c>
      <c r="BC52" s="33">
        <f t="shared" si="175"/>
        <v>3</v>
      </c>
      <c r="BD52" s="49" t="s">
        <v>54</v>
      </c>
      <c r="BE52" s="12">
        <f t="shared" si="176"/>
        <v>0</v>
      </c>
      <c r="BF52" s="33" t="s">
        <v>52</v>
      </c>
      <c r="BG52" s="53">
        <f t="shared" si="177"/>
        <v>0</v>
      </c>
      <c r="BH52" s="12"/>
      <c r="BI52" s="43">
        <f>IFERROR(IF($B$16="W",BI22,BI23),"0")</f>
        <v>2</v>
      </c>
      <c r="BJ52" s="12" t="str">
        <f t="shared" ref="BJ52:CI52" si="193">IFERROR(IF($B$16="W",BJ22,BJ23),"0")</f>
        <v>-</v>
      </c>
      <c r="BK52" s="49">
        <f t="shared" si="193"/>
        <v>6</v>
      </c>
      <c r="BL52" s="12" t="str">
        <f t="shared" si="193"/>
        <v>(</v>
      </c>
      <c r="BM52" s="33">
        <f t="shared" si="193"/>
        <v>2</v>
      </c>
      <c r="BN52" s="49" t="str">
        <f t="shared" si="193"/>
        <v>)</v>
      </c>
      <c r="BO52" s="12">
        <f t="shared" si="193"/>
        <v>1</v>
      </c>
      <c r="BP52" s="12" t="str">
        <f t="shared" si="193"/>
        <v>-</v>
      </c>
      <c r="BQ52" s="49">
        <f t="shared" si="193"/>
        <v>1</v>
      </c>
      <c r="BR52" s="12" t="str">
        <f t="shared" si="193"/>
        <v>(</v>
      </c>
      <c r="BS52" s="33">
        <f t="shared" si="193"/>
        <v>1</v>
      </c>
      <c r="BT52" s="49" t="str">
        <f t="shared" si="193"/>
        <v>)</v>
      </c>
      <c r="BU52" s="12">
        <f t="shared" si="193"/>
        <v>0</v>
      </c>
      <c r="BV52" s="12" t="str">
        <f t="shared" si="193"/>
        <v>-</v>
      </c>
      <c r="BW52" s="49">
        <f t="shared" si="193"/>
        <v>0</v>
      </c>
      <c r="BX52" s="12" t="str">
        <f t="shared" si="193"/>
        <v>(</v>
      </c>
      <c r="BY52" s="12">
        <f t="shared" si="193"/>
        <v>0</v>
      </c>
      <c r="BZ52" s="49" t="str">
        <f t="shared" si="193"/>
        <v>)</v>
      </c>
      <c r="CA52" s="12">
        <f t="shared" si="193"/>
        <v>1</v>
      </c>
      <c r="CB52" s="12" t="str">
        <f t="shared" si="193"/>
        <v>-</v>
      </c>
      <c r="CC52" s="49">
        <f t="shared" si="193"/>
        <v>5</v>
      </c>
      <c r="CD52" s="12" t="str">
        <f t="shared" si="193"/>
        <v>(</v>
      </c>
      <c r="CE52" s="33">
        <f t="shared" si="193"/>
        <v>1</v>
      </c>
      <c r="CF52" s="49" t="str">
        <f t="shared" si="193"/>
        <v>)</v>
      </c>
      <c r="CG52" s="12">
        <f t="shared" si="193"/>
        <v>0</v>
      </c>
      <c r="CH52" s="12" t="str">
        <f t="shared" si="193"/>
        <v>-</v>
      </c>
      <c r="CI52" s="53">
        <f t="shared" si="193"/>
        <v>0</v>
      </c>
      <c r="CJ52" s="33">
        <f>IFERROR(IF($B$16="W",CJ22,CJ23),"0")</f>
        <v>2</v>
      </c>
      <c r="CK52" s="33">
        <f t="shared" ref="CK52:CV52" si="194">IFERROR(IF($B$16="W",CK22,CK23),"0")</f>
        <v>12</v>
      </c>
      <c r="CL52" s="33">
        <f t="shared" si="194"/>
        <v>0</v>
      </c>
      <c r="CM52" s="33">
        <f t="shared" si="194"/>
        <v>0</v>
      </c>
      <c r="CN52" s="33">
        <f t="shared" si="194"/>
        <v>14</v>
      </c>
      <c r="CO52" s="33">
        <f t="shared" si="194"/>
        <v>5</v>
      </c>
      <c r="CP52" s="33">
        <f t="shared" si="194"/>
        <v>6</v>
      </c>
      <c r="CQ52" s="33">
        <f t="shared" si="194"/>
        <v>1</v>
      </c>
      <c r="CR52" s="33">
        <f t="shared" si="194"/>
        <v>1</v>
      </c>
      <c r="CS52" s="33">
        <f t="shared" si="194"/>
        <v>1</v>
      </c>
      <c r="CT52" s="33">
        <f t="shared" si="194"/>
        <v>3</v>
      </c>
      <c r="CU52" s="33">
        <f t="shared" si="194"/>
        <v>0</v>
      </c>
      <c r="CV52" s="58">
        <f t="shared" si="194"/>
        <v>18.7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8"/>
        <v>20.60283932363064</v>
      </c>
      <c r="EW52" s="38" t="s">
        <v>113</v>
      </c>
      <c r="EX52" s="6">
        <f t="shared" si="149"/>
        <v>0.7</v>
      </c>
      <c r="EY52" s="6">
        <f t="shared" si="179"/>
        <v>1</v>
      </c>
      <c r="EZ52" s="6">
        <f t="shared" si="180"/>
        <v>7.3639999999999999</v>
      </c>
    </row>
    <row r="53" spans="2:156" x14ac:dyDescent="0.2">
      <c r="C53" s="38" t="s">
        <v>49</v>
      </c>
      <c r="D53" s="28">
        <f t="shared" si="146"/>
        <v>69.666666666666671</v>
      </c>
      <c r="E53" s="86">
        <f t="shared" si="150"/>
        <v>15</v>
      </c>
      <c r="F53" s="33" t="s">
        <v>52</v>
      </c>
      <c r="G53" s="49">
        <f t="shared" si="151"/>
        <v>36</v>
      </c>
      <c r="H53" s="12" t="s">
        <v>53</v>
      </c>
      <c r="I53" s="33">
        <f t="shared" si="152"/>
        <v>9</v>
      </c>
      <c r="J53" s="49" t="s">
        <v>54</v>
      </c>
      <c r="K53" s="12">
        <f t="shared" si="153"/>
        <v>9</v>
      </c>
      <c r="L53" s="33" t="s">
        <v>52</v>
      </c>
      <c r="M53" s="49">
        <f t="shared" si="154"/>
        <v>19</v>
      </c>
      <c r="N53" s="12" t="s">
        <v>53</v>
      </c>
      <c r="O53" s="33">
        <f t="shared" si="155"/>
        <v>6</v>
      </c>
      <c r="P53" s="49" t="s">
        <v>54</v>
      </c>
      <c r="Q53" s="12">
        <f t="shared" si="156"/>
        <v>2</v>
      </c>
      <c r="R53" s="33" t="s">
        <v>52</v>
      </c>
      <c r="S53" s="49">
        <f t="shared" si="157"/>
        <v>6</v>
      </c>
      <c r="T53" s="12" t="s">
        <v>53</v>
      </c>
      <c r="U53" s="33">
        <f t="shared" si="158"/>
        <v>0</v>
      </c>
      <c r="V53" s="49" t="s">
        <v>54</v>
      </c>
      <c r="W53" s="12">
        <f t="shared" si="159"/>
        <v>4</v>
      </c>
      <c r="X53" s="33" t="s">
        <v>52</v>
      </c>
      <c r="Y53" s="49">
        <f t="shared" si="160"/>
        <v>11</v>
      </c>
      <c r="Z53" s="12" t="s">
        <v>53</v>
      </c>
      <c r="AA53" s="33">
        <f t="shared" si="161"/>
        <v>3</v>
      </c>
      <c r="AB53" s="49" t="s">
        <v>54</v>
      </c>
      <c r="AC53" s="12">
        <f t="shared" si="162"/>
        <v>0.6</v>
      </c>
      <c r="AD53" s="33" t="s">
        <v>52</v>
      </c>
      <c r="AE53" s="53">
        <f t="shared" si="163"/>
        <v>1</v>
      </c>
      <c r="AF53" s="12"/>
      <c r="AG53" s="43">
        <f t="shared" si="164"/>
        <v>9</v>
      </c>
      <c r="AH53" s="33" t="s">
        <v>52</v>
      </c>
      <c r="AI53" s="49">
        <f t="shared" si="165"/>
        <v>24</v>
      </c>
      <c r="AJ53" s="12" t="s">
        <v>53</v>
      </c>
      <c r="AK53" s="33">
        <f t="shared" si="166"/>
        <v>4</v>
      </c>
      <c r="AL53" s="49" t="s">
        <v>54</v>
      </c>
      <c r="AM53" s="12">
        <f t="shared" si="167"/>
        <v>5</v>
      </c>
      <c r="AN53" s="33" t="s">
        <v>52</v>
      </c>
      <c r="AO53" s="49">
        <f t="shared" si="168"/>
        <v>10</v>
      </c>
      <c r="AP53" s="12" t="s">
        <v>53</v>
      </c>
      <c r="AQ53" s="33">
        <f t="shared" si="169"/>
        <v>3</v>
      </c>
      <c r="AR53" s="49" t="s">
        <v>54</v>
      </c>
      <c r="AS53" s="12">
        <f t="shared" si="170"/>
        <v>2</v>
      </c>
      <c r="AT53" s="33" t="s">
        <v>52</v>
      </c>
      <c r="AU53" s="49">
        <f t="shared" si="171"/>
        <v>6</v>
      </c>
      <c r="AV53" s="12" t="s">
        <v>53</v>
      </c>
      <c r="AW53" s="33">
        <f t="shared" si="172"/>
        <v>0</v>
      </c>
      <c r="AX53" s="49" t="s">
        <v>54</v>
      </c>
      <c r="AY53" s="12">
        <f t="shared" si="173"/>
        <v>2</v>
      </c>
      <c r="AZ53" s="33" t="s">
        <v>52</v>
      </c>
      <c r="BA53" s="49">
        <f t="shared" si="174"/>
        <v>8</v>
      </c>
      <c r="BB53" s="12" t="s">
        <v>53</v>
      </c>
      <c r="BC53" s="33">
        <f t="shared" si="175"/>
        <v>1</v>
      </c>
      <c r="BD53" s="49" t="s">
        <v>54</v>
      </c>
      <c r="BE53" s="12">
        <f t="shared" si="176"/>
        <v>0</v>
      </c>
      <c r="BF53" s="33" t="s">
        <v>52</v>
      </c>
      <c r="BG53" s="53">
        <f t="shared" si="177"/>
        <v>0</v>
      </c>
      <c r="BH53" s="12"/>
      <c r="BI53" s="43">
        <f>IFERROR(IF($B$17="W",BI22,BI23),"0")</f>
        <v>6</v>
      </c>
      <c r="BJ53" s="12" t="str">
        <f t="shared" ref="BJ53:CI53" si="195">IFERROR(IF($B$17="W",BJ22,BJ23),"0")</f>
        <v>-</v>
      </c>
      <c r="BK53" s="49">
        <f t="shared" si="195"/>
        <v>12</v>
      </c>
      <c r="BL53" s="12" t="str">
        <f t="shared" si="195"/>
        <v>(</v>
      </c>
      <c r="BM53" s="33">
        <f t="shared" si="195"/>
        <v>5</v>
      </c>
      <c r="BN53" s="49" t="str">
        <f t="shared" si="195"/>
        <v>)</v>
      </c>
      <c r="BO53" s="12">
        <f t="shared" si="195"/>
        <v>4</v>
      </c>
      <c r="BP53" s="12" t="str">
        <f t="shared" si="195"/>
        <v>-</v>
      </c>
      <c r="BQ53" s="49">
        <f t="shared" si="195"/>
        <v>9</v>
      </c>
      <c r="BR53" s="12" t="str">
        <f t="shared" si="195"/>
        <v>(</v>
      </c>
      <c r="BS53" s="33">
        <f t="shared" si="195"/>
        <v>3</v>
      </c>
      <c r="BT53" s="49" t="str">
        <f t="shared" si="195"/>
        <v>)</v>
      </c>
      <c r="BU53" s="12">
        <f t="shared" si="195"/>
        <v>0</v>
      </c>
      <c r="BV53" s="12" t="str">
        <f t="shared" si="195"/>
        <v>-</v>
      </c>
      <c r="BW53" s="49">
        <f t="shared" si="195"/>
        <v>0</v>
      </c>
      <c r="BX53" s="12" t="str">
        <f t="shared" si="195"/>
        <v>(</v>
      </c>
      <c r="BY53" s="12">
        <f t="shared" si="195"/>
        <v>0</v>
      </c>
      <c r="BZ53" s="49" t="str">
        <f t="shared" si="195"/>
        <v>)</v>
      </c>
      <c r="CA53" s="12">
        <f t="shared" si="195"/>
        <v>2</v>
      </c>
      <c r="CB53" s="12" t="str">
        <f t="shared" si="195"/>
        <v>-</v>
      </c>
      <c r="CC53" s="49">
        <f t="shared" si="195"/>
        <v>3</v>
      </c>
      <c r="CD53" s="12" t="str">
        <f t="shared" si="195"/>
        <v>(</v>
      </c>
      <c r="CE53" s="33">
        <f t="shared" si="195"/>
        <v>2</v>
      </c>
      <c r="CF53" s="49" t="str">
        <f t="shared" si="195"/>
        <v>)</v>
      </c>
      <c r="CG53" s="12">
        <f t="shared" si="195"/>
        <v>0</v>
      </c>
      <c r="CH53" s="12" t="str">
        <f t="shared" si="195"/>
        <v>-</v>
      </c>
      <c r="CI53" s="53">
        <f t="shared" si="195"/>
        <v>0</v>
      </c>
      <c r="CJ53" s="33">
        <f>IFERROR(IF($B$17="W",CJ22,CJ23),"0")</f>
        <v>9</v>
      </c>
      <c r="CK53" s="33">
        <f t="shared" ref="CK53:CV53" si="196">IFERROR(IF($B$17="W",CK22,CK23),"0")</f>
        <v>12</v>
      </c>
      <c r="CL53" s="33">
        <f t="shared" si="196"/>
        <v>0</v>
      </c>
      <c r="CM53" s="33">
        <f t="shared" si="196"/>
        <v>0</v>
      </c>
      <c r="CN53" s="33">
        <f t="shared" si="196"/>
        <v>21</v>
      </c>
      <c r="CO53" s="33">
        <f t="shared" si="196"/>
        <v>9</v>
      </c>
      <c r="CP53" s="33">
        <f t="shared" si="196"/>
        <v>10</v>
      </c>
      <c r="CQ53" s="33">
        <f t="shared" si="196"/>
        <v>1</v>
      </c>
      <c r="CR53" s="33">
        <f t="shared" si="196"/>
        <v>1</v>
      </c>
      <c r="CS53" s="33">
        <f t="shared" si="196"/>
        <v>3</v>
      </c>
      <c r="CT53" s="33">
        <f t="shared" si="196"/>
        <v>1</v>
      </c>
      <c r="CU53" s="33">
        <f t="shared" si="196"/>
        <v>0</v>
      </c>
      <c r="CV53" s="58">
        <f t="shared" si="196"/>
        <v>34.6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8"/>
        <v>26.445813605525938</v>
      </c>
      <c r="EW53" s="38" t="s">
        <v>49</v>
      </c>
      <c r="EX53" s="6">
        <f t="shared" si="149"/>
        <v>0.6</v>
      </c>
      <c r="EY53" s="6">
        <f t="shared" si="179"/>
        <v>1</v>
      </c>
      <c r="EZ53" s="6">
        <f t="shared" si="180"/>
        <v>15.336</v>
      </c>
    </row>
    <row r="54" spans="2:156" ht="17" thickBot="1" x14ac:dyDescent="0.25">
      <c r="C54" s="38" t="s">
        <v>230</v>
      </c>
      <c r="D54" s="28">
        <f t="shared" si="146"/>
        <v>69.666666666666657</v>
      </c>
      <c r="E54" s="87">
        <f t="shared" si="150"/>
        <v>7</v>
      </c>
      <c r="F54" s="55" t="s">
        <v>52</v>
      </c>
      <c r="G54" s="54">
        <f t="shared" si="151"/>
        <v>21</v>
      </c>
      <c r="H54" s="45" t="s">
        <v>53</v>
      </c>
      <c r="I54" s="55">
        <f t="shared" si="152"/>
        <v>5</v>
      </c>
      <c r="J54" s="54" t="s">
        <v>54</v>
      </c>
      <c r="K54" s="45">
        <f t="shared" si="153"/>
        <v>1</v>
      </c>
      <c r="L54" s="55" t="s">
        <v>52</v>
      </c>
      <c r="M54" s="54">
        <f t="shared" si="154"/>
        <v>2</v>
      </c>
      <c r="N54" s="45" t="s">
        <v>53</v>
      </c>
      <c r="O54" s="55">
        <f t="shared" si="155"/>
        <v>1</v>
      </c>
      <c r="P54" s="54" t="s">
        <v>54</v>
      </c>
      <c r="Q54" s="45">
        <f t="shared" si="156"/>
        <v>2</v>
      </c>
      <c r="R54" s="55" t="s">
        <v>52</v>
      </c>
      <c r="S54" s="54">
        <f t="shared" si="157"/>
        <v>8</v>
      </c>
      <c r="T54" s="45" t="s">
        <v>53</v>
      </c>
      <c r="U54" s="55">
        <f t="shared" si="158"/>
        <v>0</v>
      </c>
      <c r="V54" s="54" t="s">
        <v>54</v>
      </c>
      <c r="W54" s="45">
        <f t="shared" si="159"/>
        <v>4</v>
      </c>
      <c r="X54" s="55" t="s">
        <v>52</v>
      </c>
      <c r="Y54" s="54">
        <f t="shared" si="160"/>
        <v>11</v>
      </c>
      <c r="Z54" s="45" t="s">
        <v>53</v>
      </c>
      <c r="AA54" s="55">
        <f t="shared" si="161"/>
        <v>4</v>
      </c>
      <c r="AB54" s="54" t="s">
        <v>54</v>
      </c>
      <c r="AC54" s="45">
        <f t="shared" si="162"/>
        <v>0.7</v>
      </c>
      <c r="AD54" s="55" t="s">
        <v>52</v>
      </c>
      <c r="AE54" s="56">
        <f t="shared" si="163"/>
        <v>1</v>
      </c>
      <c r="AF54" s="1"/>
      <c r="AG54" s="44">
        <f t="shared" si="164"/>
        <v>5</v>
      </c>
      <c r="AH54" s="55" t="s">
        <v>52</v>
      </c>
      <c r="AI54" s="54">
        <f t="shared" si="165"/>
        <v>15</v>
      </c>
      <c r="AJ54" s="45" t="s">
        <v>53</v>
      </c>
      <c r="AK54" s="55">
        <f t="shared" si="166"/>
        <v>3</v>
      </c>
      <c r="AL54" s="54" t="s">
        <v>54</v>
      </c>
      <c r="AM54" s="45">
        <f t="shared" si="167"/>
        <v>0</v>
      </c>
      <c r="AN54" s="55" t="s">
        <v>52</v>
      </c>
      <c r="AO54" s="54">
        <f t="shared" si="168"/>
        <v>1</v>
      </c>
      <c r="AP54" s="45" t="s">
        <v>53</v>
      </c>
      <c r="AQ54" s="55">
        <f t="shared" si="169"/>
        <v>0</v>
      </c>
      <c r="AR54" s="54" t="s">
        <v>54</v>
      </c>
      <c r="AS54" s="45">
        <f t="shared" si="170"/>
        <v>2</v>
      </c>
      <c r="AT54" s="55" t="s">
        <v>52</v>
      </c>
      <c r="AU54" s="54">
        <f t="shared" si="171"/>
        <v>8</v>
      </c>
      <c r="AV54" s="45" t="s">
        <v>53</v>
      </c>
      <c r="AW54" s="55">
        <f t="shared" si="172"/>
        <v>0</v>
      </c>
      <c r="AX54" s="54" t="s">
        <v>54</v>
      </c>
      <c r="AY54" s="45">
        <f t="shared" si="173"/>
        <v>3</v>
      </c>
      <c r="AZ54" s="55" t="s">
        <v>52</v>
      </c>
      <c r="BA54" s="54">
        <f t="shared" si="174"/>
        <v>6</v>
      </c>
      <c r="BB54" s="45" t="s">
        <v>53</v>
      </c>
      <c r="BC54" s="55">
        <f t="shared" si="175"/>
        <v>3</v>
      </c>
      <c r="BD54" s="54" t="s">
        <v>54</v>
      </c>
      <c r="BE54" s="45">
        <f t="shared" si="176"/>
        <v>0</v>
      </c>
      <c r="BF54" s="55" t="s">
        <v>52</v>
      </c>
      <c r="BG54" s="56">
        <f t="shared" si="177"/>
        <v>0</v>
      </c>
      <c r="BH54" s="12"/>
      <c r="BI54" s="44">
        <f>IFERROR(IF($B$18="W",BI22,BI23),"0")</f>
        <v>2</v>
      </c>
      <c r="BJ54" s="45" t="str">
        <f t="shared" ref="BJ54:CV54" si="197">IFERROR(IF($B$18="W",BJ22,BJ23),"0")</f>
        <v>-</v>
      </c>
      <c r="BK54" s="54">
        <f t="shared" si="197"/>
        <v>6</v>
      </c>
      <c r="BL54" s="45" t="str">
        <f t="shared" si="197"/>
        <v>(</v>
      </c>
      <c r="BM54" s="55">
        <f t="shared" si="197"/>
        <v>2</v>
      </c>
      <c r="BN54" s="54" t="str">
        <f t="shared" si="197"/>
        <v>)</v>
      </c>
      <c r="BO54" s="45">
        <f t="shared" si="197"/>
        <v>1</v>
      </c>
      <c r="BP54" s="45" t="str">
        <f t="shared" si="197"/>
        <v>-</v>
      </c>
      <c r="BQ54" s="54">
        <f t="shared" si="197"/>
        <v>1</v>
      </c>
      <c r="BR54" s="45" t="str">
        <f t="shared" si="197"/>
        <v>(</v>
      </c>
      <c r="BS54" s="55">
        <f t="shared" si="197"/>
        <v>1</v>
      </c>
      <c r="BT54" s="54" t="str">
        <f t="shared" si="197"/>
        <v>)</v>
      </c>
      <c r="BU54" s="45">
        <f t="shared" si="197"/>
        <v>0</v>
      </c>
      <c r="BV54" s="45" t="str">
        <f t="shared" si="197"/>
        <v>-</v>
      </c>
      <c r="BW54" s="54">
        <f t="shared" si="197"/>
        <v>0</v>
      </c>
      <c r="BX54" s="45" t="str">
        <f t="shared" si="197"/>
        <v>(</v>
      </c>
      <c r="BY54" s="45">
        <f t="shared" si="197"/>
        <v>0</v>
      </c>
      <c r="BZ54" s="54" t="str">
        <f t="shared" si="197"/>
        <v>)</v>
      </c>
      <c r="CA54" s="45">
        <f t="shared" si="197"/>
        <v>1</v>
      </c>
      <c r="CB54" s="45" t="str">
        <f t="shared" si="197"/>
        <v>-</v>
      </c>
      <c r="CC54" s="54">
        <f t="shared" si="197"/>
        <v>5</v>
      </c>
      <c r="CD54" s="45" t="str">
        <f t="shared" si="197"/>
        <v>(</v>
      </c>
      <c r="CE54" s="55">
        <f t="shared" si="197"/>
        <v>1</v>
      </c>
      <c r="CF54" s="54" t="str">
        <f t="shared" si="197"/>
        <v>)</v>
      </c>
      <c r="CG54" s="45">
        <f t="shared" si="197"/>
        <v>0</v>
      </c>
      <c r="CH54" s="45" t="str">
        <f t="shared" si="197"/>
        <v>-</v>
      </c>
      <c r="CI54" s="56">
        <f t="shared" si="197"/>
        <v>0</v>
      </c>
      <c r="CJ54" s="33">
        <f t="shared" si="197"/>
        <v>2</v>
      </c>
      <c r="CK54" s="33">
        <f t="shared" si="197"/>
        <v>12</v>
      </c>
      <c r="CL54" s="33">
        <f t="shared" si="197"/>
        <v>0</v>
      </c>
      <c r="CM54" s="33">
        <f>IFERROR(IF($B$18="W",CM22,CM23),"0")</f>
        <v>0</v>
      </c>
      <c r="CN54" s="33">
        <f t="shared" si="197"/>
        <v>14</v>
      </c>
      <c r="CO54" s="33">
        <f t="shared" si="197"/>
        <v>5</v>
      </c>
      <c r="CP54" s="33">
        <f t="shared" si="197"/>
        <v>6</v>
      </c>
      <c r="CQ54" s="33">
        <f t="shared" si="197"/>
        <v>1</v>
      </c>
      <c r="CR54" s="33">
        <f t="shared" si="197"/>
        <v>1</v>
      </c>
      <c r="CS54" s="33">
        <f t="shared" si="197"/>
        <v>1</v>
      </c>
      <c r="CT54" s="33">
        <f t="shared" si="197"/>
        <v>3</v>
      </c>
      <c r="CU54" s="33">
        <f t="shared" si="197"/>
        <v>0</v>
      </c>
      <c r="CV54" s="58">
        <f t="shared" si="197"/>
        <v>18.7</v>
      </c>
      <c r="CW54" s="33"/>
      <c r="CX54" s="1"/>
      <c r="CY54" s="1"/>
      <c r="CZ54" s="1"/>
      <c r="EF54" s="38" t="s">
        <v>230</v>
      </c>
      <c r="EG54" s="6">
        <f t="shared" si="148"/>
        <v>20.60283932363064</v>
      </c>
      <c r="EW54" s="38" t="s">
        <v>230</v>
      </c>
      <c r="EX54" s="6">
        <f t="shared" si="149"/>
        <v>0.7</v>
      </c>
      <c r="EY54" s="6">
        <f t="shared" si="179"/>
        <v>1</v>
      </c>
      <c r="EZ54" s="6">
        <f t="shared" si="180"/>
        <v>7.3639999999999999</v>
      </c>
    </row>
    <row r="55" spans="2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458"/>
    </row>
    <row r="56" spans="2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443">
        <v>1</v>
      </c>
      <c r="CK56" s="443">
        <v>2</v>
      </c>
      <c r="CL56" s="443">
        <v>3</v>
      </c>
      <c r="CM56" s="443">
        <v>4</v>
      </c>
      <c r="CN56" s="443">
        <v>5</v>
      </c>
      <c r="CO56" s="443">
        <v>6</v>
      </c>
      <c r="CP56" s="443">
        <v>7</v>
      </c>
      <c r="CQ56" s="443">
        <v>8</v>
      </c>
      <c r="CR56" s="443">
        <v>9</v>
      </c>
      <c r="CS56" s="443">
        <v>10</v>
      </c>
      <c r="CT56" s="444">
        <v>11</v>
      </c>
      <c r="CU56" s="443">
        <v>12</v>
      </c>
      <c r="CV56" s="443">
        <v>13</v>
      </c>
      <c r="CW56" s="443">
        <v>14</v>
      </c>
      <c r="CX56" s="443">
        <v>15</v>
      </c>
      <c r="CY56" s="443">
        <v>16</v>
      </c>
      <c r="CZ56" s="443">
        <v>17</v>
      </c>
      <c r="DA56" s="443">
        <v>18</v>
      </c>
      <c r="DB56" s="443">
        <v>19</v>
      </c>
      <c r="DC56" s="443">
        <v>20</v>
      </c>
      <c r="DD56" s="443">
        <v>21</v>
      </c>
      <c r="DE56" s="443">
        <v>22</v>
      </c>
      <c r="DF56" s="443">
        <v>23</v>
      </c>
      <c r="DG56" s="443">
        <v>24</v>
      </c>
      <c r="DH56" s="443">
        <v>25</v>
      </c>
      <c r="DI56" s="462">
        <v>26</v>
      </c>
      <c r="DJ56" s="463">
        <v>27</v>
      </c>
      <c r="DK56" s="21">
        <v>28</v>
      </c>
      <c r="DL56" s="21">
        <v>29</v>
      </c>
      <c r="DM56" s="21">
        <v>30</v>
      </c>
      <c r="DN56" s="21"/>
      <c r="DO56" s="21"/>
      <c r="DP56" s="21"/>
      <c r="DQ56" s="21"/>
      <c r="DR56" s="21"/>
    </row>
    <row r="57" spans="2:156" x14ac:dyDescent="0.2">
      <c r="B57" s="397" t="s">
        <v>205</v>
      </c>
      <c r="C57" s="51"/>
      <c r="D57" s="397"/>
      <c r="E57" s="445"/>
      <c r="F57" s="446"/>
      <c r="G57" s="51"/>
      <c r="H57" s="48"/>
      <c r="I57" s="423"/>
      <c r="J57" s="51"/>
      <c r="K57" s="48"/>
      <c r="M57" s="51"/>
      <c r="N57" s="48"/>
      <c r="O57" s="423"/>
      <c r="P57" s="51"/>
      <c r="Q57" s="48"/>
      <c r="S57" s="51"/>
      <c r="T57" s="48"/>
      <c r="U57" s="423"/>
      <c r="V57" s="51"/>
      <c r="W57" s="48"/>
      <c r="Y57" s="51"/>
      <c r="Z57" s="48"/>
      <c r="AA57" s="423"/>
      <c r="AB57" s="51"/>
      <c r="AC57" s="48"/>
      <c r="AE57" s="51"/>
      <c r="AG57" s="48"/>
      <c r="AI57" s="51"/>
      <c r="AJ57" s="48"/>
      <c r="AK57" s="423"/>
      <c r="AL57" s="51"/>
      <c r="AM57" s="48"/>
      <c r="AO57" s="51"/>
      <c r="AP57" s="48"/>
      <c r="AQ57" s="423"/>
      <c r="AR57" s="51"/>
      <c r="AS57" s="48"/>
      <c r="AU57" s="51"/>
      <c r="AV57" s="48"/>
      <c r="AW57" s="423"/>
      <c r="AX57" s="51"/>
      <c r="AY57" s="48"/>
      <c r="BA57" s="51"/>
      <c r="BB57" s="48"/>
      <c r="BC57" s="423"/>
      <c r="BD57" s="51"/>
      <c r="BE57" s="48"/>
      <c r="BG57" s="51"/>
      <c r="BH57" s="51"/>
      <c r="BI57" s="48"/>
      <c r="BK57" s="51"/>
      <c r="BL57" s="48"/>
      <c r="BM57" s="423"/>
      <c r="BN57" s="51"/>
      <c r="BO57" s="48"/>
      <c r="BQ57" s="51"/>
      <c r="BR57" s="48"/>
      <c r="BS57" s="423"/>
      <c r="BT57" s="51"/>
      <c r="BU57" s="48"/>
      <c r="BW57" s="51"/>
      <c r="BX57" s="48"/>
      <c r="BY57" s="423"/>
      <c r="BZ57" s="51"/>
      <c r="CA57" s="48"/>
      <c r="CC57" s="51"/>
      <c r="CD57" s="48"/>
      <c r="CE57" s="423"/>
      <c r="CF57" s="51"/>
      <c r="CG57" s="48"/>
      <c r="CI57" s="41" t="s">
        <v>205</v>
      </c>
      <c r="CJ57" s="47">
        <v>21</v>
      </c>
      <c r="CK57" s="1">
        <v>25</v>
      </c>
      <c r="CL57" s="1">
        <v>15</v>
      </c>
      <c r="CM57" s="1">
        <v>12</v>
      </c>
      <c r="CN57" s="1">
        <v>16</v>
      </c>
      <c r="CO57" s="1">
        <v>21</v>
      </c>
      <c r="CP57" s="1">
        <v>20</v>
      </c>
      <c r="CQ57" s="1">
        <v>22</v>
      </c>
      <c r="CR57" s="1">
        <v>11</v>
      </c>
      <c r="CS57" s="1"/>
      <c r="CT57" s="1">
        <v>21</v>
      </c>
      <c r="CU57" s="1">
        <v>8</v>
      </c>
      <c r="CV57" s="1">
        <v>12</v>
      </c>
      <c r="CW57" s="1">
        <v>14</v>
      </c>
      <c r="CX57" s="1">
        <v>21</v>
      </c>
      <c r="CY57" s="1">
        <v>27</v>
      </c>
      <c r="CZ57" s="1">
        <v>11</v>
      </c>
      <c r="DA57" s="1">
        <v>10</v>
      </c>
      <c r="DB57" s="1">
        <v>11</v>
      </c>
      <c r="DC57" s="1">
        <v>24</v>
      </c>
      <c r="DD57" s="1">
        <v>28</v>
      </c>
      <c r="DE57" s="1">
        <v>17</v>
      </c>
      <c r="DF57" s="1">
        <v>22</v>
      </c>
      <c r="DG57" s="1">
        <v>23</v>
      </c>
      <c r="DH57" s="455">
        <v>27</v>
      </c>
      <c r="DI57" s="459">
        <v>29</v>
      </c>
      <c r="DJ57" s="47">
        <v>34</v>
      </c>
      <c r="DK57" s="48">
        <v>92</v>
      </c>
      <c r="DL57" s="48">
        <v>118</v>
      </c>
      <c r="DM57" s="48">
        <v>102</v>
      </c>
      <c r="DO57">
        <f>SUM(CJ57:DM57)</f>
        <v>814</v>
      </c>
      <c r="DP57" s="2">
        <f>DO57/60</f>
        <v>13.566666666666666</v>
      </c>
    </row>
    <row r="58" spans="2:156" x14ac:dyDescent="0.2">
      <c r="B58" s="451" t="s">
        <v>206</v>
      </c>
      <c r="C58" s="51"/>
      <c r="D58" s="451"/>
      <c r="E58" s="445"/>
      <c r="F58" s="447"/>
      <c r="G58" s="51"/>
      <c r="H58" s="48"/>
      <c r="I58" s="423"/>
      <c r="J58" s="51"/>
      <c r="K58" s="48"/>
      <c r="M58" s="51"/>
      <c r="N58" s="48"/>
      <c r="O58" s="423"/>
      <c r="P58" s="51"/>
      <c r="Q58" s="48"/>
      <c r="S58" s="51"/>
      <c r="T58" s="48"/>
      <c r="U58" s="423"/>
      <c r="V58" s="51"/>
      <c r="W58" s="48"/>
      <c r="Y58" s="51"/>
      <c r="Z58" s="48"/>
      <c r="AA58" s="423"/>
      <c r="AB58" s="51"/>
      <c r="AC58" s="48"/>
      <c r="AE58" s="51"/>
      <c r="AG58" s="48"/>
      <c r="AI58" s="51"/>
      <c r="AJ58" s="48"/>
      <c r="AK58" s="423"/>
      <c r="AL58" s="51"/>
      <c r="AM58" s="48"/>
      <c r="AO58" s="51"/>
      <c r="AP58" s="48"/>
      <c r="AQ58" s="423"/>
      <c r="AR58" s="51"/>
      <c r="AS58" s="48"/>
      <c r="AU58" s="51"/>
      <c r="AV58" s="48"/>
      <c r="AW58" s="423"/>
      <c r="AX58" s="51"/>
      <c r="AY58" s="48"/>
      <c r="BA58" s="51"/>
      <c r="BB58" s="48"/>
      <c r="BC58" s="423"/>
      <c r="BD58" s="51"/>
      <c r="BE58" s="48"/>
      <c r="BG58" s="51"/>
      <c r="BH58" s="51"/>
      <c r="BI58" s="48"/>
      <c r="BK58" s="51"/>
      <c r="BL58" s="48"/>
      <c r="BM58" s="423"/>
      <c r="BN58" s="51"/>
      <c r="BO58" s="48"/>
      <c r="BQ58" s="51"/>
      <c r="BR58" s="48"/>
      <c r="BS58" s="423"/>
      <c r="BT58" s="51"/>
      <c r="BU58" s="48"/>
      <c r="BW58" s="51"/>
      <c r="BX58" s="48"/>
      <c r="BY58" s="423"/>
      <c r="BZ58" s="51"/>
      <c r="CA58" s="48"/>
      <c r="CC58" s="51"/>
      <c r="CD58" s="48"/>
      <c r="CE58" s="423"/>
      <c r="CF58" s="51"/>
      <c r="CG58" s="48"/>
      <c r="CI58" s="431" t="s">
        <v>206</v>
      </c>
      <c r="CJ58" s="47">
        <v>21</v>
      </c>
      <c r="CK58" s="1">
        <v>25</v>
      </c>
      <c r="CL58" s="1">
        <v>15</v>
      </c>
      <c r="CM58" s="1">
        <v>12</v>
      </c>
      <c r="CN58" s="1">
        <v>16</v>
      </c>
      <c r="CO58" s="1">
        <v>21</v>
      </c>
      <c r="CP58" s="1">
        <v>20</v>
      </c>
      <c r="CQ58" s="1">
        <v>22</v>
      </c>
      <c r="CR58" s="1">
        <v>11</v>
      </c>
      <c r="CS58" s="1">
        <v>22</v>
      </c>
      <c r="CT58" s="1">
        <v>21</v>
      </c>
      <c r="CU58" s="1">
        <v>8</v>
      </c>
      <c r="CV58" s="1">
        <v>12</v>
      </c>
      <c r="CW58" s="1">
        <v>14</v>
      </c>
      <c r="CX58" s="1">
        <v>21</v>
      </c>
      <c r="CY58" s="1">
        <v>27</v>
      </c>
      <c r="CZ58" s="1">
        <v>11</v>
      </c>
      <c r="DA58" s="1">
        <v>10</v>
      </c>
      <c r="DB58" s="1">
        <v>11</v>
      </c>
      <c r="DC58" s="1">
        <v>24</v>
      </c>
      <c r="DD58" s="1">
        <v>28</v>
      </c>
      <c r="DE58" s="1">
        <v>17</v>
      </c>
      <c r="DF58" s="1">
        <v>22</v>
      </c>
      <c r="DG58" s="1">
        <v>23</v>
      </c>
      <c r="DH58" s="455">
        <v>27</v>
      </c>
      <c r="DI58" s="459"/>
      <c r="DJ58" s="47">
        <v>34</v>
      </c>
      <c r="DK58" s="48">
        <v>92</v>
      </c>
      <c r="DL58" s="48"/>
      <c r="DM58" s="48">
        <v>102</v>
      </c>
      <c r="DO58">
        <f t="shared" ref="DO58:DO71" si="198">SUM(CJ58:DM58)</f>
        <v>689</v>
      </c>
      <c r="DP58" s="2">
        <f t="shared" ref="DP58:DP71" si="199">DO58/60</f>
        <v>11.483333333333333</v>
      </c>
    </row>
    <row r="59" spans="2:156" x14ac:dyDescent="0.2">
      <c r="B59" s="451" t="s">
        <v>207</v>
      </c>
      <c r="C59" s="62"/>
      <c r="D59" s="451"/>
      <c r="E59" s="448"/>
      <c r="F59" s="447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431" t="s">
        <v>207</v>
      </c>
      <c r="CJ59" s="47">
        <v>21</v>
      </c>
      <c r="CK59" s="1">
        <v>25</v>
      </c>
      <c r="CL59" s="1">
        <v>15</v>
      </c>
      <c r="CM59" s="1">
        <v>12</v>
      </c>
      <c r="CN59" s="442"/>
      <c r="CO59" s="1"/>
      <c r="CP59" s="1"/>
      <c r="CQ59" s="1"/>
      <c r="CR59" s="1"/>
      <c r="CS59" s="1"/>
      <c r="CT59" s="325">
        <v>21</v>
      </c>
      <c r="CU59" s="1">
        <v>8</v>
      </c>
      <c r="CV59" s="1">
        <v>12</v>
      </c>
      <c r="CW59" s="1">
        <v>14</v>
      </c>
      <c r="CX59" s="1">
        <v>21</v>
      </c>
      <c r="CY59" s="1">
        <v>27</v>
      </c>
      <c r="CZ59" s="1">
        <v>11</v>
      </c>
      <c r="DA59" s="1">
        <v>10</v>
      </c>
      <c r="DB59" s="1">
        <v>11</v>
      </c>
      <c r="DC59" s="1">
        <v>24</v>
      </c>
      <c r="DD59" s="1">
        <v>28</v>
      </c>
      <c r="DE59" s="1">
        <v>17</v>
      </c>
      <c r="DF59" s="1">
        <v>22</v>
      </c>
      <c r="DG59" s="1">
        <v>23</v>
      </c>
      <c r="DH59" s="456">
        <v>27</v>
      </c>
      <c r="DI59" s="460">
        <v>29</v>
      </c>
      <c r="DJ59" s="61"/>
      <c r="DK59" s="61"/>
      <c r="DL59" s="61">
        <v>118</v>
      </c>
      <c r="DM59" s="12">
        <v>102</v>
      </c>
      <c r="DN59" s="24"/>
      <c r="DO59">
        <f t="shared" si="198"/>
        <v>598</v>
      </c>
      <c r="DP59" s="2">
        <f t="shared" si="199"/>
        <v>9.9666666666666668</v>
      </c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2:156" x14ac:dyDescent="0.2">
      <c r="B60" s="451" t="s">
        <v>175</v>
      </c>
      <c r="C60" s="452"/>
      <c r="D60" s="451"/>
      <c r="E60" s="449"/>
      <c r="F60" s="447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31" t="s">
        <v>175</v>
      </c>
      <c r="CJ60" s="47">
        <v>21</v>
      </c>
      <c r="CK60" s="1">
        <v>25</v>
      </c>
      <c r="CL60" s="1">
        <v>15</v>
      </c>
      <c r="CM60" s="1">
        <v>12</v>
      </c>
      <c r="CN60" s="1">
        <v>16</v>
      </c>
      <c r="CO60" s="1">
        <v>21</v>
      </c>
      <c r="CP60" s="1">
        <v>20</v>
      </c>
      <c r="CQ60" s="1">
        <v>22</v>
      </c>
      <c r="CR60" s="1">
        <v>11</v>
      </c>
      <c r="CS60" s="1">
        <v>22</v>
      </c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456"/>
      <c r="DI60" s="461">
        <v>29</v>
      </c>
      <c r="DJ60" s="61">
        <v>34</v>
      </c>
      <c r="DK60" s="61">
        <v>92</v>
      </c>
      <c r="DL60" s="61">
        <v>118</v>
      </c>
      <c r="DM60" s="61">
        <v>102</v>
      </c>
      <c r="DN60" s="337"/>
      <c r="DO60">
        <f t="shared" si="198"/>
        <v>560</v>
      </c>
      <c r="DP60" s="2">
        <f t="shared" si="199"/>
        <v>9.3333333333333339</v>
      </c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2:156" x14ac:dyDescent="0.2">
      <c r="B61" s="397" t="s">
        <v>208</v>
      </c>
      <c r="C61" s="452"/>
      <c r="D61" s="397"/>
      <c r="E61" s="449"/>
      <c r="F61" s="446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1" t="s">
        <v>208</v>
      </c>
      <c r="CJ61" s="47">
        <v>21</v>
      </c>
      <c r="CK61" s="1">
        <v>25</v>
      </c>
      <c r="CL61" s="1">
        <v>15</v>
      </c>
      <c r="CM61" s="1">
        <v>12</v>
      </c>
      <c r="CN61" s="1">
        <v>16</v>
      </c>
      <c r="CO61" s="1">
        <v>21</v>
      </c>
      <c r="CP61" s="1">
        <v>20</v>
      </c>
      <c r="CQ61" s="1">
        <v>22</v>
      </c>
      <c r="CR61" s="1">
        <v>11</v>
      </c>
      <c r="CS61" s="1">
        <v>22</v>
      </c>
      <c r="CT61" s="1"/>
      <c r="CU61" s="1"/>
      <c r="CV61" s="1"/>
      <c r="CW61" s="1"/>
      <c r="CX61" s="1"/>
      <c r="CY61" s="1">
        <v>27</v>
      </c>
      <c r="CZ61" s="1">
        <v>11</v>
      </c>
      <c r="DA61" s="1">
        <v>10</v>
      </c>
      <c r="DB61" s="1">
        <v>11</v>
      </c>
      <c r="DC61" s="1">
        <v>24</v>
      </c>
      <c r="DD61" s="1">
        <v>28</v>
      </c>
      <c r="DE61" s="1">
        <v>17</v>
      </c>
      <c r="DF61" s="1">
        <v>22</v>
      </c>
      <c r="DG61" s="1">
        <v>23</v>
      </c>
      <c r="DH61" s="456">
        <v>27</v>
      </c>
      <c r="DI61" s="461"/>
      <c r="DJ61" s="61">
        <v>34</v>
      </c>
      <c r="DK61" s="61">
        <v>92</v>
      </c>
      <c r="DL61" s="61"/>
      <c r="DM61" s="61">
        <v>102</v>
      </c>
      <c r="DN61" s="337"/>
      <c r="DO61">
        <f t="shared" si="198"/>
        <v>613</v>
      </c>
      <c r="DP61" s="2">
        <f t="shared" si="199"/>
        <v>10.216666666666667</v>
      </c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2:156" x14ac:dyDescent="0.2">
      <c r="B62" s="451" t="s">
        <v>209</v>
      </c>
      <c r="C62" s="453"/>
      <c r="D62" s="451"/>
      <c r="E62" s="450"/>
      <c r="F62" s="447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431" t="s">
        <v>209</v>
      </c>
      <c r="CJ62" s="47"/>
      <c r="CK62" s="1"/>
      <c r="CL62" s="1"/>
      <c r="CM62" s="1"/>
      <c r="CN62" s="1">
        <v>16</v>
      </c>
      <c r="CO62" s="1">
        <v>21</v>
      </c>
      <c r="CP62" s="1">
        <v>20</v>
      </c>
      <c r="CQ62" s="1">
        <v>22</v>
      </c>
      <c r="CR62" s="1">
        <v>11</v>
      </c>
      <c r="CS62" s="1">
        <v>22</v>
      </c>
      <c r="CT62" s="1">
        <v>21</v>
      </c>
      <c r="CU62" s="1">
        <v>8</v>
      </c>
      <c r="CV62" s="1">
        <v>12</v>
      </c>
      <c r="CW62" s="1">
        <v>14</v>
      </c>
      <c r="CX62" s="1">
        <v>21</v>
      </c>
      <c r="CY62" s="1">
        <v>27</v>
      </c>
      <c r="CZ62" s="1">
        <v>11</v>
      </c>
      <c r="DA62" s="1">
        <v>10</v>
      </c>
      <c r="DB62" s="1">
        <v>11</v>
      </c>
      <c r="DC62" s="1">
        <v>24</v>
      </c>
      <c r="DD62" s="1">
        <v>28</v>
      </c>
      <c r="DE62" s="1">
        <v>17</v>
      </c>
      <c r="DF62" s="1">
        <v>22</v>
      </c>
      <c r="DG62" s="1">
        <v>23</v>
      </c>
      <c r="DH62" s="457">
        <v>27</v>
      </c>
      <c r="DI62" s="459">
        <v>29</v>
      </c>
      <c r="DJ62" s="48">
        <v>34</v>
      </c>
      <c r="DK62" s="48">
        <v>92</v>
      </c>
      <c r="DL62" s="48">
        <v>118</v>
      </c>
      <c r="DM62" s="48">
        <v>102</v>
      </c>
      <c r="DN62" s="423"/>
      <c r="DO62">
        <f t="shared" si="198"/>
        <v>763</v>
      </c>
      <c r="DP62" s="2">
        <f t="shared" si="199"/>
        <v>12.716666666666667</v>
      </c>
      <c r="DQ62" s="423"/>
      <c r="DR62" s="423"/>
      <c r="DS62" s="423"/>
    </row>
    <row r="63" spans="2:156" x14ac:dyDescent="0.2">
      <c r="B63" s="397" t="s">
        <v>210</v>
      </c>
      <c r="C63" s="453"/>
      <c r="D63" s="397"/>
      <c r="E63" s="450"/>
      <c r="F63" s="446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41" t="s">
        <v>210</v>
      </c>
      <c r="CJ63" s="47">
        <v>21</v>
      </c>
      <c r="CK63" s="1">
        <v>25</v>
      </c>
      <c r="CL63" s="1">
        <v>15</v>
      </c>
      <c r="CM63" s="1">
        <v>12</v>
      </c>
      <c r="CN63" s="1"/>
      <c r="CO63" s="1"/>
      <c r="CP63" s="1"/>
      <c r="CQ63" s="1"/>
      <c r="CR63" s="1"/>
      <c r="CS63" s="1">
        <v>22</v>
      </c>
      <c r="CT63" s="1">
        <v>21</v>
      </c>
      <c r="CU63" s="1">
        <v>8</v>
      </c>
      <c r="CV63" s="1">
        <v>12</v>
      </c>
      <c r="CW63" s="1">
        <v>14</v>
      </c>
      <c r="CX63" s="1">
        <v>21</v>
      </c>
      <c r="CY63" s="1">
        <v>27</v>
      </c>
      <c r="CZ63" s="1">
        <v>11</v>
      </c>
      <c r="DA63" s="1">
        <v>10</v>
      </c>
      <c r="DB63" s="1"/>
      <c r="DC63" s="1"/>
      <c r="DD63" s="1"/>
      <c r="DE63" s="1"/>
      <c r="DF63" s="1"/>
      <c r="DG63" s="1"/>
      <c r="DH63" s="457"/>
      <c r="DI63" s="459">
        <v>29</v>
      </c>
      <c r="DJ63" s="48"/>
      <c r="DK63" s="48"/>
      <c r="DL63" s="48">
        <v>118</v>
      </c>
      <c r="DM63" s="48">
        <v>102</v>
      </c>
      <c r="DN63" s="423"/>
      <c r="DO63">
        <f t="shared" si="198"/>
        <v>468</v>
      </c>
      <c r="DP63" s="2">
        <f t="shared" si="199"/>
        <v>7.8</v>
      </c>
      <c r="DQ63" s="423"/>
      <c r="DR63" s="423"/>
      <c r="DS63" s="423"/>
    </row>
    <row r="64" spans="2:156" x14ac:dyDescent="0.2">
      <c r="B64" s="451" t="s">
        <v>211</v>
      </c>
      <c r="C64" s="453"/>
      <c r="D64" s="451"/>
      <c r="E64" s="450"/>
      <c r="F64" s="447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431" t="s">
        <v>211</v>
      </c>
      <c r="CJ64" s="47"/>
      <c r="CK64" s="1"/>
      <c r="CL64" s="1"/>
      <c r="CM64" s="1"/>
      <c r="CN64" s="1"/>
      <c r="CO64" s="1"/>
      <c r="CP64" s="1"/>
      <c r="CQ64" s="1"/>
      <c r="CR64" s="1"/>
      <c r="CS64" s="1"/>
      <c r="CT64" s="1">
        <v>21</v>
      </c>
      <c r="CU64" s="1">
        <v>8</v>
      </c>
      <c r="CV64" s="1">
        <v>12</v>
      </c>
      <c r="CW64" s="1">
        <v>14</v>
      </c>
      <c r="CX64" s="1">
        <v>21</v>
      </c>
      <c r="CY64" s="1">
        <v>27</v>
      </c>
      <c r="CZ64" s="1">
        <v>11</v>
      </c>
      <c r="DA64" s="1">
        <v>10</v>
      </c>
      <c r="DB64" s="1">
        <v>11</v>
      </c>
      <c r="DC64" s="1">
        <v>24</v>
      </c>
      <c r="DD64" s="1">
        <v>28</v>
      </c>
      <c r="DE64" s="1">
        <v>17</v>
      </c>
      <c r="DF64" s="1">
        <v>22</v>
      </c>
      <c r="DG64" s="1">
        <v>23</v>
      </c>
      <c r="DH64" s="457">
        <v>27</v>
      </c>
      <c r="DI64" s="459">
        <v>29</v>
      </c>
      <c r="DJ64" s="48"/>
      <c r="DK64" s="48"/>
      <c r="DL64" s="48">
        <v>118</v>
      </c>
      <c r="DM64" s="48"/>
      <c r="DN64" s="423"/>
      <c r="DO64">
        <f t="shared" si="198"/>
        <v>423</v>
      </c>
      <c r="DP64" s="2">
        <f t="shared" si="199"/>
        <v>7.05</v>
      </c>
      <c r="DQ64" s="423"/>
      <c r="DR64" s="423"/>
      <c r="DS64" s="423"/>
    </row>
    <row r="65" spans="2:123" x14ac:dyDescent="0.2">
      <c r="B65" s="397" t="s">
        <v>212</v>
      </c>
      <c r="C65" s="453"/>
      <c r="D65" s="397"/>
      <c r="E65" s="450"/>
      <c r="F65" s="446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41" t="s">
        <v>212</v>
      </c>
      <c r="CJ65" s="47"/>
      <c r="CK65" s="1"/>
      <c r="CL65" s="1"/>
      <c r="CM65" s="1"/>
      <c r="CN65" s="1"/>
      <c r="CO65" s="1"/>
      <c r="CP65" s="1"/>
      <c r="CQ65" s="1"/>
      <c r="CR65" s="1"/>
      <c r="CS65" s="1"/>
      <c r="CT65" s="1">
        <v>21</v>
      </c>
      <c r="CU65" s="1">
        <v>8</v>
      </c>
      <c r="CV65" s="1">
        <v>12</v>
      </c>
      <c r="CW65" s="1">
        <v>14</v>
      </c>
      <c r="CX65" s="1">
        <v>21</v>
      </c>
      <c r="CY65" s="1"/>
      <c r="CZ65" s="1"/>
      <c r="DA65" s="1"/>
      <c r="DB65" s="1"/>
      <c r="DC65" s="1"/>
      <c r="DD65" s="1"/>
      <c r="DE65" s="1"/>
      <c r="DF65" s="1"/>
      <c r="DG65" s="1"/>
      <c r="DH65" s="457"/>
      <c r="DI65" s="459">
        <v>29</v>
      </c>
      <c r="DJ65" s="48"/>
      <c r="DK65" s="48"/>
      <c r="DL65" s="48">
        <v>118</v>
      </c>
      <c r="DM65" s="48"/>
      <c r="DN65" s="423"/>
      <c r="DO65">
        <f t="shared" si="198"/>
        <v>223</v>
      </c>
      <c r="DP65" s="2">
        <f t="shared" si="199"/>
        <v>3.7166666666666668</v>
      </c>
      <c r="DQ65" s="423"/>
      <c r="DR65" s="423"/>
      <c r="DS65" s="423"/>
    </row>
    <row r="66" spans="2:123" x14ac:dyDescent="0.2">
      <c r="B66" s="451" t="s">
        <v>213</v>
      </c>
      <c r="C66" s="453"/>
      <c r="D66" s="451"/>
      <c r="E66" s="450"/>
      <c r="F66" s="447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431" t="s">
        <v>213</v>
      </c>
      <c r="CJ66" s="47">
        <v>21</v>
      </c>
      <c r="CK66" s="1">
        <v>25</v>
      </c>
      <c r="CL66" s="1">
        <v>15</v>
      </c>
      <c r="CM66" s="1">
        <v>12</v>
      </c>
      <c r="CN66" s="1">
        <v>16</v>
      </c>
      <c r="CO66" s="1">
        <v>21</v>
      </c>
      <c r="CP66" s="1">
        <v>20</v>
      </c>
      <c r="CQ66" s="1">
        <v>22</v>
      </c>
      <c r="CR66" s="1">
        <v>11</v>
      </c>
      <c r="CS66" s="1">
        <v>22</v>
      </c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457"/>
      <c r="DI66" s="459">
        <v>29</v>
      </c>
      <c r="DJ66" s="48">
        <v>34</v>
      </c>
      <c r="DK66" s="48">
        <v>92</v>
      </c>
      <c r="DL66" s="48">
        <v>118</v>
      </c>
      <c r="DM66" s="48"/>
      <c r="DN66" s="423"/>
      <c r="DO66">
        <f t="shared" si="198"/>
        <v>458</v>
      </c>
      <c r="DP66" s="2">
        <f t="shared" si="199"/>
        <v>7.6333333333333337</v>
      </c>
      <c r="DQ66" s="423"/>
      <c r="DR66" s="423"/>
      <c r="DS66" s="423"/>
    </row>
    <row r="67" spans="2:123" x14ac:dyDescent="0.2">
      <c r="B67" s="397" t="s">
        <v>214</v>
      </c>
      <c r="C67" s="453"/>
      <c r="D67" s="397"/>
      <c r="E67" s="450"/>
      <c r="F67" s="446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41" t="s">
        <v>214</v>
      </c>
      <c r="CJ67" s="47">
        <v>21</v>
      </c>
      <c r="CK67" s="1">
        <v>25</v>
      </c>
      <c r="CL67" s="1">
        <v>15</v>
      </c>
      <c r="CM67" s="1">
        <v>12</v>
      </c>
      <c r="CN67" s="1">
        <v>16</v>
      </c>
      <c r="CO67" s="1">
        <v>21</v>
      </c>
      <c r="CP67" s="1">
        <v>20</v>
      </c>
      <c r="CQ67" s="1">
        <v>22</v>
      </c>
      <c r="CR67" s="1">
        <v>11</v>
      </c>
      <c r="CS67" s="1">
        <v>22</v>
      </c>
      <c r="CT67" s="1">
        <v>21</v>
      </c>
      <c r="CU67" s="1">
        <v>8</v>
      </c>
      <c r="CV67" s="1">
        <v>12</v>
      </c>
      <c r="CW67" s="1">
        <v>14</v>
      </c>
      <c r="CX67" s="1">
        <v>21</v>
      </c>
      <c r="CY67" s="1">
        <v>27</v>
      </c>
      <c r="CZ67" s="1">
        <v>11</v>
      </c>
      <c r="DA67" s="1">
        <v>10</v>
      </c>
      <c r="DB67" s="1">
        <v>11</v>
      </c>
      <c r="DC67" s="1">
        <v>24</v>
      </c>
      <c r="DD67" s="1">
        <v>28</v>
      </c>
      <c r="DE67" s="1">
        <v>17</v>
      </c>
      <c r="DF67" s="1">
        <v>22</v>
      </c>
      <c r="DG67" s="1">
        <v>23</v>
      </c>
      <c r="DH67" s="457">
        <v>27</v>
      </c>
      <c r="DI67" s="459">
        <v>29</v>
      </c>
      <c r="DJ67" s="48">
        <v>34</v>
      </c>
      <c r="DK67" s="48">
        <v>92</v>
      </c>
      <c r="DL67" s="48">
        <v>118</v>
      </c>
      <c r="DM67" s="48">
        <v>102</v>
      </c>
      <c r="DN67" s="423"/>
      <c r="DO67">
        <f t="shared" si="198"/>
        <v>836</v>
      </c>
      <c r="DP67" s="2">
        <f t="shared" si="199"/>
        <v>13.933333333333334</v>
      </c>
      <c r="DQ67" s="423"/>
      <c r="DR67" s="423"/>
      <c r="DS67" s="423"/>
    </row>
    <row r="68" spans="2:123" x14ac:dyDescent="0.2">
      <c r="B68" s="454" t="s">
        <v>215</v>
      </c>
      <c r="C68" s="453"/>
      <c r="D68" s="397"/>
      <c r="E68" s="450"/>
      <c r="F68" s="446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439"/>
      <c r="CG68" s="439"/>
      <c r="CH68" s="439"/>
      <c r="CI68" s="291" t="s">
        <v>215</v>
      </c>
      <c r="CJ68" s="440"/>
      <c r="CK68" s="441"/>
      <c r="CL68" s="441"/>
      <c r="CM68" s="441"/>
      <c r="CN68" s="441"/>
      <c r="CO68" s="441"/>
      <c r="CP68" s="441"/>
      <c r="CQ68" s="441"/>
      <c r="CR68" s="441"/>
      <c r="CS68" s="441"/>
      <c r="CT68" s="441"/>
      <c r="CU68" s="44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457"/>
      <c r="DI68" s="459"/>
      <c r="DJ68" s="48"/>
      <c r="DK68" s="48"/>
      <c r="DL68" s="48"/>
      <c r="DM68" s="48"/>
      <c r="DN68" s="423"/>
      <c r="DO68">
        <f t="shared" si="198"/>
        <v>0</v>
      </c>
      <c r="DP68" s="2">
        <f t="shared" si="199"/>
        <v>0</v>
      </c>
      <c r="DQ68" s="423"/>
      <c r="DR68" s="423"/>
      <c r="DS68" s="423"/>
    </row>
    <row r="69" spans="2:123" x14ac:dyDescent="0.2">
      <c r="B69" s="397" t="s">
        <v>216</v>
      </c>
      <c r="C69" s="453"/>
      <c r="D69" s="397"/>
      <c r="E69" s="450"/>
      <c r="F69" s="446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41" t="s">
        <v>216</v>
      </c>
      <c r="CJ69" s="47"/>
      <c r="CK69" s="1"/>
      <c r="CL69" s="1"/>
      <c r="CM69" s="1"/>
      <c r="CN69" s="1">
        <v>16</v>
      </c>
      <c r="CO69" s="1">
        <v>21</v>
      </c>
      <c r="CP69" s="1">
        <v>20</v>
      </c>
      <c r="CQ69" s="1">
        <v>22</v>
      </c>
      <c r="CR69" s="1">
        <v>11</v>
      </c>
      <c r="CS69" s="1">
        <v>22</v>
      </c>
      <c r="CT69" s="1">
        <v>21</v>
      </c>
      <c r="CU69" s="1">
        <v>8</v>
      </c>
      <c r="CV69" s="1">
        <v>12</v>
      </c>
      <c r="CW69" s="1">
        <v>14</v>
      </c>
      <c r="CX69" s="1">
        <v>21</v>
      </c>
      <c r="CY69" s="1">
        <v>27</v>
      </c>
      <c r="CZ69" s="1">
        <v>11</v>
      </c>
      <c r="DA69" s="1">
        <v>10</v>
      </c>
      <c r="DB69" s="1">
        <v>11</v>
      </c>
      <c r="DC69" s="1">
        <v>24</v>
      </c>
      <c r="DD69" s="1">
        <v>28</v>
      </c>
      <c r="DE69" s="1">
        <v>17</v>
      </c>
      <c r="DF69" s="1">
        <v>22</v>
      </c>
      <c r="DG69" s="1">
        <v>23</v>
      </c>
      <c r="DH69" s="457">
        <v>27</v>
      </c>
      <c r="DI69" s="459">
        <v>29</v>
      </c>
      <c r="DJ69" s="48">
        <v>34</v>
      </c>
      <c r="DK69" s="48">
        <v>92</v>
      </c>
      <c r="DL69" s="48">
        <v>118</v>
      </c>
      <c r="DM69" s="48"/>
      <c r="DN69" s="423"/>
      <c r="DO69">
        <f t="shared" si="198"/>
        <v>661</v>
      </c>
      <c r="DP69" s="2">
        <f t="shared" si="199"/>
        <v>11.016666666666667</v>
      </c>
      <c r="DQ69" s="423"/>
      <c r="DR69" s="423"/>
      <c r="DS69" s="423"/>
    </row>
    <row r="70" spans="2:123" x14ac:dyDescent="0.2">
      <c r="B70" s="451" t="s">
        <v>217</v>
      </c>
      <c r="C70" s="453"/>
      <c r="D70" s="451"/>
      <c r="E70" s="450"/>
      <c r="F70" s="447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431" t="s">
        <v>217</v>
      </c>
      <c r="CJ70" s="47">
        <v>21</v>
      </c>
      <c r="CK70" s="1">
        <v>25</v>
      </c>
      <c r="CL70" s="1">
        <v>15</v>
      </c>
      <c r="CM70" s="1">
        <v>12</v>
      </c>
      <c r="CN70" s="1">
        <v>16</v>
      </c>
      <c r="CO70" s="1">
        <v>21</v>
      </c>
      <c r="CP70" s="1">
        <v>20</v>
      </c>
      <c r="CQ70" s="1">
        <v>22</v>
      </c>
      <c r="CR70" s="1">
        <v>11</v>
      </c>
      <c r="CS70" s="1">
        <v>22</v>
      </c>
      <c r="CT70" s="1">
        <v>21</v>
      </c>
      <c r="CU70" s="1">
        <v>8</v>
      </c>
      <c r="CV70" s="1">
        <v>12</v>
      </c>
      <c r="CW70" s="1">
        <v>14</v>
      </c>
      <c r="CX70" s="1">
        <v>21</v>
      </c>
      <c r="CY70" s="1">
        <v>27</v>
      </c>
      <c r="CZ70" s="1">
        <v>11</v>
      </c>
      <c r="DA70" s="1">
        <v>10</v>
      </c>
      <c r="DB70" s="1">
        <v>11</v>
      </c>
      <c r="DC70" s="1">
        <v>24</v>
      </c>
      <c r="DD70" s="1">
        <v>28</v>
      </c>
      <c r="DE70" s="1">
        <v>17</v>
      </c>
      <c r="DF70" s="1">
        <v>22</v>
      </c>
      <c r="DG70" s="1">
        <v>23</v>
      </c>
      <c r="DH70" s="457">
        <v>27</v>
      </c>
      <c r="DI70" s="459"/>
      <c r="DJ70" s="48">
        <v>34</v>
      </c>
      <c r="DK70" s="48">
        <v>92</v>
      </c>
      <c r="DL70" s="423"/>
      <c r="DM70" s="48">
        <v>102</v>
      </c>
      <c r="DN70" s="423"/>
      <c r="DO70">
        <f t="shared" si="198"/>
        <v>689</v>
      </c>
      <c r="DP70" s="2">
        <f t="shared" si="199"/>
        <v>11.483333333333333</v>
      </c>
      <c r="DQ70" s="423"/>
      <c r="DR70" s="423"/>
      <c r="DS70" s="423"/>
    </row>
    <row r="71" spans="2:123" x14ac:dyDescent="0.2">
      <c r="B71" s="397" t="s">
        <v>218</v>
      </c>
      <c r="C71" s="453"/>
      <c r="D71" s="397"/>
      <c r="E71" s="450"/>
      <c r="F71" s="446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41" t="s">
        <v>218</v>
      </c>
      <c r="CJ71" s="47">
        <v>21</v>
      </c>
      <c r="CK71" s="1">
        <v>25</v>
      </c>
      <c r="CL71" s="1">
        <v>15</v>
      </c>
      <c r="CM71" s="1">
        <v>12</v>
      </c>
      <c r="CN71" s="1">
        <v>16</v>
      </c>
      <c r="CO71" s="1">
        <v>21</v>
      </c>
      <c r="CP71" s="1">
        <v>20</v>
      </c>
      <c r="CQ71" s="1">
        <v>22</v>
      </c>
      <c r="CR71" s="1">
        <v>11</v>
      </c>
      <c r="CS71" s="1">
        <v>22</v>
      </c>
      <c r="CT71" s="1"/>
      <c r="CU71" s="1"/>
      <c r="CV71" s="1"/>
      <c r="CW71" s="1"/>
      <c r="CX71" s="1"/>
      <c r="CY71" s="1"/>
      <c r="CZ71" s="1"/>
      <c r="DA71" s="1"/>
      <c r="DB71" s="1">
        <v>11</v>
      </c>
      <c r="DC71" s="1">
        <v>24</v>
      </c>
      <c r="DD71" s="1">
        <v>28</v>
      </c>
      <c r="DE71" s="1">
        <v>17</v>
      </c>
      <c r="DF71" s="1">
        <v>22</v>
      </c>
      <c r="DG71" s="1">
        <v>23</v>
      </c>
      <c r="DH71" s="457">
        <v>27</v>
      </c>
      <c r="DI71" s="459"/>
      <c r="DJ71" s="48">
        <v>34</v>
      </c>
      <c r="DK71" s="48">
        <v>92</v>
      </c>
      <c r="DL71" s="423"/>
      <c r="DM71" s="48">
        <v>102</v>
      </c>
      <c r="DN71" s="423"/>
      <c r="DO71">
        <f t="shared" si="198"/>
        <v>565</v>
      </c>
      <c r="DP71" s="2">
        <f t="shared" si="199"/>
        <v>9.4166666666666661</v>
      </c>
      <c r="DQ71" s="423"/>
      <c r="DR71" s="423"/>
      <c r="DS71" s="423"/>
    </row>
    <row r="72" spans="2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23"/>
      <c r="DE72" s="423"/>
      <c r="DF72" s="423"/>
      <c r="DG72" s="423"/>
      <c r="DH72" s="23"/>
      <c r="DI72" s="10"/>
      <c r="DJ72" s="48"/>
      <c r="DK72" s="48"/>
      <c r="DL72" s="423"/>
      <c r="DM72" s="423"/>
      <c r="DN72" s="423"/>
      <c r="DO72" s="423"/>
      <c r="DP72" s="423"/>
      <c r="DQ72" s="423"/>
      <c r="DR72" s="423"/>
      <c r="DS72" s="423"/>
    </row>
    <row r="73" spans="2:123" x14ac:dyDescent="0.2">
      <c r="CJ73" s="423"/>
      <c r="CK73" s="423"/>
      <c r="CL73" s="423"/>
      <c r="CM73" s="423"/>
      <c r="CN73" s="423"/>
      <c r="CO73" s="423"/>
      <c r="CP73" s="423"/>
      <c r="CQ73" s="423"/>
      <c r="CR73" s="423"/>
      <c r="CS73" s="22"/>
      <c r="CT73" s="423"/>
      <c r="CU73" s="423"/>
      <c r="CV73" s="423"/>
      <c r="CW73" s="423"/>
      <c r="CX73" s="423"/>
      <c r="CY73" s="423"/>
      <c r="CZ73" s="423"/>
      <c r="DA73" s="423"/>
      <c r="DB73" s="423"/>
      <c r="DC73" s="423"/>
      <c r="DD73" s="423"/>
      <c r="DE73" s="423"/>
      <c r="DF73" s="423"/>
      <c r="DG73" s="423"/>
      <c r="DH73" s="423"/>
      <c r="DI73" s="10"/>
      <c r="DJ73" s="423"/>
      <c r="DK73" s="48"/>
      <c r="DL73" s="423"/>
      <c r="DM73" s="423"/>
      <c r="DN73" s="423"/>
      <c r="DO73" s="423"/>
      <c r="DP73" s="423"/>
      <c r="DQ73" s="423"/>
      <c r="DR73" s="423"/>
      <c r="DS73" s="423"/>
    </row>
  </sheetData>
  <dataConsolidate/>
  <mergeCells count="26">
    <mergeCell ref="CY29:CZ29"/>
    <mergeCell ref="BE3:BG3"/>
    <mergeCell ref="BI3:BN3"/>
    <mergeCell ref="BO3:BT3"/>
    <mergeCell ref="BU3:BZ3"/>
    <mergeCell ref="CA3:CF3"/>
    <mergeCell ref="CG3:CI3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2:D2"/>
    <mergeCell ref="E2:AE2"/>
    <mergeCell ref="AG2:BG2"/>
    <mergeCell ref="BI2:CI2"/>
    <mergeCell ref="CJ2:CN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B446-F2AE-9243-B580-84AEB2B54C2F}">
  <sheetPr codeName="Sheet68"/>
  <dimension ref="A1:GO73"/>
  <sheetViews>
    <sheetView showRuler="0" zoomScale="136" zoomScaleNormal="136" workbookViewId="0">
      <pane xSplit="3" topLeftCell="EE1" activePane="topRight" state="frozen"/>
      <selection pane="topRight" activeCell="EG22" sqref="EG22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3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8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hidden="1" customWidth="1" outlineLevel="1"/>
    <col min="33" max="33" width="3.33203125" hidden="1" customWidth="1" outlineLevel="1"/>
    <col min="34" max="34" width="1.33203125" hidden="1" customWidth="1" outlineLevel="1"/>
    <col min="35" max="35" width="3.33203125" hidden="1" customWidth="1" outlineLevel="1"/>
    <col min="36" max="36" width="1.6640625" hidden="1" customWidth="1" outlineLevel="1"/>
    <col min="37" max="37" width="2.1640625" hidden="1" customWidth="1" outlineLevel="1"/>
    <col min="38" max="38" width="3" hidden="1" customWidth="1" outlineLevel="1"/>
    <col min="39" max="39" width="3.33203125" hidden="1" customWidth="1" outlineLevel="1"/>
    <col min="40" max="40" width="1.33203125" hidden="1" customWidth="1" outlineLevel="1"/>
    <col min="41" max="41" width="2.6640625" hidden="1" customWidth="1" outlineLevel="1"/>
    <col min="42" max="42" width="1.6640625" hidden="1" customWidth="1" outlineLevel="1"/>
    <col min="43" max="43" width="2" hidden="1" customWidth="1" outlineLevel="1"/>
    <col min="44" max="45" width="3.33203125" hidden="1" customWidth="1" outlineLevel="1"/>
    <col min="46" max="46" width="1.33203125" hidden="1" customWidth="1" outlineLevel="1"/>
    <col min="47" max="47" width="2.6640625" hidden="1" customWidth="1" outlineLevel="1"/>
    <col min="48" max="48" width="1.6640625" hidden="1" customWidth="1" outlineLevel="1"/>
    <col min="49" max="49" width="2.33203125" hidden="1" customWidth="1" outlineLevel="1"/>
    <col min="50" max="50" width="3.83203125" hidden="1" customWidth="1" outlineLevel="1"/>
    <col min="51" max="51" width="3.33203125" hidden="1" customWidth="1" outlineLevel="1"/>
    <col min="52" max="52" width="1.33203125" hidden="1" customWidth="1" outlineLevel="1"/>
    <col min="53" max="53" width="3.33203125" hidden="1" customWidth="1" outlineLevel="1"/>
    <col min="54" max="54" width="1.6640625" hidden="1" customWidth="1" outlineLevel="1"/>
    <col min="55" max="55" width="2.1640625" hidden="1" customWidth="1" outlineLevel="1"/>
    <col min="56" max="56" width="3.83203125" hidden="1" customWidth="1" outlineLevel="1"/>
    <col min="57" max="57" width="3.33203125" hidden="1" customWidth="1" outlineLevel="1"/>
    <col min="58" max="58" width="1.33203125" hidden="1" customWidth="1" outlineLevel="1"/>
    <col min="59" max="59" width="3.6640625" hidden="1" customWidth="1" outlineLevel="1"/>
    <col min="60" max="60" width="2.5" hidden="1" customWidth="1" outlineLevel="1"/>
    <col min="61" max="61" width="3.33203125" hidden="1" customWidth="1" outlineLevel="1"/>
    <col min="62" max="62" width="1.33203125" hidden="1" customWidth="1" outlineLevel="1"/>
    <col min="63" max="63" width="2.83203125" hidden="1" customWidth="1" outlineLevel="1"/>
    <col min="64" max="64" width="1.6640625" hidden="1" customWidth="1" outlineLevel="1"/>
    <col min="65" max="65" width="2.1640625" hidden="1" customWidth="1" outlineLevel="1"/>
    <col min="66" max="66" width="2.33203125" hidden="1" customWidth="1" outlineLevel="1"/>
    <col min="67" max="67" width="3.33203125" hidden="1" customWidth="1" outlineLevel="1"/>
    <col min="68" max="68" width="1.33203125" hidden="1" customWidth="1" outlineLevel="1"/>
    <col min="69" max="69" width="2.6640625" hidden="1" customWidth="1" outlineLevel="1"/>
    <col min="70" max="70" width="1.6640625" hidden="1" customWidth="1" outlineLevel="1"/>
    <col min="71" max="71" width="2.1640625" hidden="1" customWidth="1" outlineLevel="1"/>
    <col min="72" max="72" width="2.83203125" hidden="1" customWidth="1" outlineLevel="1"/>
    <col min="73" max="73" width="3.33203125" hidden="1" customWidth="1" outlineLevel="1"/>
    <col min="74" max="74" width="1.33203125" hidden="1" customWidth="1" outlineLevel="1"/>
    <col min="75" max="75" width="2.6640625" hidden="1" customWidth="1" outlineLevel="1"/>
    <col min="76" max="76" width="1.6640625" hidden="1" customWidth="1" outlineLevel="1"/>
    <col min="77" max="77" width="2" hidden="1" customWidth="1" outlineLevel="1"/>
    <col min="78" max="78" width="3.83203125" hidden="1" customWidth="1" outlineLevel="1"/>
    <col min="79" max="79" width="3.33203125" hidden="1" customWidth="1" outlineLevel="1"/>
    <col min="80" max="80" width="1.33203125" hidden="1" customWidth="1" outlineLevel="1"/>
    <col min="81" max="81" width="2.6640625" hidden="1" customWidth="1" outlineLevel="1"/>
    <col min="82" max="82" width="1.6640625" hidden="1" customWidth="1" outlineLevel="1"/>
    <col min="83" max="83" width="2.5" hidden="1" customWidth="1" outlineLevel="1"/>
    <col min="84" max="84" width="3.83203125" hidden="1" customWidth="1" outlineLevel="1"/>
    <col min="85" max="85" width="3.33203125" hidden="1" customWidth="1" outlineLevel="1"/>
    <col min="86" max="86" width="1.33203125" hidden="1" customWidth="1" outlineLevel="1"/>
    <col min="87" max="87" width="3.6640625" hidden="1" customWidth="1" outlineLevel="1"/>
    <col min="88" max="88" width="4.6640625" customWidth="1" collapsed="1"/>
    <col min="89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24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25"/>
      <c r="CX2" s="139"/>
      <c r="CY2" s="139"/>
      <c r="CZ2" s="139"/>
      <c r="DA2" s="139"/>
      <c r="DB2" s="425" t="s">
        <v>68</v>
      </c>
      <c r="DC2" s="425"/>
      <c r="DD2" s="346"/>
      <c r="DE2" s="346"/>
      <c r="DH2" s="346"/>
      <c r="DI2" s="346"/>
      <c r="DT2" s="429"/>
      <c r="DU2" s="429"/>
      <c r="DV2" s="429"/>
      <c r="DW2" s="429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V2" s="429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25"/>
      <c r="GO2" s="429"/>
    </row>
    <row r="3" spans="1:197" ht="20" thickBot="1" x14ac:dyDescent="0.3">
      <c r="A3" s="139"/>
      <c r="B3" s="139"/>
      <c r="C3" s="112" t="s">
        <v>0</v>
      </c>
      <c r="D3" s="426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26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26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26" t="s">
        <v>57</v>
      </c>
      <c r="CK3" s="426" t="s">
        <v>58</v>
      </c>
      <c r="CL3" s="426" t="s">
        <v>247</v>
      </c>
      <c r="CM3" s="426" t="s">
        <v>248</v>
      </c>
      <c r="CN3" s="426" t="s">
        <v>59</v>
      </c>
      <c r="CO3" s="174" t="s">
        <v>61</v>
      </c>
      <c r="CP3" s="426" t="s">
        <v>221</v>
      </c>
      <c r="CQ3" s="174" t="s">
        <v>62</v>
      </c>
      <c r="CR3" s="426" t="s">
        <v>63</v>
      </c>
      <c r="CS3" s="426" t="s">
        <v>64</v>
      </c>
      <c r="CT3" s="426" t="s">
        <v>1</v>
      </c>
      <c r="CU3" s="426" t="s">
        <v>65</v>
      </c>
      <c r="CV3" s="426" t="s">
        <v>66</v>
      </c>
      <c r="CW3" s="426" t="s">
        <v>180</v>
      </c>
      <c r="CX3" s="426" t="s">
        <v>105</v>
      </c>
      <c r="CY3" s="426" t="s">
        <v>28</v>
      </c>
      <c r="CZ3" s="426" t="s">
        <v>100</v>
      </c>
      <c r="DA3" s="426" t="s">
        <v>36</v>
      </c>
      <c r="DB3" s="426" t="s">
        <v>67</v>
      </c>
      <c r="DC3" s="426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26" t="s">
        <v>38</v>
      </c>
      <c r="FG3" s="548" t="s">
        <v>39</v>
      </c>
      <c r="FH3" s="549"/>
      <c r="FI3" s="549"/>
      <c r="FJ3" s="428" t="s">
        <v>102</v>
      </c>
      <c r="FK3" s="550" t="s">
        <v>103</v>
      </c>
      <c r="FL3" s="550"/>
      <c r="FM3" s="550"/>
      <c r="FN3" s="428" t="s">
        <v>102</v>
      </c>
      <c r="FO3" s="549" t="s">
        <v>41</v>
      </c>
      <c r="FP3" s="549"/>
      <c r="FQ3" s="549"/>
      <c r="FR3" s="189" t="s">
        <v>102</v>
      </c>
      <c r="FS3" s="426" t="s">
        <v>57</v>
      </c>
      <c r="FT3" s="426" t="s">
        <v>58</v>
      </c>
      <c r="FU3" s="426" t="s">
        <v>59</v>
      </c>
      <c r="FV3" s="174" t="s">
        <v>61</v>
      </c>
      <c r="FW3" s="426" t="s">
        <v>98</v>
      </c>
      <c r="FX3" s="426" t="s">
        <v>62</v>
      </c>
      <c r="FY3" s="426" t="s">
        <v>63</v>
      </c>
      <c r="FZ3" s="426" t="s">
        <v>64</v>
      </c>
      <c r="GA3" s="426" t="s">
        <v>1</v>
      </c>
      <c r="GB3" s="426" t="s">
        <v>65</v>
      </c>
      <c r="GC3" s="174" t="s">
        <v>66</v>
      </c>
      <c r="GD3" s="199" t="s">
        <v>105</v>
      </c>
      <c r="GE3" s="426" t="s">
        <v>28</v>
      </c>
      <c r="GF3" s="426" t="s">
        <v>100</v>
      </c>
      <c r="GG3" s="173" t="s">
        <v>36</v>
      </c>
      <c r="GH3" s="426"/>
      <c r="GJ3" s="427" t="s">
        <v>106</v>
      </c>
      <c r="GK3" s="428" t="s">
        <v>107</v>
      </c>
      <c r="GL3" s="16" t="s">
        <v>108</v>
      </c>
      <c r="GM3" s="16" t="s">
        <v>109</v>
      </c>
      <c r="GN3" s="428" t="s">
        <v>110</v>
      </c>
      <c r="GO3" s="214" t="s">
        <v>111</v>
      </c>
    </row>
    <row r="4" spans="1:197" x14ac:dyDescent="0.2">
      <c r="A4" s="139"/>
      <c r="B4" s="429" t="s">
        <v>82</v>
      </c>
      <c r="C4" s="41" t="s">
        <v>205</v>
      </c>
      <c r="D4" s="473">
        <v>6.65</v>
      </c>
      <c r="E4" s="114">
        <f t="shared" ref="E4:E18" si="0">IFERROR(AG4+BI4,"0")</f>
        <v>2</v>
      </c>
      <c r="F4" s="424" t="s">
        <v>52</v>
      </c>
      <c r="G4" s="115">
        <f t="shared" ref="G4:G18" si="1">IFERROR(AI4+BK4,"0")</f>
        <v>3</v>
      </c>
      <c r="H4" s="116" t="s">
        <v>53</v>
      </c>
      <c r="I4" s="424">
        <f>IFERROR(AK4+BM4,"0")</f>
        <v>2</v>
      </c>
      <c r="J4" s="115" t="s">
        <v>54</v>
      </c>
      <c r="K4" s="116">
        <f t="shared" ref="K4:K18" si="2">IFERROR(AM4+BO4,"0")</f>
        <v>0</v>
      </c>
      <c r="L4" s="424" t="s">
        <v>52</v>
      </c>
      <c r="M4" s="115">
        <f t="shared" ref="M4:M18" si="3">IFERROR(AO4+BQ4,"0")</f>
        <v>0</v>
      </c>
      <c r="N4" s="116" t="s">
        <v>53</v>
      </c>
      <c r="O4" s="424">
        <f t="shared" ref="O4:O18" si="4">IFERROR(AQ4+BS4,"0")</f>
        <v>0</v>
      </c>
      <c r="P4" s="115" t="s">
        <v>54</v>
      </c>
      <c r="Q4" s="116">
        <f t="shared" ref="Q4:Q18" si="5">IFERROR(AS4+BU4,"0")</f>
        <v>0</v>
      </c>
      <c r="R4" s="424" t="s">
        <v>52</v>
      </c>
      <c r="S4" s="115">
        <f>IFERROR(AU4+BW4,"0")</f>
        <v>0</v>
      </c>
      <c r="T4" s="116" t="s">
        <v>53</v>
      </c>
      <c r="U4" s="424">
        <f t="shared" ref="U4:U18" si="6">IFERROR(AW4+BY4,"0")</f>
        <v>0</v>
      </c>
      <c r="V4" s="115" t="s">
        <v>54</v>
      </c>
      <c r="W4" s="116">
        <f t="shared" ref="W4:W18" si="7">IFERROR(AY4+CA4,"0")</f>
        <v>2</v>
      </c>
      <c r="X4" s="424" t="s">
        <v>52</v>
      </c>
      <c r="Y4" s="115">
        <f t="shared" ref="Y4:Y18" si="8">IFERROR(BA4+CC4,"0")</f>
        <v>3</v>
      </c>
      <c r="Z4" s="116" t="s">
        <v>53</v>
      </c>
      <c r="AA4" s="424">
        <f t="shared" ref="AA4:AA18" si="9">IFERROR(BC4+CE4,"0")</f>
        <v>2</v>
      </c>
      <c r="AB4" s="115" t="s">
        <v>54</v>
      </c>
      <c r="AC4" s="116">
        <f>IFERROR((AE4*EZ4),"0")</f>
        <v>0</v>
      </c>
      <c r="AD4" s="424" t="s">
        <v>52</v>
      </c>
      <c r="AE4" s="117">
        <f>IFERROR((CR4*1),"0")</f>
        <v>0</v>
      </c>
      <c r="AF4" s="425"/>
      <c r="AG4" s="114">
        <f>IFERROR(AM4+AS4+AY4,"0")</f>
        <v>2</v>
      </c>
      <c r="AH4" s="424" t="s">
        <v>52</v>
      </c>
      <c r="AI4" s="115">
        <f t="shared" ref="AI4:AI18" si="10">IFERROR(AO4+AU4+BA4,"0")</f>
        <v>3</v>
      </c>
      <c r="AJ4" s="116" t="s">
        <v>53</v>
      </c>
      <c r="AK4" s="424">
        <f t="shared" ref="AK4:AK18" si="11">IFERROR(AQ4+AW4+BC4,"0")</f>
        <v>2</v>
      </c>
      <c r="AL4" s="115" t="s">
        <v>54</v>
      </c>
      <c r="AM4" s="246">
        <v>0</v>
      </c>
      <c r="AN4" s="244" t="s">
        <v>52</v>
      </c>
      <c r="AO4" s="245">
        <v>0</v>
      </c>
      <c r="AP4" s="246" t="s">
        <v>53</v>
      </c>
      <c r="AQ4" s="244">
        <v>0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2</v>
      </c>
      <c r="AZ4" s="244" t="s">
        <v>52</v>
      </c>
      <c r="BA4" s="245">
        <v>3</v>
      </c>
      <c r="BB4" s="246" t="s">
        <v>53</v>
      </c>
      <c r="BC4" s="244">
        <v>2</v>
      </c>
      <c r="BD4" s="245" t="s">
        <v>54</v>
      </c>
      <c r="BE4" s="116">
        <v>0</v>
      </c>
      <c r="BF4" s="424" t="s">
        <v>52</v>
      </c>
      <c r="BG4" s="117">
        <v>0</v>
      </c>
      <c r="BH4" s="115"/>
      <c r="BI4" s="114">
        <f t="shared" ref="BI4:BI18" si="12">IFERROR(BO4+BU4+CA4,"0")</f>
        <v>0</v>
      </c>
      <c r="BJ4" s="424" t="s">
        <v>52</v>
      </c>
      <c r="BK4" s="115">
        <f>IFERROR(BQ4+BW4+CC4,"0")</f>
        <v>0</v>
      </c>
      <c r="BL4" s="116" t="s">
        <v>53</v>
      </c>
      <c r="BM4" s="424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0</v>
      </c>
      <c r="CD4" s="246" t="s">
        <v>53</v>
      </c>
      <c r="CE4" s="244">
        <v>0</v>
      </c>
      <c r="CF4" s="245" t="s">
        <v>54</v>
      </c>
      <c r="CG4" s="116">
        <v>0</v>
      </c>
      <c r="CH4" s="424" t="s">
        <v>52</v>
      </c>
      <c r="CI4" s="117">
        <v>0</v>
      </c>
      <c r="CJ4" s="140">
        <v>0</v>
      </c>
      <c r="CK4" s="148">
        <f>CL4+CM4</f>
        <v>2</v>
      </c>
      <c r="CL4" s="148">
        <v>1</v>
      </c>
      <c r="CM4" s="148">
        <v>1</v>
      </c>
      <c r="CN4" s="148">
        <f>IFERROR(CJ4+CK4,"0")</f>
        <v>2</v>
      </c>
      <c r="CO4" s="175">
        <v>1</v>
      </c>
      <c r="CP4" s="140">
        <v>2</v>
      </c>
      <c r="CQ4" s="175">
        <v>0</v>
      </c>
      <c r="CR4" s="148">
        <v>0</v>
      </c>
      <c r="CS4" s="148">
        <v>0</v>
      </c>
      <c r="CT4" s="140">
        <v>0</v>
      </c>
      <c r="CU4" s="140">
        <v>0</v>
      </c>
      <c r="CV4" s="148">
        <f>IFERROR((W4*3)+((E4-W4)*2)+EX4,"0")</f>
        <v>6</v>
      </c>
      <c r="CW4" s="140"/>
      <c r="CX4" s="164">
        <f>IFERROR(100*(EH4/EG4),"0")</f>
        <v>177.41013515825651</v>
      </c>
      <c r="CY4" s="147">
        <f t="shared" ref="CY4:CY18" si="14">IFERROR(DU4/EG4,"0")</f>
        <v>0.61079864224072444</v>
      </c>
      <c r="CZ4" s="165">
        <f t="shared" ref="CZ4:CZ18" si="15">IFERROR((EG4/(EG25*DD4)),"0")</f>
        <v>8.9841679442679762E-2</v>
      </c>
      <c r="DA4" s="164">
        <f t="shared" ref="DA4:DA18" si="16">IFERROR(ES4+0.2*(100*ET4*(1-ER4)-ES4),"0")</f>
        <v>134.03372903862672</v>
      </c>
      <c r="DB4" s="141"/>
      <c r="DC4" s="141"/>
      <c r="DD4" s="77">
        <f>IFERROR(D4/($D$21/10),"0")</f>
        <v>0.78679602460955989</v>
      </c>
      <c r="DE4" s="37">
        <f>IFERROR(E4/G4,"0")</f>
        <v>0.66666666666666663</v>
      </c>
      <c r="DF4" s="37">
        <f>IFERROR(W4/Y4,"0")</f>
        <v>0.66666666666666663</v>
      </c>
      <c r="DG4" s="37">
        <f>IFERROR(((E4-W4)+1.5*W4)/G4,"0")</f>
        <v>1</v>
      </c>
      <c r="DH4" s="37">
        <f t="shared" ref="DH4:DH18" si="17">IFERROR(CJ4/(DD4*(CJ25+CK40)),"0")</f>
        <v>0</v>
      </c>
      <c r="DI4" s="37">
        <f t="shared" ref="DI4:DI18" si="18">IFERROR(CK4/(DD4*(CK25+CJ40)),"0")</f>
        <v>0.2310868079289132</v>
      </c>
      <c r="DJ4" s="37">
        <f t="shared" ref="DJ4:DJ18" si="19">IFERROR(CU4/(DD4*(M40)),"0")</f>
        <v>0</v>
      </c>
      <c r="DK4" s="37">
        <f t="shared" ref="DK4:DK18" si="20">IFERROR(CS4/(DD4*EG25),"0")</f>
        <v>0</v>
      </c>
      <c r="DL4" s="37">
        <f t="shared" ref="DL4:DL18" si="21">IFERROR(CO4/(DD4*(E25-E4)),"0")</f>
        <v>0.14121971595655808</v>
      </c>
      <c r="DM4" s="37">
        <f t="shared" ref="DM4:DM18" si="22">IFERROR((CO4+CP4)/(DD4*EG25),"0")</f>
        <v>0.12382741586370247</v>
      </c>
      <c r="DN4" s="37">
        <f>IFERROR(CT4/EG4,"0")</f>
        <v>0</v>
      </c>
      <c r="DO4" s="37" t="str">
        <f>IFERROR(CO4/CT4,"0")</f>
        <v>0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45.148120300751877</v>
      </c>
      <c r="DU4" s="18">
        <f t="shared" ref="DU4:DU20" si="23">IFERROR((DV4+DX4+DY4)*(1-(CJ25/EZ25)*EA4*EC4)+ED4,"0")</f>
        <v>1.3294755956294029</v>
      </c>
      <c r="DV4" s="13">
        <f>IFERROR(E4*(1-0.5*((CV4-EX4)/(2*G4))*DW4),"0")</f>
        <v>1.1528472400396592</v>
      </c>
      <c r="DW4" s="14">
        <f t="shared" ref="DW4:DW20" si="24">IFERROR(((D4/(D25/5))*(1.14*((CO25-CO4)/E25)))+((((CO25/D25)*D4*5-CO4)/((E25/D25)*D4*5-E4))*(1-(D4/(D25/5)))),"0")</f>
        <v>0.84715275996034078</v>
      </c>
      <c r="DX4" s="14">
        <f t="shared" ref="DX4:DX20" si="25">IFERROR(0.5*(((CV25-EX25)-(CV4-EX4))/(2*(G25-G4)))*CO4,"0")</f>
        <v>0.2391304347826087</v>
      </c>
      <c r="DY4" s="14" t="str">
        <f>IFERROR((1-(1-(EX4/EY4))^2)*0.4*EY4,"0")</f>
        <v>0</v>
      </c>
      <c r="DZ4" s="15">
        <f t="shared" ref="DZ4:DZ20" si="26">IFERROR(E25+(1-(1-(EX25/EY25))^2)*EY25*0.4,"0")</f>
        <v>12.151999999999999</v>
      </c>
      <c r="EA4" s="14">
        <f>IFERROR(((1-EB4)*EC4)/((1-EB4)*EC4+EB4*(1-EC4)),"0")</f>
        <v>0.76781802864363946</v>
      </c>
      <c r="EB4" s="14">
        <f t="shared" ref="EB4:EB20" si="27">IFERROR(CJ25/(CJ25+(CN40-CJ40)),"0")</f>
        <v>0.14285714285714285</v>
      </c>
      <c r="EC4" s="14">
        <f t="shared" ref="EC4:EC20" si="28">IFERROR(DZ4/((G25+(EY25*0.4))+CT25),"0")</f>
        <v>0.35532163742690054</v>
      </c>
      <c r="ED4" s="14">
        <f>IFERROR(CJ4*EA4*EC4,"0")</f>
        <v>0</v>
      </c>
      <c r="EE4" s="19">
        <f>IFERROR((G4-E4)*(1-1.07*EB4),"0")</f>
        <v>0.8471428571428572</v>
      </c>
      <c r="EF4" s="67" t="str">
        <f>IFERROR(((1-(EX4/EY4))^2)*0.4*EY4,"0")</f>
        <v>0</v>
      </c>
      <c r="EG4" s="74">
        <f>IFERROR(DU4+EE4+EF4+CT4,"0")</f>
        <v>2.1766184527722601</v>
      </c>
      <c r="EH4" s="27">
        <f>IFERROR((EI4+EJ4+EX4)*(1-(CJ25/DZ4)*EA4*EC4)+EK4,"0")</f>
        <v>3.8615417389428184</v>
      </c>
      <c r="EI4" s="25">
        <f>IFERROR(2*((E4)+(0.5*W4))*(1-0.5*((CV4-EX4)/(2*(G4)))*DW4),"0")</f>
        <v>3.4585417201189776</v>
      </c>
      <c r="EJ4" s="25">
        <f>IFERROR(2*((E25-E4+0.5*(W25-W4))/(E25-E4))*0.5*(((CV25-EX25)-(CV4-EX4))/(2*(G25-G4)))*CO4,"0")</f>
        <v>0.58454106280193241</v>
      </c>
      <c r="EK4" s="26">
        <f t="shared" ref="EK4:EK20" si="29">IFERROR(CJ4*EA4*EC4*(CV25/(E25+(1-(1-(EX25/EY25))^2)*0.4*EY25)),"0")</f>
        <v>0</v>
      </c>
      <c r="EL4" s="29">
        <f>IFERROR((EN4*(1-EM4))/(EN4*(1-EM4)+(1-EN4)*EM4),"0")</f>
        <v>0.87804878048780488</v>
      </c>
      <c r="EM4" s="30">
        <f t="shared" ref="EM4:EM20" si="30">IFERROR(CJ40/(CJ40+CK25),"0")</f>
        <v>0.18181818181818182</v>
      </c>
      <c r="EN4" s="30">
        <f t="shared" ref="EN4:EN20" si="31">IFERROR(E40/G40,"0")</f>
        <v>0.61538461538461542</v>
      </c>
      <c r="EO4" s="31">
        <f>IFERROR(CS4+CU4*EL4*(1-1.07*EM4)+CK4*(1-EL4),"0")</f>
        <v>0.24390243902439024</v>
      </c>
      <c r="EP4" s="31">
        <f t="shared" ref="EP4:EP20" si="32">IFERROR((((G40-E40-CU25)/D25)*EL4*(1-1.07*EM4)+((CT40-CS25)/D25))*D4+(CQ4/CQ25)*0.4*EY40*(1-(EX40/EY40))^2,"0")</f>
        <v>1.3623887810964326</v>
      </c>
      <c r="EQ4" s="31">
        <f>IFERROR(EO4+EP4,"0")</f>
        <v>1.6062912201208228</v>
      </c>
      <c r="ER4" s="93">
        <f t="shared" ref="ER4:ER20" si="33">IFERROR((EQ4*D40)/(EG25*D4),"0")</f>
        <v>0.33150481818685867</v>
      </c>
      <c r="ES4" s="109">
        <f t="shared" ref="ES4:ES20" si="34">IFERROR(100*(CV40/EG25),"0")</f>
        <v>129.41542345961832</v>
      </c>
      <c r="ET4" s="32">
        <f t="shared" ref="ET4:ET20" si="35">IFERROR(CV40/(E40+(1-(1-(EX40/EY40))^2)*EY40*0.4),"0")</f>
        <v>2.2813470538563929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6">D4</f>
        <v>6.65</v>
      </c>
      <c r="FG4" s="182">
        <f t="shared" si="36"/>
        <v>2</v>
      </c>
      <c r="FH4" s="183" t="s">
        <v>52</v>
      </c>
      <c r="FI4" s="184">
        <f>G4</f>
        <v>3</v>
      </c>
      <c r="FJ4" s="193">
        <f>IFERROR(FG4/FI4,"0")</f>
        <v>0.66666666666666663</v>
      </c>
      <c r="FK4" s="185">
        <f t="shared" ref="FK4:FK18" si="37">W4</f>
        <v>2</v>
      </c>
      <c r="FL4" s="183" t="s">
        <v>52</v>
      </c>
      <c r="FM4" s="186">
        <f t="shared" ref="FM4:FM18" si="38">Y4</f>
        <v>3</v>
      </c>
      <c r="FN4" s="193">
        <f>IFERROR(FK4/FM4,"0")</f>
        <v>0.66666666666666663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9">CJ4</f>
        <v>0</v>
      </c>
      <c r="FT4" s="179">
        <f t="shared" si="39"/>
        <v>2</v>
      </c>
      <c r="FU4" s="179">
        <f t="shared" ref="FU4:GC19" si="40">CN4</f>
        <v>2</v>
      </c>
      <c r="FV4" s="187">
        <f t="shared" si="40"/>
        <v>1</v>
      </c>
      <c r="FW4" s="179">
        <f t="shared" si="40"/>
        <v>2</v>
      </c>
      <c r="FX4" s="179">
        <f t="shared" si="40"/>
        <v>0</v>
      </c>
      <c r="FY4" s="179">
        <f t="shared" si="40"/>
        <v>0</v>
      </c>
      <c r="FZ4" s="179">
        <f t="shared" si="40"/>
        <v>0</v>
      </c>
      <c r="GA4" s="179">
        <f t="shared" si="40"/>
        <v>0</v>
      </c>
      <c r="GB4" s="179">
        <f t="shared" si="40"/>
        <v>0</v>
      </c>
      <c r="GC4" s="187">
        <f t="shared" si="40"/>
        <v>6</v>
      </c>
      <c r="GD4" s="203">
        <f>CX4</f>
        <v>177.41013515825651</v>
      </c>
      <c r="GE4" s="179">
        <f>CY4</f>
        <v>0.61079864224072444</v>
      </c>
      <c r="GF4" s="179">
        <f>CZ4</f>
        <v>8.9841679442679762E-2</v>
      </c>
      <c r="GG4" s="258">
        <f>DA4</f>
        <v>134.03372903862672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0.87804878048780488</v>
      </c>
      <c r="GN4" s="24">
        <f>GK4+(GL4/10)+(GJ4*GM4*(1-(CJ26/(CJ26+CK25))))+(CK4*(1-GM4))</f>
        <v>0.24390243902439024</v>
      </c>
      <c r="GO4" s="213">
        <f>GN4/(DD4*EG26)</f>
        <v>9.5354322469352951E-3</v>
      </c>
    </row>
    <row r="5" spans="1:197" x14ac:dyDescent="0.2">
      <c r="A5" s="139"/>
      <c r="B5" s="430" t="s">
        <v>117</v>
      </c>
      <c r="C5" s="431" t="s">
        <v>206</v>
      </c>
      <c r="D5" s="473">
        <v>7.57</v>
      </c>
      <c r="E5" s="114">
        <f t="shared" si="0"/>
        <v>2</v>
      </c>
      <c r="F5" s="424" t="s">
        <v>52</v>
      </c>
      <c r="G5" s="115">
        <f t="shared" si="1"/>
        <v>3</v>
      </c>
      <c r="H5" s="116" t="s">
        <v>53</v>
      </c>
      <c r="I5" s="424">
        <f t="shared" ref="I5:I18" si="41">IFERROR(AK5+BM5,"0")</f>
        <v>1</v>
      </c>
      <c r="J5" s="115" t="s">
        <v>54</v>
      </c>
      <c r="K5" s="116">
        <f t="shared" si="2"/>
        <v>1</v>
      </c>
      <c r="L5" s="424" t="s">
        <v>52</v>
      </c>
      <c r="M5" s="115">
        <f t="shared" si="3"/>
        <v>1</v>
      </c>
      <c r="N5" s="116" t="s">
        <v>53</v>
      </c>
      <c r="O5" s="424">
        <f t="shared" si="4"/>
        <v>0</v>
      </c>
      <c r="P5" s="115" t="s">
        <v>54</v>
      </c>
      <c r="Q5" s="116">
        <f t="shared" si="5"/>
        <v>0</v>
      </c>
      <c r="R5" s="424" t="s">
        <v>52</v>
      </c>
      <c r="S5" s="115">
        <f t="shared" ref="S5:S18" si="42">IFERROR(AU5+BW5,"0")</f>
        <v>0</v>
      </c>
      <c r="T5" s="116" t="s">
        <v>53</v>
      </c>
      <c r="U5" s="424">
        <f t="shared" si="6"/>
        <v>0</v>
      </c>
      <c r="V5" s="115" t="s">
        <v>54</v>
      </c>
      <c r="W5" s="116">
        <f t="shared" si="7"/>
        <v>1</v>
      </c>
      <c r="X5" s="424" t="s">
        <v>52</v>
      </c>
      <c r="Y5" s="115">
        <f t="shared" si="8"/>
        <v>2</v>
      </c>
      <c r="Z5" s="116" t="s">
        <v>53</v>
      </c>
      <c r="AA5" s="424">
        <f t="shared" si="9"/>
        <v>1</v>
      </c>
      <c r="AB5" s="115" t="s">
        <v>54</v>
      </c>
      <c r="AC5" s="116">
        <f t="shared" ref="AC5:AC18" si="43">IFERROR((AE5*EZ5),"0")</f>
        <v>0</v>
      </c>
      <c r="AD5" s="424" t="s">
        <v>52</v>
      </c>
      <c r="AE5" s="117">
        <f t="shared" ref="AE5:AE18" si="44">IFERROR((CR5*1),"0")</f>
        <v>0</v>
      </c>
      <c r="AF5" s="425"/>
      <c r="AG5" s="114">
        <f t="shared" ref="AG5:AG17" si="45">IFERROR(AM5+AS5+AY5,"0")</f>
        <v>2</v>
      </c>
      <c r="AH5" s="424" t="s">
        <v>52</v>
      </c>
      <c r="AI5" s="115">
        <f t="shared" si="10"/>
        <v>3</v>
      </c>
      <c r="AJ5" s="116" t="s">
        <v>53</v>
      </c>
      <c r="AK5" s="424">
        <f t="shared" si="11"/>
        <v>1</v>
      </c>
      <c r="AL5" s="115" t="s">
        <v>54</v>
      </c>
      <c r="AM5" s="246">
        <v>1</v>
      </c>
      <c r="AN5" s="244" t="s">
        <v>52</v>
      </c>
      <c r="AO5" s="248">
        <v>1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1</v>
      </c>
      <c r="AZ5" s="244" t="s">
        <v>52</v>
      </c>
      <c r="BA5" s="248">
        <v>2</v>
      </c>
      <c r="BB5" s="246" t="s">
        <v>53</v>
      </c>
      <c r="BC5" s="244">
        <v>1</v>
      </c>
      <c r="BD5" s="245" t="s">
        <v>54</v>
      </c>
      <c r="BE5" s="116">
        <v>0</v>
      </c>
      <c r="BF5" s="424" t="s">
        <v>52</v>
      </c>
      <c r="BG5" s="117">
        <v>0</v>
      </c>
      <c r="BH5" s="115"/>
      <c r="BI5" s="114">
        <f t="shared" si="12"/>
        <v>0</v>
      </c>
      <c r="BJ5" s="424" t="s">
        <v>52</v>
      </c>
      <c r="BK5" s="115">
        <f t="shared" ref="BK5:BK18" si="46">IFERROR(BQ5+BW5+CC5,"0")</f>
        <v>0</v>
      </c>
      <c r="BL5" s="116" t="s">
        <v>53</v>
      </c>
      <c r="BM5" s="424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24" t="s">
        <v>52</v>
      </c>
      <c r="CI5" s="117">
        <v>0</v>
      </c>
      <c r="CJ5" s="148">
        <v>0</v>
      </c>
      <c r="CK5" s="148">
        <v>2</v>
      </c>
      <c r="CL5" s="148">
        <v>0</v>
      </c>
      <c r="CM5" s="148">
        <v>1</v>
      </c>
      <c r="CN5" s="148">
        <f t="shared" ref="CN5:CN20" si="47">IFERROR(CJ5+CK5,"0")</f>
        <v>2</v>
      </c>
      <c r="CO5" s="175">
        <v>3</v>
      </c>
      <c r="CP5" s="140">
        <v>3</v>
      </c>
      <c r="CQ5" s="175">
        <v>0</v>
      </c>
      <c r="CR5" s="148">
        <v>0</v>
      </c>
      <c r="CS5" s="148">
        <v>1</v>
      </c>
      <c r="CT5" s="140">
        <v>0</v>
      </c>
      <c r="CU5" s="140">
        <v>0</v>
      </c>
      <c r="CV5" s="148">
        <f t="shared" ref="CV5:CV18" si="48">IFERROR((W5*3)+((E5-W5)*2)+EX5,"0")</f>
        <v>5</v>
      </c>
      <c r="CW5" s="140"/>
      <c r="CX5" s="164">
        <f t="shared" ref="CX5:CX18" si="49">IFERROR(100*(EH5/EG5),"0")</f>
        <v>187.04007569760057</v>
      </c>
      <c r="CY5" s="147">
        <f t="shared" si="14"/>
        <v>0.77225030508109438</v>
      </c>
      <c r="CZ5" s="165">
        <f t="shared" si="15"/>
        <v>0.12145998971863171</v>
      </c>
      <c r="DA5" s="164">
        <f t="shared" si="16"/>
        <v>87.898560022093477</v>
      </c>
      <c r="DB5" s="141"/>
      <c r="DC5" s="141"/>
      <c r="DD5" s="77">
        <f t="shared" ref="DD5:DD18" si="50">IFERROR(D5/($D$21/10),"0")</f>
        <v>0.89564600094652158</v>
      </c>
      <c r="DE5" s="37">
        <f t="shared" ref="DE5:DE18" si="51">IFERROR(E5/G5,"0")</f>
        <v>0.66666666666666663</v>
      </c>
      <c r="DF5" s="37">
        <f t="shared" ref="DF5:DF18" si="52">IFERROR(W5/Y5,"0")</f>
        <v>0.5</v>
      </c>
      <c r="DG5" s="37">
        <f t="shared" ref="DG5:DG18" si="53">IFERROR(((E5-W5)+1.5*W5)/G5,"0")</f>
        <v>0.83333333333333337</v>
      </c>
      <c r="DH5" s="37">
        <f t="shared" si="17"/>
        <v>0</v>
      </c>
      <c r="DI5" s="37">
        <f t="shared" si="18"/>
        <v>0.15950179279109264</v>
      </c>
      <c r="DJ5" s="37">
        <f t="shared" si="19"/>
        <v>0</v>
      </c>
      <c r="DK5" s="37">
        <f t="shared" si="20"/>
        <v>3.4343931335890462E-2</v>
      </c>
      <c r="DL5" s="37">
        <f t="shared" si="21"/>
        <v>0.23925268918663897</v>
      </c>
      <c r="DM5" s="37">
        <f t="shared" si="22"/>
        <v>0.2060635880153428</v>
      </c>
      <c r="DN5" s="37">
        <f t="shared" ref="DN5:DN18" si="54">IFERROR(CT5/EG5,"0")</f>
        <v>0</v>
      </c>
      <c r="DO5" s="37" t="str">
        <f t="shared" ref="DO5:DO18" si="55">IFERROR(CO5/CT5,"0")</f>
        <v>0</v>
      </c>
      <c r="DP5" s="66">
        <f t="shared" ref="DP5:DP18" si="56">IFERROR((40/D5)*CQ5,"0")</f>
        <v>0</v>
      </c>
      <c r="DQ5" s="78">
        <f t="shared" ref="DQ5:DQ18" si="57">IFERROR((40/D5)*CR5,"0")</f>
        <v>0</v>
      </c>
      <c r="DR5" s="6"/>
      <c r="DS5" s="36"/>
      <c r="DT5" s="75">
        <f t="shared" ref="DT5:DT18" si="58">IFERROR(((E5*85.91)+(CS5*53.897)+(W5*51.757)+(EX5*46.845)+(CU5*39.19)+(CJ5*39.19)+(CO5*34.677)+(CK5*14.707)-(CQ5*17.174)-((EY5-EX5)*20.091)-((G5-E5)*39.19)-(CT5*53.897))*(1/D5),"0")</f>
        <v>49.105548216644642</v>
      </c>
      <c r="DU5" s="18">
        <f t="shared" si="23"/>
        <v>2.7311233882342014</v>
      </c>
      <c r="DV5" s="13">
        <f t="shared" ref="DV5:DV20" si="59">IFERROR(E5*(1-0.5*((CV5-EX5)/(2*G5))*DW5),"0")</f>
        <v>1.8237209160628416</v>
      </c>
      <c r="DW5" s="14">
        <f t="shared" si="24"/>
        <v>0.21153490072458997</v>
      </c>
      <c r="DX5" s="14">
        <f t="shared" si="25"/>
        <v>1.0434782608695652</v>
      </c>
      <c r="DY5" s="14" t="str">
        <f t="shared" ref="DY5:DY20" si="60">IFERROR((1-(1-(EX5/EY5))^2)*0.4*EY5,"0")</f>
        <v>0</v>
      </c>
      <c r="DZ5" s="15">
        <f t="shared" si="26"/>
        <v>17.467749999999999</v>
      </c>
      <c r="EA5" s="14">
        <f t="shared" ref="EA5:EA20" si="61">IFERROR(((1-EB5)*EC5)/((1-EB5)*EC5+EB5*(1-EC5)),"0")</f>
        <v>0.82104904445375804</v>
      </c>
      <c r="EB5" s="14">
        <f t="shared" si="27"/>
        <v>0.18181818181818182</v>
      </c>
      <c r="EC5" s="14">
        <f t="shared" si="28"/>
        <v>0.50484826589595366</v>
      </c>
      <c r="ED5" s="14">
        <f t="shared" ref="ED5:ED20" si="62">IFERROR(CJ5*EA5*EC5,"0")</f>
        <v>0</v>
      </c>
      <c r="EE5" s="19">
        <f t="shared" ref="EE5:EE20" si="63">IFERROR((G5-E5)*(1-1.07*EB5),"0")</f>
        <v>0.80545454545454542</v>
      </c>
      <c r="EF5" s="67" t="str">
        <f t="shared" ref="EF5:EF20" si="64">IFERROR(((1-(EX5/EY5))^2)*0.4*EY5,"0")</f>
        <v>0</v>
      </c>
      <c r="EG5" s="74">
        <f t="shared" ref="EG5:EG20" si="65">IFERROR(DU5+EE5+EF5+CT5,"0")</f>
        <v>3.5365779336887471</v>
      </c>
      <c r="EH5" s="27">
        <f t="shared" ref="EH5:EH20" si="66">IFERROR((EI5+EJ5+EX5)*(1-(CJ26/DZ5)*EA5*EC5)+EK5,"0")</f>
        <v>6.6148180442760705</v>
      </c>
      <c r="EI5" s="25">
        <f t="shared" ref="EI5:EI20" si="67">IFERROR(2*((E5)+(0.5*W5))*(1-0.5*((CV5-EX5)/(2*(G5)))*DW5),"0")</f>
        <v>4.5593022901571043</v>
      </c>
      <c r="EJ5" s="25">
        <f t="shared" ref="EJ5:EJ20" si="68">IFERROR(2*((E26-E5+0.5*(W26-W5))/(E26-E5))*0.5*(((CV26-EX26)-(CV5-EX5))/(2*(G26-G5)))*CO5,"0")</f>
        <v>2.3850931677018634</v>
      </c>
      <c r="EK5" s="26">
        <f t="shared" si="29"/>
        <v>0</v>
      </c>
      <c r="EL5" s="29">
        <f t="shared" ref="EL5:EL20" si="69">IFERROR((EN5*(1-EM5))/(EN5*(1-EM5)+(1-EN5)*EM5),"0")</f>
        <v>0.81481481481481488</v>
      </c>
      <c r="EM5" s="30">
        <f t="shared" si="30"/>
        <v>0.14285714285714285</v>
      </c>
      <c r="EN5" s="30">
        <f t="shared" si="31"/>
        <v>0.42307692307692307</v>
      </c>
      <c r="EO5" s="31">
        <f t="shared" ref="EO5:EO20" si="70">IFERROR(CS5+CU5*EL5*(1-1.07*EM5)+CK5*(1-EL5),"0")</f>
        <v>1.3703703703703702</v>
      </c>
      <c r="EP5" s="31">
        <f t="shared" si="32"/>
        <v>2.9294732532546068</v>
      </c>
      <c r="EQ5" s="31">
        <f t="shared" ref="EQ5:EQ20" si="71">IFERROR(EO5+EP5,"0")</f>
        <v>4.2998436236249766</v>
      </c>
      <c r="ER5" s="93">
        <f t="shared" si="33"/>
        <v>0.7383676708242134</v>
      </c>
      <c r="ES5" s="109">
        <f t="shared" si="34"/>
        <v>93.510414463627555</v>
      </c>
      <c r="ET5" s="32">
        <f t="shared" si="35"/>
        <v>2.5016458196181697</v>
      </c>
      <c r="EV5" s="277"/>
      <c r="EW5" s="278"/>
      <c r="EX5" s="37">
        <f>AC5</f>
        <v>0</v>
      </c>
      <c r="EY5" s="72">
        <f t="shared" ref="EY5:EY16" si="72">AE5</f>
        <v>0</v>
      </c>
      <c r="EZ5" s="7">
        <v>0.75</v>
      </c>
      <c r="FB5" s="41"/>
      <c r="FC5" s="139"/>
      <c r="FD5" s="429" t="s">
        <v>82</v>
      </c>
      <c r="FE5" s="41" t="s">
        <v>234</v>
      </c>
      <c r="FF5" s="147">
        <f t="shared" si="36"/>
        <v>7.57</v>
      </c>
      <c r="FG5" s="144">
        <f t="shared" si="36"/>
        <v>2</v>
      </c>
      <c r="FH5" s="424" t="s">
        <v>52</v>
      </c>
      <c r="FI5" s="145">
        <f t="shared" ref="FI5:FI23" si="73">G5</f>
        <v>3</v>
      </c>
      <c r="FJ5" s="194">
        <f t="shared" ref="FJ5:FJ23" si="74">IFERROR(FG5/FI5,"0")</f>
        <v>0.66666666666666663</v>
      </c>
      <c r="FK5" s="110">
        <f t="shared" si="37"/>
        <v>1</v>
      </c>
      <c r="FL5" s="424" t="s">
        <v>52</v>
      </c>
      <c r="FM5" s="168">
        <f t="shared" si="38"/>
        <v>2</v>
      </c>
      <c r="FN5" s="194">
        <f t="shared" ref="FN5:FN23" si="75">IFERROR(FK5/FM5,"0")</f>
        <v>0.5</v>
      </c>
      <c r="FO5" s="262">
        <f t="shared" ref="FO5:FO18" si="76">EV5</f>
        <v>0</v>
      </c>
      <c r="FP5" s="424" t="s">
        <v>52</v>
      </c>
      <c r="FQ5" s="274">
        <f t="shared" ref="FQ5:FQ17" si="77">EW5</f>
        <v>0</v>
      </c>
      <c r="FR5" s="197" t="str">
        <f t="shared" ref="FR5:FR23" si="78">IFERROR(FO5/FQ5,"0")</f>
        <v>0</v>
      </c>
      <c r="FS5" s="140">
        <f t="shared" si="39"/>
        <v>0</v>
      </c>
      <c r="FT5" s="140">
        <f t="shared" si="39"/>
        <v>2</v>
      </c>
      <c r="FU5" s="140">
        <f t="shared" si="40"/>
        <v>2</v>
      </c>
      <c r="FV5" s="175">
        <f t="shared" si="40"/>
        <v>3</v>
      </c>
      <c r="FW5" s="140">
        <f t="shared" si="40"/>
        <v>3</v>
      </c>
      <c r="FX5" s="140">
        <f t="shared" si="40"/>
        <v>0</v>
      </c>
      <c r="FY5" s="140">
        <f t="shared" si="40"/>
        <v>0</v>
      </c>
      <c r="FZ5" s="140">
        <f t="shared" si="40"/>
        <v>1</v>
      </c>
      <c r="GA5" s="140">
        <f t="shared" si="40"/>
        <v>0</v>
      </c>
      <c r="GB5" s="140">
        <f t="shared" si="40"/>
        <v>0</v>
      </c>
      <c r="GC5" s="175">
        <f t="shared" si="40"/>
        <v>5</v>
      </c>
      <c r="GD5" s="202">
        <f t="shared" ref="GD5:GG18" si="79">CX5</f>
        <v>187.04007569760057</v>
      </c>
      <c r="GE5" s="140">
        <f t="shared" si="79"/>
        <v>0.77225030508109438</v>
      </c>
      <c r="GF5" s="140">
        <f t="shared" si="79"/>
        <v>0.12145998971863171</v>
      </c>
      <c r="GG5" s="259">
        <f t="shared" si="79"/>
        <v>87.898560022093477</v>
      </c>
      <c r="GH5" s="140"/>
      <c r="GJ5" s="82"/>
      <c r="GK5" s="24"/>
      <c r="GL5" s="185">
        <f>(CQ5/CQ27)*(EY28-EX28)</f>
        <v>0</v>
      </c>
      <c r="GM5" s="185">
        <f>((E28/G28)*(1-(CJ28/(CJ28+CK27))))/((E28/G28)*(1-(CJ28/(CJ28+CK27)))+((1-(E28/G28)))*(CJ28/(CJ28+CK27)))</f>
        <v>0.76744186046511631</v>
      </c>
      <c r="GN5" s="24">
        <f>GK5+(GL5/10)+(GJ5*GM5*(1-(CJ28/(CJ28+CK27))))+(CK5*(1-GM5))</f>
        <v>0.46511627906976738</v>
      </c>
      <c r="GO5" s="213">
        <f>GN5/(DD5*EG28)</f>
        <v>1.686486468400605E-2</v>
      </c>
    </row>
    <row r="6" spans="1:197" x14ac:dyDescent="0.2">
      <c r="A6" s="139"/>
      <c r="B6" s="89" t="s">
        <v>82</v>
      </c>
      <c r="C6" s="41" t="s">
        <v>207</v>
      </c>
      <c r="D6" s="473">
        <v>7.25</v>
      </c>
      <c r="E6" s="114">
        <f t="shared" si="0"/>
        <v>1</v>
      </c>
      <c r="F6" s="424" t="s">
        <v>52</v>
      </c>
      <c r="G6" s="115">
        <f t="shared" si="1"/>
        <v>6</v>
      </c>
      <c r="H6" s="116" t="s">
        <v>53</v>
      </c>
      <c r="I6" s="424">
        <f t="shared" si="41"/>
        <v>1</v>
      </c>
      <c r="J6" s="115" t="s">
        <v>54</v>
      </c>
      <c r="K6" s="116">
        <f t="shared" si="2"/>
        <v>1</v>
      </c>
      <c r="L6" s="424" t="s">
        <v>52</v>
      </c>
      <c r="M6" s="115">
        <f t="shared" si="3"/>
        <v>2</v>
      </c>
      <c r="N6" s="116" t="s">
        <v>53</v>
      </c>
      <c r="O6" s="424">
        <f t="shared" si="4"/>
        <v>1</v>
      </c>
      <c r="P6" s="115" t="s">
        <v>54</v>
      </c>
      <c r="Q6" s="116">
        <f t="shared" si="5"/>
        <v>0</v>
      </c>
      <c r="R6" s="424" t="s">
        <v>52</v>
      </c>
      <c r="S6" s="115">
        <f t="shared" si="42"/>
        <v>0</v>
      </c>
      <c r="T6" s="116" t="s">
        <v>53</v>
      </c>
      <c r="U6" s="424">
        <f t="shared" si="6"/>
        <v>0</v>
      </c>
      <c r="V6" s="115" t="s">
        <v>54</v>
      </c>
      <c r="W6" s="116">
        <f t="shared" si="7"/>
        <v>0</v>
      </c>
      <c r="X6" s="424" t="s">
        <v>52</v>
      </c>
      <c r="Y6" s="115">
        <f t="shared" si="8"/>
        <v>4</v>
      </c>
      <c r="Z6" s="116" t="s">
        <v>53</v>
      </c>
      <c r="AA6" s="424">
        <f t="shared" si="9"/>
        <v>0</v>
      </c>
      <c r="AB6" s="115" t="s">
        <v>54</v>
      </c>
      <c r="AC6" s="116">
        <f t="shared" si="43"/>
        <v>0.7</v>
      </c>
      <c r="AD6" s="424" t="s">
        <v>52</v>
      </c>
      <c r="AE6" s="117">
        <f t="shared" si="44"/>
        <v>1</v>
      </c>
      <c r="AF6" s="425"/>
      <c r="AG6" s="114">
        <f t="shared" si="45"/>
        <v>1</v>
      </c>
      <c r="AH6" s="424" t="s">
        <v>52</v>
      </c>
      <c r="AI6" s="115">
        <f t="shared" si="10"/>
        <v>6</v>
      </c>
      <c r="AJ6" s="116" t="s">
        <v>53</v>
      </c>
      <c r="AK6" s="424">
        <f t="shared" si="11"/>
        <v>1</v>
      </c>
      <c r="AL6" s="115" t="s">
        <v>54</v>
      </c>
      <c r="AM6" s="246">
        <v>1</v>
      </c>
      <c r="AN6" s="244" t="s">
        <v>52</v>
      </c>
      <c r="AO6" s="245">
        <v>2</v>
      </c>
      <c r="AP6" s="246" t="s">
        <v>53</v>
      </c>
      <c r="AQ6" s="244">
        <v>1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4</v>
      </c>
      <c r="BB6" s="246" t="s">
        <v>53</v>
      </c>
      <c r="BC6" s="244">
        <v>0</v>
      </c>
      <c r="BD6" s="245" t="s">
        <v>54</v>
      </c>
      <c r="BE6" s="116">
        <v>0</v>
      </c>
      <c r="BF6" s="424" t="s">
        <v>52</v>
      </c>
      <c r="BG6" s="117">
        <v>0</v>
      </c>
      <c r="BH6" s="115"/>
      <c r="BI6" s="114">
        <f t="shared" si="12"/>
        <v>0</v>
      </c>
      <c r="BJ6" s="424" t="s">
        <v>52</v>
      </c>
      <c r="BK6" s="115">
        <f t="shared" si="46"/>
        <v>0</v>
      </c>
      <c r="BL6" s="116" t="s">
        <v>53</v>
      </c>
      <c r="BM6" s="424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24" t="s">
        <v>52</v>
      </c>
      <c r="CI6" s="117">
        <v>0</v>
      </c>
      <c r="CJ6" s="140">
        <v>0</v>
      </c>
      <c r="CK6" s="148">
        <f t="shared" ref="CK6:CK18" si="80">CL6+CM6</f>
        <v>0</v>
      </c>
      <c r="CL6" s="148">
        <v>0</v>
      </c>
      <c r="CM6" s="148">
        <v>0</v>
      </c>
      <c r="CN6" s="148">
        <f t="shared" si="47"/>
        <v>0</v>
      </c>
      <c r="CO6" s="175">
        <v>2</v>
      </c>
      <c r="CP6" s="140">
        <v>1</v>
      </c>
      <c r="CQ6" s="175">
        <v>0</v>
      </c>
      <c r="CR6" s="148">
        <v>1</v>
      </c>
      <c r="CS6" s="148">
        <v>2</v>
      </c>
      <c r="CT6" s="140">
        <v>2</v>
      </c>
      <c r="CU6" s="140">
        <v>0</v>
      </c>
      <c r="CV6" s="148">
        <f t="shared" si="48"/>
        <v>2.7</v>
      </c>
      <c r="CW6" s="140"/>
      <c r="CX6" s="164">
        <f t="shared" si="49"/>
        <v>50.115934636908541</v>
      </c>
      <c r="CY6" s="147">
        <f t="shared" si="14"/>
        <v>0.22933721375392332</v>
      </c>
      <c r="CZ6" s="165">
        <f t="shared" si="15"/>
        <v>0.30810664924379494</v>
      </c>
      <c r="DA6" s="164">
        <f t="shared" si="16"/>
        <v>119.05611904236508</v>
      </c>
      <c r="DB6" s="141"/>
      <c r="DC6" s="141"/>
      <c r="DD6" s="77">
        <f t="shared" si="50"/>
        <v>0.85778513961192615</v>
      </c>
      <c r="DE6" s="37">
        <f t="shared" si="51"/>
        <v>0.16666666666666666</v>
      </c>
      <c r="DF6" s="37">
        <f t="shared" si="52"/>
        <v>0</v>
      </c>
      <c r="DG6" s="37">
        <f t="shared" si="53"/>
        <v>0.16666666666666666</v>
      </c>
      <c r="DH6" s="37">
        <f t="shared" si="17"/>
        <v>0</v>
      </c>
      <c r="DI6" s="37">
        <f t="shared" si="18"/>
        <v>0</v>
      </c>
      <c r="DJ6" s="37">
        <f t="shared" si="19"/>
        <v>0</v>
      </c>
      <c r="DK6" s="37">
        <f t="shared" si="20"/>
        <v>7.5719753148838762E-2</v>
      </c>
      <c r="DL6" s="37">
        <f t="shared" si="21"/>
        <v>0.2331586206896552</v>
      </c>
      <c r="DM6" s="37">
        <f t="shared" si="22"/>
        <v>0.11357962972325814</v>
      </c>
      <c r="DN6" s="37">
        <f t="shared" si="54"/>
        <v>0.24575825719659866</v>
      </c>
      <c r="DO6" s="37">
        <f t="shared" si="55"/>
        <v>1</v>
      </c>
      <c r="DP6" s="66">
        <f t="shared" si="56"/>
        <v>0</v>
      </c>
      <c r="DQ6" s="78">
        <f t="shared" si="57"/>
        <v>5.5172413793103452</v>
      </c>
      <c r="DR6" s="6"/>
      <c r="DS6" s="36"/>
      <c r="DT6" s="75">
        <f t="shared" si="58"/>
        <v>-1.9202482758620736</v>
      </c>
      <c r="DU6" s="18">
        <f t="shared" si="23"/>
        <v>1.8663642586825555</v>
      </c>
      <c r="DV6" s="13">
        <f t="shared" si="59"/>
        <v>0.94010685966176666</v>
      </c>
      <c r="DW6" s="14">
        <f t="shared" si="24"/>
        <v>0.71871768405880032</v>
      </c>
      <c r="DX6" s="14">
        <f t="shared" si="25"/>
        <v>0.65</v>
      </c>
      <c r="DY6" s="14">
        <f t="shared" si="60"/>
        <v>0.36399999999999999</v>
      </c>
      <c r="DZ6" s="15">
        <f t="shared" si="26"/>
        <v>12.151999999999999</v>
      </c>
      <c r="EA6" s="14">
        <f t="shared" si="61"/>
        <v>0.76781802864363946</v>
      </c>
      <c r="EB6" s="14">
        <f t="shared" si="27"/>
        <v>0.14285714285714285</v>
      </c>
      <c r="EC6" s="14">
        <f t="shared" si="28"/>
        <v>0.35532163742690054</v>
      </c>
      <c r="ED6" s="14">
        <f t="shared" si="62"/>
        <v>0</v>
      </c>
      <c r="EE6" s="19">
        <f t="shared" si="63"/>
        <v>4.2357142857142858</v>
      </c>
      <c r="EF6" s="67">
        <f t="shared" si="64"/>
        <v>3.6000000000000011E-2</v>
      </c>
      <c r="EG6" s="74">
        <f t="shared" si="65"/>
        <v>8.1380785443968406</v>
      </c>
      <c r="EH6" s="27">
        <f t="shared" si="66"/>
        <v>4.0784741240101985</v>
      </c>
      <c r="EI6" s="25">
        <f t="shared" si="67"/>
        <v>1.8802137193235333</v>
      </c>
      <c r="EJ6" s="25">
        <f t="shared" si="68"/>
        <v>1.6900000000000002</v>
      </c>
      <c r="EK6" s="26">
        <f t="shared" si="29"/>
        <v>0</v>
      </c>
      <c r="EL6" s="29">
        <f t="shared" si="69"/>
        <v>0.87804878048780488</v>
      </c>
      <c r="EM6" s="30">
        <f t="shared" si="30"/>
        <v>0.18181818181818182</v>
      </c>
      <c r="EN6" s="30">
        <f t="shared" si="31"/>
        <v>0.61538461538461542</v>
      </c>
      <c r="EO6" s="31">
        <f t="shared" si="70"/>
        <v>2</v>
      </c>
      <c r="EP6" s="31">
        <f t="shared" si="32"/>
        <v>1.4853110771352085</v>
      </c>
      <c r="EQ6" s="31">
        <f t="shared" si="71"/>
        <v>3.4853110771352087</v>
      </c>
      <c r="ER6" s="93">
        <f t="shared" si="33"/>
        <v>0.65976723601897835</v>
      </c>
      <c r="ES6" s="109">
        <f t="shared" si="34"/>
        <v>129.41542345961832</v>
      </c>
      <c r="ET6" s="32">
        <f t="shared" si="35"/>
        <v>2.2813470538563929</v>
      </c>
      <c r="EV6" s="277"/>
      <c r="EW6" s="278"/>
      <c r="EX6" s="37">
        <f t="shared" ref="EX6:EX16" si="81">AC6</f>
        <v>0.7</v>
      </c>
      <c r="EY6" s="72">
        <f t="shared" si="72"/>
        <v>1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7.25</v>
      </c>
      <c r="FG6" s="182">
        <f t="shared" si="36"/>
        <v>1</v>
      </c>
      <c r="FH6" s="183" t="s">
        <v>52</v>
      </c>
      <c r="FI6" s="184">
        <f t="shared" si="73"/>
        <v>6</v>
      </c>
      <c r="FJ6" s="193">
        <f t="shared" si="74"/>
        <v>0.16666666666666666</v>
      </c>
      <c r="FK6" s="185">
        <f t="shared" si="37"/>
        <v>0</v>
      </c>
      <c r="FL6" s="183" t="s">
        <v>52</v>
      </c>
      <c r="FM6" s="186">
        <f t="shared" si="38"/>
        <v>4</v>
      </c>
      <c r="FN6" s="193">
        <f t="shared" si="75"/>
        <v>0</v>
      </c>
      <c r="FO6" s="261">
        <f t="shared" si="76"/>
        <v>0</v>
      </c>
      <c r="FP6" s="183" t="s">
        <v>52</v>
      </c>
      <c r="FQ6" s="268">
        <f t="shared" si="77"/>
        <v>0</v>
      </c>
      <c r="FR6" s="196" t="str">
        <f t="shared" si="78"/>
        <v>0</v>
      </c>
      <c r="FS6" s="179">
        <f t="shared" si="39"/>
        <v>0</v>
      </c>
      <c r="FT6" s="179">
        <f t="shared" si="39"/>
        <v>0</v>
      </c>
      <c r="FU6" s="179">
        <f t="shared" si="40"/>
        <v>0</v>
      </c>
      <c r="FV6" s="187">
        <f t="shared" si="40"/>
        <v>2</v>
      </c>
      <c r="FW6" s="179">
        <f t="shared" si="40"/>
        <v>1</v>
      </c>
      <c r="FX6" s="179">
        <f t="shared" si="40"/>
        <v>0</v>
      </c>
      <c r="FY6" s="179">
        <f t="shared" si="40"/>
        <v>1</v>
      </c>
      <c r="FZ6" s="179">
        <f t="shared" si="40"/>
        <v>2</v>
      </c>
      <c r="GA6" s="179">
        <f t="shared" si="40"/>
        <v>2</v>
      </c>
      <c r="GB6" s="179">
        <f t="shared" si="40"/>
        <v>0</v>
      </c>
      <c r="GC6" s="187">
        <f t="shared" si="40"/>
        <v>2.7</v>
      </c>
      <c r="GD6" s="203">
        <f t="shared" si="79"/>
        <v>50.115934636908541</v>
      </c>
      <c r="GE6" s="179">
        <f t="shared" si="79"/>
        <v>0.22933721375392332</v>
      </c>
      <c r="GF6" s="179">
        <f t="shared" si="79"/>
        <v>0.30810664924379494</v>
      </c>
      <c r="GG6" s="258">
        <f t="shared" si="79"/>
        <v>119.05611904236508</v>
      </c>
      <c r="GH6" s="179"/>
      <c r="GJ6" s="82"/>
      <c r="GK6" s="24"/>
      <c r="GL6" s="185">
        <f>(CQ6/CQ29)*(EY30-EX30)</f>
        <v>0</v>
      </c>
      <c r="GM6" s="185">
        <f>((E30/G30)*(1-(CJ30/(CJ30+CK29))))/((E30/G30)*(1-(CJ30/(CJ30+CK29)))+((1-(E30/G30)))*(CJ30/(CJ30+CK29)))</f>
        <v>0.87804878048780488</v>
      </c>
      <c r="GN6" s="24">
        <f>GK6+(GL6/10)+(GJ6*GM6*(1-(CJ30/(CJ30+CK29))))+(CK6*(1-GM6))</f>
        <v>0</v>
      </c>
      <c r="GO6" s="213">
        <f>GN6/(DD6*EG30)</f>
        <v>0</v>
      </c>
    </row>
    <row r="7" spans="1:197" x14ac:dyDescent="0.2">
      <c r="A7" s="139"/>
      <c r="B7" s="89" t="s">
        <v>82</v>
      </c>
      <c r="C7" s="41" t="s">
        <v>175</v>
      </c>
      <c r="D7" s="473">
        <v>7.22</v>
      </c>
      <c r="E7" s="114">
        <f t="shared" si="0"/>
        <v>3</v>
      </c>
      <c r="F7" s="424" t="s">
        <v>52</v>
      </c>
      <c r="G7" s="115">
        <f t="shared" si="1"/>
        <v>5</v>
      </c>
      <c r="H7" s="116" t="s">
        <v>53</v>
      </c>
      <c r="I7" s="424">
        <f t="shared" si="41"/>
        <v>2</v>
      </c>
      <c r="J7" s="115" t="s">
        <v>54</v>
      </c>
      <c r="K7" s="116">
        <f t="shared" si="2"/>
        <v>2</v>
      </c>
      <c r="L7" s="424" t="s">
        <v>52</v>
      </c>
      <c r="M7" s="115">
        <f t="shared" si="3"/>
        <v>2</v>
      </c>
      <c r="N7" s="116" t="s">
        <v>53</v>
      </c>
      <c r="O7" s="424">
        <f t="shared" si="4"/>
        <v>1</v>
      </c>
      <c r="P7" s="115" t="s">
        <v>54</v>
      </c>
      <c r="Q7" s="116">
        <f t="shared" si="5"/>
        <v>0</v>
      </c>
      <c r="R7" s="424" t="s">
        <v>52</v>
      </c>
      <c r="S7" s="115">
        <f t="shared" si="42"/>
        <v>0</v>
      </c>
      <c r="T7" s="116" t="s">
        <v>53</v>
      </c>
      <c r="U7" s="424">
        <f t="shared" si="6"/>
        <v>0</v>
      </c>
      <c r="V7" s="115" t="s">
        <v>54</v>
      </c>
      <c r="W7" s="116">
        <f t="shared" si="7"/>
        <v>1</v>
      </c>
      <c r="X7" s="424" t="s">
        <v>52</v>
      </c>
      <c r="Y7" s="115">
        <f t="shared" si="8"/>
        <v>3</v>
      </c>
      <c r="Z7" s="116" t="s">
        <v>53</v>
      </c>
      <c r="AA7" s="424">
        <f t="shared" si="9"/>
        <v>1</v>
      </c>
      <c r="AB7" s="115" t="s">
        <v>54</v>
      </c>
      <c r="AC7" s="116">
        <f t="shared" si="43"/>
        <v>1.7</v>
      </c>
      <c r="AD7" s="424" t="s">
        <v>52</v>
      </c>
      <c r="AE7" s="117">
        <f t="shared" si="44"/>
        <v>2</v>
      </c>
      <c r="AF7" s="425"/>
      <c r="AG7" s="114">
        <f>IFERROR(AM7+AS7+AY7,"0")</f>
        <v>2</v>
      </c>
      <c r="AH7" s="424" t="s">
        <v>52</v>
      </c>
      <c r="AI7" s="115">
        <f t="shared" si="10"/>
        <v>3</v>
      </c>
      <c r="AJ7" s="116" t="s">
        <v>53</v>
      </c>
      <c r="AK7" s="424">
        <f t="shared" si="11"/>
        <v>2</v>
      </c>
      <c r="AL7" s="115" t="s">
        <v>54</v>
      </c>
      <c r="AM7" s="246">
        <v>1</v>
      </c>
      <c r="AN7" s="244" t="s">
        <v>52</v>
      </c>
      <c r="AO7" s="245">
        <v>1</v>
      </c>
      <c r="AP7" s="246" t="s">
        <v>53</v>
      </c>
      <c r="AQ7" s="244">
        <v>1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1</v>
      </c>
      <c r="AZ7" s="244" t="s">
        <v>52</v>
      </c>
      <c r="BA7" s="245">
        <v>2</v>
      </c>
      <c r="BB7" s="246" t="s">
        <v>53</v>
      </c>
      <c r="BC7" s="244">
        <v>1</v>
      </c>
      <c r="BD7" s="245" t="s">
        <v>54</v>
      </c>
      <c r="BE7" s="116">
        <v>0</v>
      </c>
      <c r="BF7" s="424" t="s">
        <v>52</v>
      </c>
      <c r="BG7" s="117">
        <v>0</v>
      </c>
      <c r="BH7" s="115"/>
      <c r="BI7" s="114">
        <f>IFERROR(BO7+BU7+CA7,"0")</f>
        <v>1</v>
      </c>
      <c r="BJ7" s="424" t="s">
        <v>52</v>
      </c>
      <c r="BK7" s="115">
        <f t="shared" si="46"/>
        <v>2</v>
      </c>
      <c r="BL7" s="116" t="s">
        <v>53</v>
      </c>
      <c r="BM7" s="424">
        <f t="shared" si="13"/>
        <v>0</v>
      </c>
      <c r="BN7" s="115" t="s">
        <v>54</v>
      </c>
      <c r="BO7" s="246">
        <v>1</v>
      </c>
      <c r="BP7" s="244" t="s">
        <v>52</v>
      </c>
      <c r="BQ7" s="245">
        <v>1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1</v>
      </c>
      <c r="CD7" s="246" t="s">
        <v>53</v>
      </c>
      <c r="CE7" s="244">
        <v>0</v>
      </c>
      <c r="CF7" s="245" t="s">
        <v>54</v>
      </c>
      <c r="CG7" s="116">
        <v>0</v>
      </c>
      <c r="CH7" s="424" t="s">
        <v>52</v>
      </c>
      <c r="CI7" s="117">
        <v>0</v>
      </c>
      <c r="CJ7" s="140">
        <v>0</v>
      </c>
      <c r="CK7" s="148">
        <f t="shared" si="80"/>
        <v>0</v>
      </c>
      <c r="CL7" s="148">
        <v>0</v>
      </c>
      <c r="CM7" s="148">
        <v>0</v>
      </c>
      <c r="CN7" s="148">
        <f t="shared" si="47"/>
        <v>0</v>
      </c>
      <c r="CO7" s="175">
        <v>0</v>
      </c>
      <c r="CP7" s="140">
        <v>0</v>
      </c>
      <c r="CQ7" s="175">
        <v>0</v>
      </c>
      <c r="CR7" s="148">
        <v>2</v>
      </c>
      <c r="CS7" s="148">
        <v>1</v>
      </c>
      <c r="CT7" s="140">
        <v>1</v>
      </c>
      <c r="CU7" s="140">
        <v>0</v>
      </c>
      <c r="CV7" s="148">
        <f t="shared" si="48"/>
        <v>8.6999999999999993</v>
      </c>
      <c r="CW7" s="140"/>
      <c r="CX7" s="164">
        <f t="shared" si="49"/>
        <v>112.80883043865269</v>
      </c>
      <c r="CY7" s="147">
        <f t="shared" si="14"/>
        <v>0.49300512936241486</v>
      </c>
      <c r="CZ7" s="165">
        <f t="shared" si="15"/>
        <v>0.20338170031565997</v>
      </c>
      <c r="DA7" s="164">
        <f t="shared" si="16"/>
        <v>127.6573823882735</v>
      </c>
      <c r="DB7" s="141"/>
      <c r="DC7" s="141"/>
      <c r="DD7" s="77">
        <f t="shared" si="50"/>
        <v>0.85423568386180782</v>
      </c>
      <c r="DE7" s="37">
        <f t="shared" si="51"/>
        <v>0.6</v>
      </c>
      <c r="DF7" s="37">
        <f t="shared" si="52"/>
        <v>0.33333333333333331</v>
      </c>
      <c r="DG7" s="37">
        <f t="shared" si="53"/>
        <v>0.7</v>
      </c>
      <c r="DH7" s="37">
        <f t="shared" si="17"/>
        <v>0</v>
      </c>
      <c r="DI7" s="37">
        <f t="shared" si="18"/>
        <v>0</v>
      </c>
      <c r="DJ7" s="37">
        <f t="shared" si="19"/>
        <v>0</v>
      </c>
      <c r="DK7" s="37">
        <f t="shared" si="20"/>
        <v>3.8017189080961286E-2</v>
      </c>
      <c r="DL7" s="37">
        <f t="shared" si="21"/>
        <v>0</v>
      </c>
      <c r="DM7" s="37">
        <f t="shared" si="22"/>
        <v>0</v>
      </c>
      <c r="DN7" s="37">
        <f t="shared" si="54"/>
        <v>0.18692531836422083</v>
      </c>
      <c r="DO7" s="37">
        <f t="shared" si="55"/>
        <v>0</v>
      </c>
      <c r="DP7" s="66">
        <f t="shared" si="56"/>
        <v>0</v>
      </c>
      <c r="DQ7" s="78">
        <f t="shared" si="57"/>
        <v>11.0803324099723</v>
      </c>
      <c r="DR7" s="6"/>
      <c r="DS7" s="36"/>
      <c r="DT7" s="75">
        <f t="shared" si="58"/>
        <v>42.204459833795021</v>
      </c>
      <c r="DU7" s="18">
        <f t="shared" si="23"/>
        <v>2.6374443744522758</v>
      </c>
      <c r="DV7" s="13">
        <f t="shared" si="59"/>
        <v>1.9794374418697718</v>
      </c>
      <c r="DW7" s="14">
        <f t="shared" si="24"/>
        <v>0.97196434107640783</v>
      </c>
      <c r="DX7" s="14">
        <f t="shared" si="25"/>
        <v>0</v>
      </c>
      <c r="DY7" s="14">
        <f t="shared" si="60"/>
        <v>0.78200000000000003</v>
      </c>
      <c r="DZ7" s="15">
        <f t="shared" si="26"/>
        <v>12.151999999999999</v>
      </c>
      <c r="EA7" s="14">
        <f t="shared" si="61"/>
        <v>0.76781802864363946</v>
      </c>
      <c r="EB7" s="14">
        <f t="shared" si="27"/>
        <v>0.14285714285714285</v>
      </c>
      <c r="EC7" s="14">
        <f t="shared" si="28"/>
        <v>0.35532163742690054</v>
      </c>
      <c r="ED7" s="14">
        <f t="shared" si="62"/>
        <v>0</v>
      </c>
      <c r="EE7" s="19">
        <f t="shared" si="63"/>
        <v>1.6942857142857144</v>
      </c>
      <c r="EF7" s="67">
        <f t="shared" si="64"/>
        <v>1.8000000000000006E-2</v>
      </c>
      <c r="EG7" s="74">
        <f t="shared" si="65"/>
        <v>5.3497300887379895</v>
      </c>
      <c r="EH7" s="27">
        <f t="shared" si="66"/>
        <v>6.0349679447300222</v>
      </c>
      <c r="EI7" s="25">
        <f t="shared" si="67"/>
        <v>4.6186873643628008</v>
      </c>
      <c r="EJ7" s="25">
        <f t="shared" si="68"/>
        <v>0</v>
      </c>
      <c r="EK7" s="26">
        <f t="shared" si="29"/>
        <v>0</v>
      </c>
      <c r="EL7" s="29">
        <f t="shared" si="69"/>
        <v>0.87804878048780488</v>
      </c>
      <c r="EM7" s="30">
        <f t="shared" si="30"/>
        <v>0.18181818181818182</v>
      </c>
      <c r="EN7" s="30">
        <f t="shared" si="31"/>
        <v>0.61538461538461542</v>
      </c>
      <c r="EO7" s="31">
        <f t="shared" si="70"/>
        <v>1</v>
      </c>
      <c r="EP7" s="31">
        <f t="shared" si="32"/>
        <v>1.4791649623332697</v>
      </c>
      <c r="EQ7" s="31">
        <f t="shared" si="71"/>
        <v>2.4791649623332699</v>
      </c>
      <c r="ER7" s="93">
        <f t="shared" si="33"/>
        <v>0.47125441567959103</v>
      </c>
      <c r="ES7" s="109">
        <f t="shared" si="34"/>
        <v>129.41542345961832</v>
      </c>
      <c r="ET7" s="32">
        <f t="shared" si="35"/>
        <v>2.2813470538563929</v>
      </c>
      <c r="EV7" s="277"/>
      <c r="EW7" s="278"/>
      <c r="EX7" s="37">
        <f t="shared" si="81"/>
        <v>1.7</v>
      </c>
      <c r="EY7" s="72">
        <f t="shared" si="72"/>
        <v>2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7.22</v>
      </c>
      <c r="FG7" s="144">
        <f t="shared" si="36"/>
        <v>3</v>
      </c>
      <c r="FH7" s="424" t="s">
        <v>52</v>
      </c>
      <c r="FI7" s="145">
        <f t="shared" si="73"/>
        <v>5</v>
      </c>
      <c r="FJ7" s="194">
        <f t="shared" si="74"/>
        <v>0.6</v>
      </c>
      <c r="FK7" s="110">
        <f t="shared" si="37"/>
        <v>1</v>
      </c>
      <c r="FL7" s="424" t="s">
        <v>52</v>
      </c>
      <c r="FM7" s="168">
        <f t="shared" si="38"/>
        <v>3</v>
      </c>
      <c r="FN7" s="194">
        <f t="shared" si="75"/>
        <v>0.33333333333333331</v>
      </c>
      <c r="FO7" s="262">
        <f t="shared" si="76"/>
        <v>0</v>
      </c>
      <c r="FP7" s="424" t="s">
        <v>52</v>
      </c>
      <c r="FQ7" s="274">
        <f t="shared" si="77"/>
        <v>0</v>
      </c>
      <c r="FR7" s="197" t="str">
        <f t="shared" si="78"/>
        <v>0</v>
      </c>
      <c r="FS7" s="140">
        <f t="shared" si="39"/>
        <v>0</v>
      </c>
      <c r="FT7" s="140">
        <f t="shared" si="39"/>
        <v>0</v>
      </c>
      <c r="FU7" s="140">
        <f t="shared" si="40"/>
        <v>0</v>
      </c>
      <c r="FV7" s="175">
        <f t="shared" si="40"/>
        <v>0</v>
      </c>
      <c r="FW7" s="140">
        <f t="shared" si="40"/>
        <v>0</v>
      </c>
      <c r="FX7" s="140">
        <f t="shared" si="40"/>
        <v>0</v>
      </c>
      <c r="FY7" s="140">
        <f t="shared" si="40"/>
        <v>2</v>
      </c>
      <c r="FZ7" s="140">
        <f t="shared" si="40"/>
        <v>1</v>
      </c>
      <c r="GA7" s="140">
        <f t="shared" si="40"/>
        <v>1</v>
      </c>
      <c r="GB7" s="140">
        <f t="shared" si="40"/>
        <v>0</v>
      </c>
      <c r="GC7" s="175">
        <f t="shared" si="40"/>
        <v>8.6999999999999993</v>
      </c>
      <c r="GD7" s="202">
        <f t="shared" si="79"/>
        <v>112.80883043865269</v>
      </c>
      <c r="GE7" s="140">
        <f t="shared" si="79"/>
        <v>0.49300512936241486</v>
      </c>
      <c r="GF7" s="140">
        <f t="shared" si="79"/>
        <v>0.20338170031565997</v>
      </c>
      <c r="GG7" s="259">
        <f t="shared" si="79"/>
        <v>127.6573823882735</v>
      </c>
      <c r="GH7" s="140"/>
      <c r="GJ7" s="82"/>
      <c r="GK7" s="24"/>
      <c r="GL7" s="185">
        <f>(CQ7/CQ31)*(EY32-EX32)</f>
        <v>0</v>
      </c>
      <c r="GM7" s="185">
        <f>((E32/G32)*(1-(CJ32/(CJ32+CK31))))/((E32/G32)*(1-(CJ32/(CJ32+CK31)))+((1-(E32/G32)))*(CJ32/(CJ32+CK31)))</f>
        <v>0.87804878048780488</v>
      </c>
      <c r="GN7" s="24">
        <f>GK7+(GL7/10)+(GJ7*GM7*(1-(CJ32/(CJ32+CK31))))+(CK7*(1-GM7))</f>
        <v>0</v>
      </c>
      <c r="GO7" s="213">
        <f>GN7/(DD7*EG32)</f>
        <v>0</v>
      </c>
    </row>
    <row r="8" spans="1:197" x14ac:dyDescent="0.2">
      <c r="A8" s="139"/>
      <c r="B8" s="89" t="s">
        <v>82</v>
      </c>
      <c r="C8" s="41" t="s">
        <v>208</v>
      </c>
      <c r="D8" s="473">
        <v>7.07</v>
      </c>
      <c r="E8" s="114">
        <f t="shared" si="0"/>
        <v>3</v>
      </c>
      <c r="F8" s="424" t="s">
        <v>52</v>
      </c>
      <c r="G8" s="115">
        <f t="shared" si="1"/>
        <v>4</v>
      </c>
      <c r="H8" s="116" t="s">
        <v>53</v>
      </c>
      <c r="I8" s="424">
        <f t="shared" si="41"/>
        <v>2</v>
      </c>
      <c r="J8" s="115" t="s">
        <v>54</v>
      </c>
      <c r="K8" s="116">
        <f t="shared" si="2"/>
        <v>2</v>
      </c>
      <c r="L8" s="424" t="s">
        <v>52</v>
      </c>
      <c r="M8" s="115">
        <f t="shared" si="3"/>
        <v>2</v>
      </c>
      <c r="N8" s="116" t="s">
        <v>53</v>
      </c>
      <c r="O8" s="424">
        <f t="shared" si="4"/>
        <v>1</v>
      </c>
      <c r="P8" s="115" t="s">
        <v>54</v>
      </c>
      <c r="Q8" s="116">
        <f t="shared" si="5"/>
        <v>0</v>
      </c>
      <c r="R8" s="424" t="s">
        <v>52</v>
      </c>
      <c r="S8" s="115">
        <f t="shared" si="42"/>
        <v>0</v>
      </c>
      <c r="T8" s="116" t="s">
        <v>53</v>
      </c>
      <c r="U8" s="424">
        <f t="shared" si="6"/>
        <v>0</v>
      </c>
      <c r="V8" s="115" t="s">
        <v>54</v>
      </c>
      <c r="W8" s="116">
        <f t="shared" si="7"/>
        <v>1</v>
      </c>
      <c r="X8" s="424" t="s">
        <v>52</v>
      </c>
      <c r="Y8" s="115">
        <f t="shared" si="8"/>
        <v>2</v>
      </c>
      <c r="Z8" s="116" t="s">
        <v>53</v>
      </c>
      <c r="AA8" s="424">
        <f t="shared" si="9"/>
        <v>1</v>
      </c>
      <c r="AB8" s="115" t="s">
        <v>54</v>
      </c>
      <c r="AC8" s="116">
        <f t="shared" si="43"/>
        <v>0</v>
      </c>
      <c r="AD8" s="424" t="s">
        <v>52</v>
      </c>
      <c r="AE8" s="117">
        <f t="shared" si="44"/>
        <v>0</v>
      </c>
      <c r="AF8" s="425"/>
      <c r="AG8" s="114">
        <f t="shared" si="45"/>
        <v>2</v>
      </c>
      <c r="AH8" s="424" t="s">
        <v>52</v>
      </c>
      <c r="AI8" s="115">
        <f t="shared" si="10"/>
        <v>3</v>
      </c>
      <c r="AJ8" s="116" t="s">
        <v>53</v>
      </c>
      <c r="AK8" s="424">
        <f t="shared" si="11"/>
        <v>1</v>
      </c>
      <c r="AL8" s="115" t="s">
        <v>54</v>
      </c>
      <c r="AM8" s="246">
        <v>1</v>
      </c>
      <c r="AN8" s="244" t="s">
        <v>52</v>
      </c>
      <c r="AO8" s="245">
        <v>1</v>
      </c>
      <c r="AP8" s="246" t="s">
        <v>53</v>
      </c>
      <c r="AQ8" s="244">
        <v>0</v>
      </c>
      <c r="AR8" s="245" t="s">
        <v>54</v>
      </c>
      <c r="AS8" s="246">
        <v>0</v>
      </c>
      <c r="AT8" s="244" t="s">
        <v>52</v>
      </c>
      <c r="AU8" s="245">
        <v>0</v>
      </c>
      <c r="AV8" s="246" t="s">
        <v>53</v>
      </c>
      <c r="AW8" s="244">
        <v>0</v>
      </c>
      <c r="AX8" s="245" t="s">
        <v>54</v>
      </c>
      <c r="AY8" s="246">
        <v>1</v>
      </c>
      <c r="AZ8" s="244" t="s">
        <v>52</v>
      </c>
      <c r="BA8" s="245">
        <v>2</v>
      </c>
      <c r="BB8" s="246" t="s">
        <v>53</v>
      </c>
      <c r="BC8" s="244">
        <v>1</v>
      </c>
      <c r="BD8" s="245" t="s">
        <v>54</v>
      </c>
      <c r="BE8" s="116">
        <v>0</v>
      </c>
      <c r="BF8" s="424" t="s">
        <v>52</v>
      </c>
      <c r="BG8" s="117">
        <v>0</v>
      </c>
      <c r="BH8" s="115"/>
      <c r="BI8" s="114">
        <f t="shared" si="12"/>
        <v>1</v>
      </c>
      <c r="BJ8" s="424" t="s">
        <v>52</v>
      </c>
      <c r="BK8" s="115">
        <f t="shared" si="46"/>
        <v>1</v>
      </c>
      <c r="BL8" s="116" t="s">
        <v>53</v>
      </c>
      <c r="BM8" s="424">
        <f t="shared" si="13"/>
        <v>1</v>
      </c>
      <c r="BN8" s="115" t="s">
        <v>54</v>
      </c>
      <c r="BO8" s="246">
        <v>1</v>
      </c>
      <c r="BP8" s="244" t="s">
        <v>52</v>
      </c>
      <c r="BQ8" s="245">
        <v>1</v>
      </c>
      <c r="BR8" s="246" t="s">
        <v>53</v>
      </c>
      <c r="BS8" s="244">
        <v>1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24" t="s">
        <v>52</v>
      </c>
      <c r="CI8" s="117">
        <v>0</v>
      </c>
      <c r="CJ8" s="140">
        <v>0</v>
      </c>
      <c r="CK8" s="148">
        <f t="shared" si="80"/>
        <v>1</v>
      </c>
      <c r="CL8" s="148">
        <v>1</v>
      </c>
      <c r="CM8" s="148">
        <v>0</v>
      </c>
      <c r="CN8" s="148">
        <f t="shared" si="47"/>
        <v>1</v>
      </c>
      <c r="CO8" s="175">
        <v>1</v>
      </c>
      <c r="CP8" s="140">
        <v>3</v>
      </c>
      <c r="CQ8" s="175">
        <v>1</v>
      </c>
      <c r="CR8" s="148">
        <v>0</v>
      </c>
      <c r="CS8" s="148">
        <v>0</v>
      </c>
      <c r="CT8" s="140">
        <v>4</v>
      </c>
      <c r="CU8" s="140">
        <v>2</v>
      </c>
      <c r="CV8" s="148">
        <f t="shared" si="48"/>
        <v>7</v>
      </c>
      <c r="CW8" s="140"/>
      <c r="CX8" s="164">
        <f t="shared" si="49"/>
        <v>69.318765115111219</v>
      </c>
      <c r="CY8" s="147">
        <f t="shared" si="14"/>
        <v>0.29292442948724351</v>
      </c>
      <c r="CZ8" s="165">
        <f t="shared" si="15"/>
        <v>0.26614467029740874</v>
      </c>
      <c r="DA8" s="164">
        <f t="shared" si="16"/>
        <v>122.42954253782653</v>
      </c>
      <c r="DB8" s="141"/>
      <c r="DC8" s="141"/>
      <c r="DD8" s="77">
        <f t="shared" si="50"/>
        <v>0.83648840511121636</v>
      </c>
      <c r="DE8" s="37">
        <f t="shared" si="51"/>
        <v>0.75</v>
      </c>
      <c r="DF8" s="37">
        <f t="shared" si="52"/>
        <v>0.5</v>
      </c>
      <c r="DG8" s="37">
        <f t="shared" si="53"/>
        <v>0.875</v>
      </c>
      <c r="DH8" s="37">
        <f t="shared" si="17"/>
        <v>0</v>
      </c>
      <c r="DI8" s="37">
        <f t="shared" si="18"/>
        <v>0.10867943937250867</v>
      </c>
      <c r="DJ8" s="37">
        <f t="shared" si="19"/>
        <v>0.17078197615679935</v>
      </c>
      <c r="DK8" s="37">
        <f t="shared" si="20"/>
        <v>0</v>
      </c>
      <c r="DL8" s="37">
        <f t="shared" si="21"/>
        <v>0.14943422913719942</v>
      </c>
      <c r="DM8" s="37">
        <f t="shared" si="22"/>
        <v>0.1552951090039833</v>
      </c>
      <c r="DN8" s="37">
        <f t="shared" si="54"/>
        <v>0.58349884981895617</v>
      </c>
      <c r="DO8" s="37">
        <f t="shared" si="55"/>
        <v>0.25</v>
      </c>
      <c r="DP8" s="66">
        <f t="shared" si="56"/>
        <v>5.6577086280056577</v>
      </c>
      <c r="DQ8" s="78">
        <f t="shared" si="57"/>
        <v>0</v>
      </c>
      <c r="DR8" s="6"/>
      <c r="DS8" s="36"/>
      <c r="DT8" s="75">
        <f t="shared" si="58"/>
        <v>23.380339462517689</v>
      </c>
      <c r="DU8" s="18">
        <f t="shared" si="23"/>
        <v>2.0080548887328913</v>
      </c>
      <c r="DV8" s="13">
        <f t="shared" si="59"/>
        <v>1.8638223683049355</v>
      </c>
      <c r="DW8" s="14">
        <f t="shared" si="24"/>
        <v>0.86565914795814425</v>
      </c>
      <c r="DX8" s="14">
        <f t="shared" si="25"/>
        <v>0.23863636363636365</v>
      </c>
      <c r="DY8" s="14" t="str">
        <f t="shared" si="60"/>
        <v>0</v>
      </c>
      <c r="DZ8" s="15">
        <f t="shared" si="26"/>
        <v>12.151999999999999</v>
      </c>
      <c r="EA8" s="14">
        <f t="shared" si="61"/>
        <v>0.76781802864363946</v>
      </c>
      <c r="EB8" s="14">
        <f t="shared" si="27"/>
        <v>0.14285714285714285</v>
      </c>
      <c r="EC8" s="14">
        <f t="shared" si="28"/>
        <v>0.35532163742690054</v>
      </c>
      <c r="ED8" s="14">
        <f t="shared" si="62"/>
        <v>0</v>
      </c>
      <c r="EE8" s="19">
        <f t="shared" si="63"/>
        <v>0.8471428571428572</v>
      </c>
      <c r="EF8" s="67" t="str">
        <f t="shared" si="64"/>
        <v>0</v>
      </c>
      <c r="EG8" s="74">
        <f t="shared" si="65"/>
        <v>6.8551977458757483</v>
      </c>
      <c r="EH8" s="27">
        <f t="shared" si="66"/>
        <v>4.7519384236400093</v>
      </c>
      <c r="EI8" s="25">
        <f t="shared" si="67"/>
        <v>4.3489188593781831</v>
      </c>
      <c r="EJ8" s="25">
        <f t="shared" si="68"/>
        <v>0.62642045454545459</v>
      </c>
      <c r="EK8" s="26">
        <f t="shared" si="29"/>
        <v>0</v>
      </c>
      <c r="EL8" s="29">
        <f t="shared" si="69"/>
        <v>0.87804878048780488</v>
      </c>
      <c r="EM8" s="30">
        <f t="shared" si="30"/>
        <v>0.18181818181818182</v>
      </c>
      <c r="EN8" s="30">
        <f t="shared" si="31"/>
        <v>0.61538461538461542</v>
      </c>
      <c r="EO8" s="31">
        <f t="shared" si="70"/>
        <v>1.5364079822616405</v>
      </c>
      <c r="EP8" s="31">
        <f t="shared" si="32"/>
        <v>1.4814968883235757</v>
      </c>
      <c r="EQ8" s="31">
        <f t="shared" si="71"/>
        <v>3.0179048705852161</v>
      </c>
      <c r="ER8" s="93">
        <f t="shared" si="33"/>
        <v>0.58583233230147913</v>
      </c>
      <c r="ES8" s="109">
        <f t="shared" si="34"/>
        <v>129.41542345961832</v>
      </c>
      <c r="ET8" s="32">
        <f t="shared" si="35"/>
        <v>2.2813470538563929</v>
      </c>
      <c r="EV8" s="277"/>
      <c r="EW8" s="278"/>
      <c r="EX8" s="37">
        <f t="shared" si="81"/>
        <v>0</v>
      </c>
      <c r="EY8" s="72">
        <f t="shared" si="72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7.07</v>
      </c>
      <c r="FG8" s="182">
        <f t="shared" si="36"/>
        <v>3</v>
      </c>
      <c r="FH8" s="183" t="s">
        <v>52</v>
      </c>
      <c r="FI8" s="184">
        <f t="shared" si="73"/>
        <v>4</v>
      </c>
      <c r="FJ8" s="193">
        <f t="shared" si="74"/>
        <v>0.75</v>
      </c>
      <c r="FK8" s="185">
        <f t="shared" si="37"/>
        <v>1</v>
      </c>
      <c r="FL8" s="183" t="s">
        <v>52</v>
      </c>
      <c r="FM8" s="186">
        <f t="shared" si="38"/>
        <v>2</v>
      </c>
      <c r="FN8" s="193">
        <f t="shared" si="75"/>
        <v>0.5</v>
      </c>
      <c r="FO8" s="261">
        <f t="shared" si="76"/>
        <v>0</v>
      </c>
      <c r="FP8" s="183" t="s">
        <v>52</v>
      </c>
      <c r="FQ8" s="268">
        <f t="shared" si="77"/>
        <v>0</v>
      </c>
      <c r="FR8" s="196" t="str">
        <f t="shared" si="78"/>
        <v>0</v>
      </c>
      <c r="FS8" s="179">
        <f t="shared" si="39"/>
        <v>0</v>
      </c>
      <c r="FT8" s="179">
        <f t="shared" si="39"/>
        <v>1</v>
      </c>
      <c r="FU8" s="179">
        <f t="shared" si="40"/>
        <v>1</v>
      </c>
      <c r="FV8" s="187">
        <f t="shared" si="40"/>
        <v>1</v>
      </c>
      <c r="FW8" s="179">
        <f t="shared" si="40"/>
        <v>3</v>
      </c>
      <c r="FX8" s="179">
        <f t="shared" si="40"/>
        <v>1</v>
      </c>
      <c r="FY8" s="179">
        <f t="shared" si="40"/>
        <v>0</v>
      </c>
      <c r="FZ8" s="179">
        <f t="shared" si="40"/>
        <v>0</v>
      </c>
      <c r="GA8" s="179">
        <f t="shared" si="40"/>
        <v>4</v>
      </c>
      <c r="GB8" s="179">
        <f t="shared" si="40"/>
        <v>2</v>
      </c>
      <c r="GC8" s="187">
        <f t="shared" si="40"/>
        <v>7</v>
      </c>
      <c r="GD8" s="203">
        <f t="shared" si="79"/>
        <v>69.318765115111219</v>
      </c>
      <c r="GE8" s="179">
        <f t="shared" si="79"/>
        <v>0.29292442948724351</v>
      </c>
      <c r="GF8" s="179">
        <f t="shared" si="79"/>
        <v>0.26614467029740874</v>
      </c>
      <c r="GG8" s="258">
        <f t="shared" si="79"/>
        <v>122.42954253782653</v>
      </c>
      <c r="GH8" s="179"/>
      <c r="GJ8" s="82"/>
      <c r="GK8" s="24"/>
      <c r="GL8" s="185">
        <f>(CQ8/CQ33)*(EY34-EX34)</f>
        <v>0.38333333333333341</v>
      </c>
      <c r="GM8" s="185">
        <f>((E34/G34)*(1-(CJ34/(CJ34+CK33))))/((E34/G34)*(1-(CJ34/(CJ34+CK33)))+((1-(E34/G34)))*(CJ34/(CJ34+CK33)))</f>
        <v>0.90566037735849048</v>
      </c>
      <c r="GN8" s="24">
        <f>GK8+(GL8/10)+(GJ8*GM8*(1-(CJ34/(CJ34+CK33))))+(CK8*(1-GM8))</f>
        <v>0.13267295597484285</v>
      </c>
      <c r="GO8" s="213">
        <f>GN8/(DD8*EG34)</f>
        <v>4.878753527338223E-3</v>
      </c>
    </row>
    <row r="9" spans="1:197" x14ac:dyDescent="0.2">
      <c r="A9" s="139"/>
      <c r="B9" s="430" t="s">
        <v>117</v>
      </c>
      <c r="C9" s="431" t="s">
        <v>209</v>
      </c>
      <c r="D9" s="473">
        <v>6.62</v>
      </c>
      <c r="E9" s="114">
        <f t="shared" si="0"/>
        <v>2</v>
      </c>
      <c r="F9" s="424" t="s">
        <v>52</v>
      </c>
      <c r="G9" s="115">
        <f t="shared" si="1"/>
        <v>2</v>
      </c>
      <c r="H9" s="116" t="s">
        <v>53</v>
      </c>
      <c r="I9" s="424">
        <f t="shared" si="41"/>
        <v>1</v>
      </c>
      <c r="J9" s="115" t="s">
        <v>54</v>
      </c>
      <c r="K9" s="116">
        <f t="shared" si="2"/>
        <v>1</v>
      </c>
      <c r="L9" s="424" t="s">
        <v>52</v>
      </c>
      <c r="M9" s="115">
        <f t="shared" si="3"/>
        <v>1</v>
      </c>
      <c r="N9" s="116" t="s">
        <v>53</v>
      </c>
      <c r="O9" s="424">
        <f t="shared" si="4"/>
        <v>1</v>
      </c>
      <c r="P9" s="115" t="s">
        <v>54</v>
      </c>
      <c r="Q9" s="116">
        <f t="shared" si="5"/>
        <v>1</v>
      </c>
      <c r="R9" s="424" t="s">
        <v>52</v>
      </c>
      <c r="S9" s="115">
        <f t="shared" si="42"/>
        <v>1</v>
      </c>
      <c r="T9" s="116" t="s">
        <v>53</v>
      </c>
      <c r="U9" s="424">
        <f t="shared" si="6"/>
        <v>0</v>
      </c>
      <c r="V9" s="115" t="s">
        <v>54</v>
      </c>
      <c r="W9" s="116">
        <f t="shared" si="7"/>
        <v>0</v>
      </c>
      <c r="X9" s="424" t="s">
        <v>52</v>
      </c>
      <c r="Y9" s="115">
        <f t="shared" si="8"/>
        <v>0</v>
      </c>
      <c r="Z9" s="116" t="s">
        <v>53</v>
      </c>
      <c r="AA9" s="424">
        <f t="shared" si="9"/>
        <v>0</v>
      </c>
      <c r="AB9" s="115" t="s">
        <v>54</v>
      </c>
      <c r="AC9" s="116">
        <f t="shared" si="43"/>
        <v>0.7</v>
      </c>
      <c r="AD9" s="424" t="s">
        <v>52</v>
      </c>
      <c r="AE9" s="117">
        <f t="shared" si="44"/>
        <v>1</v>
      </c>
      <c r="AF9" s="425"/>
      <c r="AG9" s="114">
        <f t="shared" si="45"/>
        <v>2</v>
      </c>
      <c r="AH9" s="424" t="s">
        <v>52</v>
      </c>
      <c r="AI9" s="115">
        <f t="shared" si="10"/>
        <v>2</v>
      </c>
      <c r="AJ9" s="116" t="s">
        <v>53</v>
      </c>
      <c r="AK9" s="424">
        <f t="shared" si="11"/>
        <v>1</v>
      </c>
      <c r="AL9" s="115" t="s">
        <v>54</v>
      </c>
      <c r="AM9" s="246">
        <v>1</v>
      </c>
      <c r="AN9" s="244" t="s">
        <v>52</v>
      </c>
      <c r="AO9" s="245">
        <v>1</v>
      </c>
      <c r="AP9" s="246" t="s">
        <v>53</v>
      </c>
      <c r="AQ9" s="244">
        <v>1</v>
      </c>
      <c r="AR9" s="245" t="s">
        <v>54</v>
      </c>
      <c r="AS9" s="246">
        <v>1</v>
      </c>
      <c r="AT9" s="244" t="s">
        <v>52</v>
      </c>
      <c r="AU9" s="245">
        <v>1</v>
      </c>
      <c r="AV9" s="246" t="s">
        <v>53</v>
      </c>
      <c r="AW9" s="244">
        <v>0</v>
      </c>
      <c r="AX9" s="245" t="s">
        <v>54</v>
      </c>
      <c r="AY9" s="246">
        <v>0</v>
      </c>
      <c r="AZ9" s="244" t="s">
        <v>52</v>
      </c>
      <c r="BA9" s="245">
        <v>0</v>
      </c>
      <c r="BB9" s="246" t="s">
        <v>53</v>
      </c>
      <c r="BC9" s="244">
        <v>0</v>
      </c>
      <c r="BD9" s="245" t="s">
        <v>54</v>
      </c>
      <c r="BE9" s="116">
        <v>0</v>
      </c>
      <c r="BF9" s="424" t="s">
        <v>52</v>
      </c>
      <c r="BG9" s="117">
        <v>0</v>
      </c>
      <c r="BH9" s="115"/>
      <c r="BI9" s="114">
        <f t="shared" si="12"/>
        <v>0</v>
      </c>
      <c r="BJ9" s="424" t="s">
        <v>52</v>
      </c>
      <c r="BK9" s="115">
        <f t="shared" si="46"/>
        <v>0</v>
      </c>
      <c r="BL9" s="116" t="s">
        <v>53</v>
      </c>
      <c r="BM9" s="424">
        <f t="shared" si="13"/>
        <v>0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424" t="s">
        <v>52</v>
      </c>
      <c r="CI9" s="117">
        <v>0</v>
      </c>
      <c r="CJ9" s="140">
        <v>1</v>
      </c>
      <c r="CK9" s="148">
        <f t="shared" si="80"/>
        <v>3</v>
      </c>
      <c r="CL9" s="148">
        <v>0</v>
      </c>
      <c r="CM9" s="148">
        <v>3</v>
      </c>
      <c r="CN9" s="148">
        <f t="shared" si="47"/>
        <v>4</v>
      </c>
      <c r="CO9" s="175">
        <v>1</v>
      </c>
      <c r="CP9" s="140">
        <v>3</v>
      </c>
      <c r="CQ9" s="175">
        <v>2</v>
      </c>
      <c r="CR9" s="148">
        <v>1</v>
      </c>
      <c r="CS9" s="148">
        <v>0</v>
      </c>
      <c r="CT9" s="140">
        <v>1</v>
      </c>
      <c r="CU9" s="140">
        <v>0</v>
      </c>
      <c r="CV9" s="148">
        <f t="shared" si="48"/>
        <v>4.7</v>
      </c>
      <c r="CW9" s="140"/>
      <c r="CX9" s="164">
        <f t="shared" si="49"/>
        <v>149.47464856913103</v>
      </c>
      <c r="CY9" s="147">
        <f t="shared" si="14"/>
        <v>0.7193502522011832</v>
      </c>
      <c r="CZ9" s="165">
        <f t="shared" si="15"/>
        <v>0.14497162145756987</v>
      </c>
      <c r="DA9" s="164">
        <f t="shared" si="16"/>
        <v>93.899799442073913</v>
      </c>
      <c r="DB9" s="141"/>
      <c r="DC9" s="141"/>
      <c r="DD9" s="77">
        <f t="shared" si="50"/>
        <v>0.78324656885944155</v>
      </c>
      <c r="DE9" s="37">
        <f t="shared" si="51"/>
        <v>1</v>
      </c>
      <c r="DF9" s="37" t="str">
        <f t="shared" si="52"/>
        <v>0</v>
      </c>
      <c r="DG9" s="37">
        <f t="shared" si="53"/>
        <v>1</v>
      </c>
      <c r="DH9" s="37">
        <f t="shared" si="17"/>
        <v>0.11606701455644053</v>
      </c>
      <c r="DI9" s="37">
        <f t="shared" si="18"/>
        <v>0.27358653431160984</v>
      </c>
      <c r="DJ9" s="37">
        <f t="shared" si="19"/>
        <v>0</v>
      </c>
      <c r="DK9" s="37">
        <f t="shared" si="20"/>
        <v>0</v>
      </c>
      <c r="DL9" s="37">
        <f t="shared" si="21"/>
        <v>9.119551143720328E-2</v>
      </c>
      <c r="DM9" s="37">
        <f t="shared" si="22"/>
        <v>0.15708976447896728</v>
      </c>
      <c r="DN9" s="37">
        <f t="shared" si="54"/>
        <v>0.2708974399602479</v>
      </c>
      <c r="DO9" s="37">
        <f t="shared" si="55"/>
        <v>1</v>
      </c>
      <c r="DP9" s="66">
        <f t="shared" si="56"/>
        <v>12.084592145015106</v>
      </c>
      <c r="DQ9" s="78">
        <f t="shared" si="57"/>
        <v>6.0422960725075532</v>
      </c>
      <c r="DR9" s="6"/>
      <c r="DS9" s="36"/>
      <c r="DT9" s="75">
        <f t="shared" si="58"/>
        <v>34.490513595166156</v>
      </c>
      <c r="DU9" s="18">
        <f t="shared" si="23"/>
        <v>2.65543392476039</v>
      </c>
      <c r="DV9" s="13">
        <f t="shared" si="59"/>
        <v>1.6448310156124164</v>
      </c>
      <c r="DW9" s="14">
        <f t="shared" si="24"/>
        <v>0.3551689843875836</v>
      </c>
      <c r="DX9" s="14">
        <f t="shared" si="25"/>
        <v>0.34375</v>
      </c>
      <c r="DY9" s="14">
        <f t="shared" si="60"/>
        <v>0.36399999999999999</v>
      </c>
      <c r="DZ9" s="15">
        <f t="shared" si="26"/>
        <v>17.467749999999999</v>
      </c>
      <c r="EA9" s="14">
        <f t="shared" si="61"/>
        <v>0.82104904445375804</v>
      </c>
      <c r="EB9" s="14">
        <f t="shared" si="27"/>
        <v>0.18181818181818182</v>
      </c>
      <c r="EC9" s="14">
        <f t="shared" si="28"/>
        <v>0.50484826589595366</v>
      </c>
      <c r="ED9" s="14">
        <f t="shared" si="62"/>
        <v>0.41450518630800953</v>
      </c>
      <c r="EE9" s="19">
        <f t="shared" si="63"/>
        <v>0</v>
      </c>
      <c r="EF9" s="67">
        <f t="shared" si="64"/>
        <v>3.6000000000000011E-2</v>
      </c>
      <c r="EG9" s="74">
        <f t="shared" si="65"/>
        <v>3.69143392476039</v>
      </c>
      <c r="EH9" s="27">
        <f t="shared" si="66"/>
        <v>5.5177578861972743</v>
      </c>
      <c r="EI9" s="25">
        <f t="shared" si="67"/>
        <v>3.2896620312248328</v>
      </c>
      <c r="EJ9" s="25">
        <f t="shared" si="68"/>
        <v>0.81026785714285721</v>
      </c>
      <c r="EK9" s="26">
        <f t="shared" si="29"/>
        <v>0.94563018559197276</v>
      </c>
      <c r="EL9" s="29">
        <f t="shared" si="69"/>
        <v>0.81481481481481488</v>
      </c>
      <c r="EM9" s="30">
        <f t="shared" si="30"/>
        <v>0.14285714285714285</v>
      </c>
      <c r="EN9" s="30">
        <f t="shared" si="31"/>
        <v>0.42307692307692307</v>
      </c>
      <c r="EO9" s="31">
        <f t="shared" si="70"/>
        <v>0.55555555555555536</v>
      </c>
      <c r="EP9" s="31">
        <f t="shared" si="32"/>
        <v>2.5938379044313735</v>
      </c>
      <c r="EQ9" s="31">
        <f t="shared" si="71"/>
        <v>3.1493934599869289</v>
      </c>
      <c r="ER9" s="93">
        <f t="shared" si="33"/>
        <v>0.61842184610118323</v>
      </c>
      <c r="ES9" s="109">
        <f t="shared" si="34"/>
        <v>93.510414463627555</v>
      </c>
      <c r="ET9" s="32">
        <f t="shared" si="35"/>
        <v>2.5016458196181697</v>
      </c>
      <c r="EV9" s="277"/>
      <c r="EW9" s="278"/>
      <c r="EX9" s="37">
        <f t="shared" si="81"/>
        <v>0.7</v>
      </c>
      <c r="EY9" s="72">
        <f t="shared" si="72"/>
        <v>1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6.62</v>
      </c>
      <c r="FG9" s="144">
        <f t="shared" si="36"/>
        <v>2</v>
      </c>
      <c r="FH9" s="424" t="s">
        <v>52</v>
      </c>
      <c r="FI9" s="145">
        <f t="shared" si="73"/>
        <v>2</v>
      </c>
      <c r="FJ9" s="194">
        <f t="shared" si="74"/>
        <v>1</v>
      </c>
      <c r="FK9" s="110">
        <f t="shared" si="37"/>
        <v>0</v>
      </c>
      <c r="FL9" s="424" t="s">
        <v>52</v>
      </c>
      <c r="FM9" s="168">
        <f t="shared" si="38"/>
        <v>0</v>
      </c>
      <c r="FN9" s="194" t="str">
        <f t="shared" si="75"/>
        <v>0</v>
      </c>
      <c r="FO9" s="262">
        <f t="shared" si="76"/>
        <v>0</v>
      </c>
      <c r="FP9" s="424" t="s">
        <v>52</v>
      </c>
      <c r="FQ9" s="274">
        <f t="shared" si="77"/>
        <v>0</v>
      </c>
      <c r="FR9" s="197" t="str">
        <f t="shared" si="78"/>
        <v>0</v>
      </c>
      <c r="FS9" s="140">
        <f t="shared" si="39"/>
        <v>1</v>
      </c>
      <c r="FT9" s="140">
        <f t="shared" si="39"/>
        <v>3</v>
      </c>
      <c r="FU9" s="140">
        <f t="shared" si="40"/>
        <v>4</v>
      </c>
      <c r="FV9" s="175">
        <f t="shared" si="40"/>
        <v>1</v>
      </c>
      <c r="FW9" s="140">
        <f t="shared" si="40"/>
        <v>3</v>
      </c>
      <c r="FX9" s="140">
        <f t="shared" si="40"/>
        <v>2</v>
      </c>
      <c r="FY9" s="140">
        <f t="shared" si="40"/>
        <v>1</v>
      </c>
      <c r="FZ9" s="140">
        <f t="shared" si="40"/>
        <v>0</v>
      </c>
      <c r="GA9" s="140">
        <f t="shared" si="40"/>
        <v>1</v>
      </c>
      <c r="GB9" s="140">
        <f t="shared" si="40"/>
        <v>0</v>
      </c>
      <c r="GC9" s="175">
        <f t="shared" si="40"/>
        <v>4.7</v>
      </c>
      <c r="GD9" s="202">
        <f t="shared" si="79"/>
        <v>149.47464856913103</v>
      </c>
      <c r="GE9" s="140">
        <f t="shared" si="79"/>
        <v>0.7193502522011832</v>
      </c>
      <c r="GF9" s="140">
        <f t="shared" si="79"/>
        <v>0.14497162145756987</v>
      </c>
      <c r="GG9" s="259">
        <f t="shared" si="79"/>
        <v>93.899799442073913</v>
      </c>
      <c r="GH9" s="140"/>
      <c r="GJ9" s="82"/>
      <c r="GK9" s="24"/>
      <c r="GL9" s="185">
        <f>(CQ9/CQ35)*(EY36-EX36)</f>
        <v>0.4</v>
      </c>
      <c r="GM9" s="185">
        <f>((E36/G36)*(1-(CJ36/(CJ36+CK35))))/((E36/G36)*(1-(CJ36/(CJ36+CK35)))+((1-(E36/G36)))*(CJ36/(CJ36+CK35)))</f>
        <v>0.81481481481481488</v>
      </c>
      <c r="GN9" s="24">
        <f>GK9+(GL9/10)+(GJ9*GM9*(1-(CJ36/(CJ36+CK35))))+(CK9*(1-GM9))</f>
        <v>0.59555555555555539</v>
      </c>
      <c r="GO9" s="213">
        <f>GN9/(DD9*EG36)</f>
        <v>2.4693434100066074E-2</v>
      </c>
    </row>
    <row r="10" spans="1:197" x14ac:dyDescent="0.2">
      <c r="A10" s="139"/>
      <c r="B10" s="327" t="s">
        <v>82</v>
      </c>
      <c r="C10" s="291" t="s">
        <v>210</v>
      </c>
      <c r="D10" s="473">
        <v>0</v>
      </c>
      <c r="E10" s="114">
        <f t="shared" si="0"/>
        <v>0</v>
      </c>
      <c r="F10" s="424" t="s">
        <v>52</v>
      </c>
      <c r="G10" s="115">
        <f t="shared" si="1"/>
        <v>0</v>
      </c>
      <c r="H10" s="116" t="s">
        <v>53</v>
      </c>
      <c r="I10" s="424">
        <f t="shared" si="41"/>
        <v>0</v>
      </c>
      <c r="J10" s="115" t="s">
        <v>54</v>
      </c>
      <c r="K10" s="116">
        <f t="shared" si="2"/>
        <v>0</v>
      </c>
      <c r="L10" s="424" t="s">
        <v>52</v>
      </c>
      <c r="M10" s="115">
        <f t="shared" si="3"/>
        <v>0</v>
      </c>
      <c r="N10" s="116" t="s">
        <v>53</v>
      </c>
      <c r="O10" s="424">
        <f t="shared" si="4"/>
        <v>0</v>
      </c>
      <c r="P10" s="115" t="s">
        <v>54</v>
      </c>
      <c r="Q10" s="116">
        <f t="shared" si="5"/>
        <v>0</v>
      </c>
      <c r="R10" s="424" t="s">
        <v>52</v>
      </c>
      <c r="S10" s="115">
        <f t="shared" si="42"/>
        <v>0</v>
      </c>
      <c r="T10" s="116" t="s">
        <v>53</v>
      </c>
      <c r="U10" s="424">
        <f t="shared" si="6"/>
        <v>0</v>
      </c>
      <c r="V10" s="115" t="s">
        <v>54</v>
      </c>
      <c r="W10" s="116">
        <f t="shared" si="7"/>
        <v>0</v>
      </c>
      <c r="X10" s="424" t="s">
        <v>52</v>
      </c>
      <c r="Y10" s="115">
        <f t="shared" si="8"/>
        <v>0</v>
      </c>
      <c r="Z10" s="116" t="s">
        <v>53</v>
      </c>
      <c r="AA10" s="424">
        <f t="shared" si="9"/>
        <v>0</v>
      </c>
      <c r="AB10" s="115" t="s">
        <v>54</v>
      </c>
      <c r="AC10" s="116">
        <f t="shared" si="43"/>
        <v>0</v>
      </c>
      <c r="AD10" s="424" t="s">
        <v>52</v>
      </c>
      <c r="AE10" s="117">
        <f t="shared" si="44"/>
        <v>0</v>
      </c>
      <c r="AF10" s="425"/>
      <c r="AG10" s="114">
        <f t="shared" si="45"/>
        <v>0</v>
      </c>
      <c r="AH10" s="424" t="s">
        <v>52</v>
      </c>
      <c r="AI10" s="115">
        <f t="shared" si="10"/>
        <v>0</v>
      </c>
      <c r="AJ10" s="116" t="s">
        <v>53</v>
      </c>
      <c r="AK10" s="424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0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0</v>
      </c>
      <c r="BB10" s="246" t="s">
        <v>53</v>
      </c>
      <c r="BC10" s="244">
        <v>0</v>
      </c>
      <c r="BD10" s="245" t="s">
        <v>54</v>
      </c>
      <c r="BE10" s="116">
        <v>0</v>
      </c>
      <c r="BF10" s="424" t="s">
        <v>52</v>
      </c>
      <c r="BG10" s="117">
        <v>0</v>
      </c>
      <c r="BH10" s="115"/>
      <c r="BI10" s="114">
        <f t="shared" si="12"/>
        <v>0</v>
      </c>
      <c r="BJ10" s="424" t="s">
        <v>52</v>
      </c>
      <c r="BK10" s="115">
        <f t="shared" si="46"/>
        <v>0</v>
      </c>
      <c r="BL10" s="116" t="s">
        <v>53</v>
      </c>
      <c r="BM10" s="424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24" t="s">
        <v>52</v>
      </c>
      <c r="CI10" s="117">
        <v>0</v>
      </c>
      <c r="CJ10" s="140">
        <v>0</v>
      </c>
      <c r="CK10" s="148">
        <f t="shared" si="80"/>
        <v>0</v>
      </c>
      <c r="CL10" s="148">
        <v>0</v>
      </c>
      <c r="CM10" s="148">
        <v>0</v>
      </c>
      <c r="CN10" s="148">
        <f t="shared" si="47"/>
        <v>0</v>
      </c>
      <c r="CO10" s="175">
        <v>0</v>
      </c>
      <c r="CP10" s="140">
        <v>0</v>
      </c>
      <c r="CQ10" s="175">
        <v>0</v>
      </c>
      <c r="CR10" s="148">
        <v>0</v>
      </c>
      <c r="CS10" s="148">
        <v>0</v>
      </c>
      <c r="CT10" s="140">
        <v>0</v>
      </c>
      <c r="CU10" s="140">
        <v>0</v>
      </c>
      <c r="CV10" s="148">
        <f t="shared" si="48"/>
        <v>0</v>
      </c>
      <c r="CW10" s="140"/>
      <c r="CX10" s="164" t="str">
        <f t="shared" si="49"/>
        <v>0</v>
      </c>
      <c r="CY10" s="147" t="str">
        <f t="shared" si="14"/>
        <v>0</v>
      </c>
      <c r="CZ10" s="165" t="str">
        <f t="shared" si="15"/>
        <v>0</v>
      </c>
      <c r="DA10" s="164">
        <f t="shared" si="16"/>
        <v>149.15927984482252</v>
      </c>
      <c r="DB10" s="141"/>
      <c r="DC10" s="141"/>
      <c r="DD10" s="77">
        <f t="shared" si="50"/>
        <v>0</v>
      </c>
      <c r="DE10" s="37" t="str">
        <f t="shared" si="51"/>
        <v>0</v>
      </c>
      <c r="DF10" s="37" t="str">
        <f t="shared" si="52"/>
        <v>0</v>
      </c>
      <c r="DG10" s="37" t="str">
        <f t="shared" si="53"/>
        <v>0</v>
      </c>
      <c r="DH10" s="37" t="str">
        <f t="shared" si="17"/>
        <v>0</v>
      </c>
      <c r="DI10" s="37" t="str">
        <f t="shared" si="18"/>
        <v>0</v>
      </c>
      <c r="DJ10" s="37" t="str">
        <f t="shared" si="19"/>
        <v>0</v>
      </c>
      <c r="DK10" s="37" t="str">
        <f t="shared" si="20"/>
        <v>0</v>
      </c>
      <c r="DL10" s="37" t="str">
        <f t="shared" si="21"/>
        <v>0</v>
      </c>
      <c r="DM10" s="37" t="str">
        <f t="shared" si="22"/>
        <v>0</v>
      </c>
      <c r="DN10" s="37" t="str">
        <f t="shared" si="54"/>
        <v>0</v>
      </c>
      <c r="DO10" s="37" t="str">
        <f t="shared" si="55"/>
        <v>0</v>
      </c>
      <c r="DP10" s="66" t="str">
        <f t="shared" si="56"/>
        <v>0</v>
      </c>
      <c r="DQ10" s="78" t="str">
        <f t="shared" si="57"/>
        <v>0</v>
      </c>
      <c r="DR10" s="6"/>
      <c r="DS10" s="36"/>
      <c r="DT10" s="75" t="str">
        <f t="shared" si="58"/>
        <v>0</v>
      </c>
      <c r="DU10" s="18">
        <f t="shared" si="23"/>
        <v>0</v>
      </c>
      <c r="DV10" s="13" t="str">
        <f t="shared" si="59"/>
        <v>0</v>
      </c>
      <c r="DW10" s="14" t="str">
        <f t="shared" si="24"/>
        <v>0</v>
      </c>
      <c r="DX10" s="14">
        <f t="shared" si="25"/>
        <v>0</v>
      </c>
      <c r="DY10" s="14" t="str">
        <f t="shared" si="60"/>
        <v>0</v>
      </c>
      <c r="DZ10" s="15">
        <f t="shared" si="26"/>
        <v>12.151999999999999</v>
      </c>
      <c r="EA10" s="14">
        <f t="shared" si="61"/>
        <v>0.76781802864363946</v>
      </c>
      <c r="EB10" s="14">
        <f t="shared" si="27"/>
        <v>0.14285714285714285</v>
      </c>
      <c r="EC10" s="14">
        <f t="shared" si="28"/>
        <v>0.35532163742690054</v>
      </c>
      <c r="ED10" s="14">
        <f t="shared" si="62"/>
        <v>0</v>
      </c>
      <c r="EE10" s="19">
        <f t="shared" si="63"/>
        <v>0</v>
      </c>
      <c r="EF10" s="67" t="str">
        <f t="shared" si="64"/>
        <v>0</v>
      </c>
      <c r="EG10" s="74">
        <f t="shared" si="65"/>
        <v>0</v>
      </c>
      <c r="EH10" s="27">
        <f t="shared" si="66"/>
        <v>0</v>
      </c>
      <c r="EI10" s="25" t="str">
        <f t="shared" si="67"/>
        <v>0</v>
      </c>
      <c r="EJ10" s="25">
        <f t="shared" si="68"/>
        <v>0</v>
      </c>
      <c r="EK10" s="26">
        <f t="shared" si="29"/>
        <v>0</v>
      </c>
      <c r="EL10" s="29">
        <f t="shared" si="69"/>
        <v>0.87804878048780488</v>
      </c>
      <c r="EM10" s="30">
        <f t="shared" si="30"/>
        <v>0.18181818181818182</v>
      </c>
      <c r="EN10" s="30">
        <f t="shared" si="31"/>
        <v>0.61538461538461542</v>
      </c>
      <c r="EO10" s="31">
        <f t="shared" si="70"/>
        <v>0</v>
      </c>
      <c r="EP10" s="31">
        <f t="shared" si="32"/>
        <v>0</v>
      </c>
      <c r="EQ10" s="31">
        <f t="shared" si="71"/>
        <v>0</v>
      </c>
      <c r="ER10" s="93" t="str">
        <f t="shared" si="33"/>
        <v>0</v>
      </c>
      <c r="ES10" s="109">
        <f t="shared" si="34"/>
        <v>129.41542345961832</v>
      </c>
      <c r="ET10" s="32">
        <f t="shared" si="35"/>
        <v>2.2813470538563929</v>
      </c>
      <c r="EV10" s="277"/>
      <c r="EW10" s="278"/>
      <c r="EX10" s="37">
        <f t="shared" si="81"/>
        <v>0</v>
      </c>
      <c r="EY10" s="72">
        <f t="shared" si="72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0</v>
      </c>
      <c r="FG10" s="182">
        <f t="shared" si="36"/>
        <v>0</v>
      </c>
      <c r="FH10" s="183" t="s">
        <v>52</v>
      </c>
      <c r="FI10" s="184">
        <f t="shared" si="73"/>
        <v>0</v>
      </c>
      <c r="FJ10" s="193" t="str">
        <f t="shared" si="74"/>
        <v>0</v>
      </c>
      <c r="FK10" s="185">
        <f t="shared" si="37"/>
        <v>0</v>
      </c>
      <c r="FL10" s="183" t="s">
        <v>52</v>
      </c>
      <c r="FM10" s="186">
        <f t="shared" si="38"/>
        <v>0</v>
      </c>
      <c r="FN10" s="193" t="str">
        <f t="shared" si="75"/>
        <v>0</v>
      </c>
      <c r="FO10" s="261">
        <f t="shared" si="76"/>
        <v>0</v>
      </c>
      <c r="FP10" s="183" t="s">
        <v>52</v>
      </c>
      <c r="FQ10" s="268">
        <f t="shared" si="77"/>
        <v>0</v>
      </c>
      <c r="FR10" s="196" t="str">
        <f t="shared" si="78"/>
        <v>0</v>
      </c>
      <c r="FS10" s="179">
        <f t="shared" si="39"/>
        <v>0</v>
      </c>
      <c r="FT10" s="179">
        <f t="shared" si="39"/>
        <v>0</v>
      </c>
      <c r="FU10" s="179">
        <f t="shared" si="40"/>
        <v>0</v>
      </c>
      <c r="FV10" s="187">
        <f t="shared" si="40"/>
        <v>0</v>
      </c>
      <c r="FW10" s="179">
        <f t="shared" si="40"/>
        <v>0</v>
      </c>
      <c r="FX10" s="179">
        <f t="shared" si="40"/>
        <v>0</v>
      </c>
      <c r="FY10" s="179">
        <f t="shared" si="40"/>
        <v>0</v>
      </c>
      <c r="FZ10" s="179">
        <f t="shared" si="40"/>
        <v>0</v>
      </c>
      <c r="GA10" s="179">
        <f t="shared" si="40"/>
        <v>0</v>
      </c>
      <c r="GB10" s="179">
        <f t="shared" si="40"/>
        <v>0</v>
      </c>
      <c r="GC10" s="187">
        <f t="shared" si="40"/>
        <v>0</v>
      </c>
      <c r="GD10" s="203" t="str">
        <f t="shared" si="79"/>
        <v>0</v>
      </c>
      <c r="GE10" s="179" t="str">
        <f t="shared" si="79"/>
        <v>0</v>
      </c>
      <c r="GF10" s="179" t="str">
        <f t="shared" si="79"/>
        <v>0</v>
      </c>
      <c r="GG10" s="258">
        <f t="shared" si="79"/>
        <v>149.15927984482252</v>
      </c>
      <c r="GH10" s="179"/>
      <c r="GJ10" s="82"/>
      <c r="GK10" s="24"/>
      <c r="GL10" s="185">
        <f>(CQ10/CQ37)*(EY38-EX38)</f>
        <v>0</v>
      </c>
      <c r="GM10" s="185">
        <f>((E38/G38)*(1-(CJ38/(CJ38+CK37))))/((E38/G38)*(1-(CJ38/(CJ38+CK37)))+((1-(E38/G38)))*(CJ38/(CJ38+CK37)))</f>
        <v>0.87804878048780488</v>
      </c>
      <c r="GN10" s="24">
        <f>GK10+(GL10/10)+(GJ10*GM10*(1-(CJ38/(CJ38+CK37))))+(CK10*(1-GM10))</f>
        <v>0</v>
      </c>
      <c r="GO10" s="213" t="e">
        <f>GN10/(DD10*EG38)</f>
        <v>#DIV/0!</v>
      </c>
    </row>
    <row r="11" spans="1:197" x14ac:dyDescent="0.2">
      <c r="A11" s="139"/>
      <c r="B11" s="430" t="s">
        <v>117</v>
      </c>
      <c r="C11" s="431" t="s">
        <v>211</v>
      </c>
      <c r="D11" s="473">
        <v>4.08</v>
      </c>
      <c r="E11" s="114">
        <f t="shared" si="0"/>
        <v>0</v>
      </c>
      <c r="F11" s="424" t="s">
        <v>52</v>
      </c>
      <c r="G11" s="115">
        <f t="shared" si="1"/>
        <v>0</v>
      </c>
      <c r="H11" s="116" t="s">
        <v>53</v>
      </c>
      <c r="I11" s="424">
        <f t="shared" si="41"/>
        <v>0</v>
      </c>
      <c r="J11" s="115" t="s">
        <v>54</v>
      </c>
      <c r="K11" s="116">
        <f t="shared" si="2"/>
        <v>0</v>
      </c>
      <c r="L11" s="424" t="s">
        <v>52</v>
      </c>
      <c r="M11" s="115">
        <f t="shared" si="3"/>
        <v>0</v>
      </c>
      <c r="N11" s="116" t="s">
        <v>53</v>
      </c>
      <c r="O11" s="424">
        <f t="shared" si="4"/>
        <v>0</v>
      </c>
      <c r="P11" s="115" t="s">
        <v>54</v>
      </c>
      <c r="Q11" s="116">
        <f t="shared" si="5"/>
        <v>0</v>
      </c>
      <c r="R11" s="424" t="s">
        <v>52</v>
      </c>
      <c r="S11" s="115">
        <f t="shared" si="42"/>
        <v>0</v>
      </c>
      <c r="T11" s="116" t="s">
        <v>53</v>
      </c>
      <c r="U11" s="424">
        <f t="shared" si="6"/>
        <v>0</v>
      </c>
      <c r="V11" s="115" t="s">
        <v>54</v>
      </c>
      <c r="W11" s="116">
        <f t="shared" si="7"/>
        <v>0</v>
      </c>
      <c r="X11" s="424" t="s">
        <v>52</v>
      </c>
      <c r="Y11" s="115">
        <f t="shared" si="8"/>
        <v>0</v>
      </c>
      <c r="Z11" s="116" t="s">
        <v>53</v>
      </c>
      <c r="AA11" s="424">
        <f t="shared" si="9"/>
        <v>0</v>
      </c>
      <c r="AB11" s="115" t="s">
        <v>54</v>
      </c>
      <c r="AC11" s="116">
        <f t="shared" si="43"/>
        <v>0</v>
      </c>
      <c r="AD11" s="424" t="s">
        <v>52</v>
      </c>
      <c r="AE11" s="117">
        <f t="shared" si="44"/>
        <v>0</v>
      </c>
      <c r="AF11" s="425"/>
      <c r="AG11" s="114">
        <f t="shared" si="45"/>
        <v>0</v>
      </c>
      <c r="AH11" s="424" t="s">
        <v>52</v>
      </c>
      <c r="AI11" s="115">
        <f t="shared" si="10"/>
        <v>0</v>
      </c>
      <c r="AJ11" s="116" t="s">
        <v>53</v>
      </c>
      <c r="AK11" s="424">
        <f t="shared" si="11"/>
        <v>0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0</v>
      </c>
      <c r="BB11" s="246" t="s">
        <v>53</v>
      </c>
      <c r="BC11" s="244">
        <v>0</v>
      </c>
      <c r="BD11" s="245" t="s">
        <v>54</v>
      </c>
      <c r="BE11" s="116">
        <v>0</v>
      </c>
      <c r="BF11" s="424" t="s">
        <v>52</v>
      </c>
      <c r="BG11" s="117">
        <v>0</v>
      </c>
      <c r="BH11" s="115"/>
      <c r="BI11" s="114">
        <f t="shared" si="12"/>
        <v>0</v>
      </c>
      <c r="BJ11" s="424" t="s">
        <v>52</v>
      </c>
      <c r="BK11" s="115">
        <f t="shared" si="46"/>
        <v>0</v>
      </c>
      <c r="BL11" s="116" t="s">
        <v>53</v>
      </c>
      <c r="BM11" s="424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424" t="s">
        <v>52</v>
      </c>
      <c r="CI11" s="117">
        <v>0</v>
      </c>
      <c r="CJ11" s="140">
        <v>0</v>
      </c>
      <c r="CK11" s="148">
        <f t="shared" si="80"/>
        <v>0</v>
      </c>
      <c r="CL11" s="148">
        <v>0</v>
      </c>
      <c r="CM11" s="148">
        <v>0</v>
      </c>
      <c r="CN11" s="148">
        <f t="shared" si="47"/>
        <v>0</v>
      </c>
      <c r="CO11" s="175">
        <v>0</v>
      </c>
      <c r="CP11" s="140">
        <v>0</v>
      </c>
      <c r="CQ11" s="175">
        <v>1</v>
      </c>
      <c r="CR11" s="148">
        <v>0</v>
      </c>
      <c r="CS11" s="148">
        <v>0</v>
      </c>
      <c r="CT11" s="140">
        <v>0</v>
      </c>
      <c r="CU11" s="140">
        <v>0</v>
      </c>
      <c r="CV11" s="148">
        <f t="shared" si="48"/>
        <v>0</v>
      </c>
      <c r="CW11" s="140"/>
      <c r="CX11" s="164" t="str">
        <f t="shared" si="49"/>
        <v>0</v>
      </c>
      <c r="CY11" s="147" t="str">
        <f t="shared" si="14"/>
        <v>0</v>
      </c>
      <c r="CZ11" s="165">
        <f t="shared" si="15"/>
        <v>0</v>
      </c>
      <c r="DA11" s="164">
        <f t="shared" si="16"/>
        <v>99.417228726448414</v>
      </c>
      <c r="DB11" s="141"/>
      <c r="DC11" s="141"/>
      <c r="DD11" s="77">
        <f t="shared" si="50"/>
        <v>0.4827259820160909</v>
      </c>
      <c r="DE11" s="37" t="str">
        <f t="shared" si="51"/>
        <v>0</v>
      </c>
      <c r="DF11" s="37" t="str">
        <f t="shared" si="52"/>
        <v>0</v>
      </c>
      <c r="DG11" s="37" t="str">
        <f t="shared" si="53"/>
        <v>0</v>
      </c>
      <c r="DH11" s="37">
        <f t="shared" si="17"/>
        <v>0</v>
      </c>
      <c r="DI11" s="37">
        <f t="shared" si="18"/>
        <v>0</v>
      </c>
      <c r="DJ11" s="37">
        <f t="shared" si="19"/>
        <v>0</v>
      </c>
      <c r="DK11" s="37">
        <f t="shared" si="20"/>
        <v>0</v>
      </c>
      <c r="DL11" s="37">
        <f t="shared" si="21"/>
        <v>0</v>
      </c>
      <c r="DM11" s="37">
        <f t="shared" si="22"/>
        <v>0</v>
      </c>
      <c r="DN11" s="37" t="str">
        <f t="shared" si="54"/>
        <v>0</v>
      </c>
      <c r="DO11" s="37" t="str">
        <f t="shared" si="55"/>
        <v>0</v>
      </c>
      <c r="DP11" s="66">
        <f t="shared" si="56"/>
        <v>9.8039215686274517</v>
      </c>
      <c r="DQ11" s="78">
        <f t="shared" si="57"/>
        <v>0</v>
      </c>
      <c r="DR11" s="6"/>
      <c r="DS11" s="36"/>
      <c r="DT11" s="75">
        <f t="shared" si="58"/>
        <v>-4.2093137254901958</v>
      </c>
      <c r="DU11" s="18">
        <f t="shared" si="23"/>
        <v>0</v>
      </c>
      <c r="DV11" s="13" t="str">
        <f t="shared" si="59"/>
        <v>0</v>
      </c>
      <c r="DW11" s="14">
        <f t="shared" si="24"/>
        <v>0.40034311405584477</v>
      </c>
      <c r="DX11" s="14">
        <f t="shared" si="25"/>
        <v>0</v>
      </c>
      <c r="DY11" s="14" t="str">
        <f t="shared" si="60"/>
        <v>0</v>
      </c>
      <c r="DZ11" s="15">
        <f t="shared" si="26"/>
        <v>17.467749999999999</v>
      </c>
      <c r="EA11" s="14">
        <f t="shared" si="61"/>
        <v>0.82104904445375804</v>
      </c>
      <c r="EB11" s="14">
        <f t="shared" si="27"/>
        <v>0.18181818181818182</v>
      </c>
      <c r="EC11" s="14">
        <f t="shared" si="28"/>
        <v>0.50484826589595366</v>
      </c>
      <c r="ED11" s="14">
        <f t="shared" si="62"/>
        <v>0</v>
      </c>
      <c r="EE11" s="19">
        <f t="shared" si="63"/>
        <v>0</v>
      </c>
      <c r="EF11" s="67" t="str">
        <f t="shared" si="64"/>
        <v>0</v>
      </c>
      <c r="EG11" s="74">
        <f t="shared" si="65"/>
        <v>0</v>
      </c>
      <c r="EH11" s="27">
        <f t="shared" si="66"/>
        <v>0</v>
      </c>
      <c r="EI11" s="25" t="str">
        <f t="shared" si="67"/>
        <v>0</v>
      </c>
      <c r="EJ11" s="25">
        <f t="shared" si="68"/>
        <v>0</v>
      </c>
      <c r="EK11" s="26">
        <f t="shared" si="29"/>
        <v>0</v>
      </c>
      <c r="EL11" s="29">
        <f t="shared" si="69"/>
        <v>0.81481481481481488</v>
      </c>
      <c r="EM11" s="30">
        <f t="shared" si="30"/>
        <v>0.14285714285714285</v>
      </c>
      <c r="EN11" s="30">
        <f t="shared" si="31"/>
        <v>0.42307692307692307</v>
      </c>
      <c r="EO11" s="31">
        <f t="shared" si="70"/>
        <v>0</v>
      </c>
      <c r="EP11" s="31">
        <f t="shared" si="32"/>
        <v>1.5948970770513602</v>
      </c>
      <c r="EQ11" s="31">
        <f t="shared" si="71"/>
        <v>1.5948970770513602</v>
      </c>
      <c r="ER11" s="93">
        <f t="shared" si="33"/>
        <v>0.50814585816743507</v>
      </c>
      <c r="ES11" s="109">
        <f t="shared" si="34"/>
        <v>93.510414463627555</v>
      </c>
      <c r="ET11" s="32">
        <f t="shared" si="35"/>
        <v>2.5016458196181697</v>
      </c>
      <c r="EV11" s="277"/>
      <c r="EW11" s="278"/>
      <c r="EX11" s="37">
        <f t="shared" si="81"/>
        <v>0</v>
      </c>
      <c r="EY11" s="72">
        <f t="shared" si="72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4.08</v>
      </c>
      <c r="FG11" s="144">
        <f t="shared" si="36"/>
        <v>0</v>
      </c>
      <c r="FH11" s="424" t="s">
        <v>52</v>
      </c>
      <c r="FI11" s="145">
        <f t="shared" si="73"/>
        <v>0</v>
      </c>
      <c r="FJ11" s="194" t="str">
        <f t="shared" si="74"/>
        <v>0</v>
      </c>
      <c r="FK11" s="110">
        <f t="shared" si="37"/>
        <v>0</v>
      </c>
      <c r="FL11" s="424" t="s">
        <v>52</v>
      </c>
      <c r="FM11" s="168">
        <f t="shared" si="38"/>
        <v>0</v>
      </c>
      <c r="FN11" s="194" t="str">
        <f t="shared" si="75"/>
        <v>0</v>
      </c>
      <c r="FO11" s="262">
        <f t="shared" si="76"/>
        <v>0</v>
      </c>
      <c r="FP11" s="424" t="s">
        <v>52</v>
      </c>
      <c r="FQ11" s="274">
        <f t="shared" si="77"/>
        <v>0</v>
      </c>
      <c r="FR11" s="197" t="str">
        <f t="shared" si="78"/>
        <v>0</v>
      </c>
      <c r="FS11" s="140">
        <f t="shared" si="39"/>
        <v>0</v>
      </c>
      <c r="FT11" s="140">
        <f t="shared" si="39"/>
        <v>0</v>
      </c>
      <c r="FU11" s="140">
        <f t="shared" si="40"/>
        <v>0</v>
      </c>
      <c r="FV11" s="175">
        <f t="shared" si="40"/>
        <v>0</v>
      </c>
      <c r="FW11" s="140">
        <f t="shared" si="40"/>
        <v>0</v>
      </c>
      <c r="FX11" s="140">
        <f t="shared" si="40"/>
        <v>1</v>
      </c>
      <c r="FY11" s="140">
        <f t="shared" si="40"/>
        <v>0</v>
      </c>
      <c r="FZ11" s="140">
        <f t="shared" si="40"/>
        <v>0</v>
      </c>
      <c r="GA11" s="140">
        <f t="shared" si="40"/>
        <v>0</v>
      </c>
      <c r="GB11" s="140">
        <f t="shared" si="40"/>
        <v>0</v>
      </c>
      <c r="GC11" s="175">
        <f t="shared" si="40"/>
        <v>0</v>
      </c>
      <c r="GD11" s="202" t="str">
        <f t="shared" si="79"/>
        <v>0</v>
      </c>
      <c r="GE11" s="140" t="str">
        <f t="shared" si="79"/>
        <v>0</v>
      </c>
      <c r="GF11" s="140">
        <f t="shared" si="79"/>
        <v>0</v>
      </c>
      <c r="GG11" s="259">
        <f t="shared" si="79"/>
        <v>99.417228726448414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430" t="s">
        <v>117</v>
      </c>
      <c r="C12" s="431" t="s">
        <v>212</v>
      </c>
      <c r="D12" s="473">
        <v>3.57</v>
      </c>
      <c r="E12" s="114">
        <f t="shared" si="0"/>
        <v>2</v>
      </c>
      <c r="F12" s="424" t="s">
        <v>52</v>
      </c>
      <c r="G12" s="115">
        <f t="shared" si="1"/>
        <v>3</v>
      </c>
      <c r="H12" s="116" t="s">
        <v>53</v>
      </c>
      <c r="I12" s="424">
        <f t="shared" si="41"/>
        <v>0</v>
      </c>
      <c r="J12" s="115" t="s">
        <v>54</v>
      </c>
      <c r="K12" s="116">
        <f t="shared" si="2"/>
        <v>2</v>
      </c>
      <c r="L12" s="424" t="s">
        <v>52</v>
      </c>
      <c r="M12" s="115">
        <f t="shared" si="3"/>
        <v>2</v>
      </c>
      <c r="N12" s="116" t="s">
        <v>53</v>
      </c>
      <c r="O12" s="424">
        <f t="shared" si="4"/>
        <v>0</v>
      </c>
      <c r="P12" s="115" t="s">
        <v>54</v>
      </c>
      <c r="Q12" s="116">
        <f t="shared" si="5"/>
        <v>0</v>
      </c>
      <c r="R12" s="424" t="s">
        <v>52</v>
      </c>
      <c r="S12" s="115">
        <f t="shared" si="42"/>
        <v>0</v>
      </c>
      <c r="T12" s="116" t="s">
        <v>53</v>
      </c>
      <c r="U12" s="424">
        <f t="shared" si="6"/>
        <v>0</v>
      </c>
      <c r="V12" s="115" t="s">
        <v>54</v>
      </c>
      <c r="W12" s="116">
        <f t="shared" si="7"/>
        <v>0</v>
      </c>
      <c r="X12" s="424" t="s">
        <v>52</v>
      </c>
      <c r="Y12" s="115">
        <f t="shared" si="8"/>
        <v>1</v>
      </c>
      <c r="Z12" s="116" t="s">
        <v>53</v>
      </c>
      <c r="AA12" s="424">
        <f t="shared" si="9"/>
        <v>0</v>
      </c>
      <c r="AB12" s="115" t="s">
        <v>54</v>
      </c>
      <c r="AC12" s="116">
        <f t="shared" si="43"/>
        <v>0</v>
      </c>
      <c r="AD12" s="424" t="s">
        <v>52</v>
      </c>
      <c r="AE12" s="117">
        <f t="shared" si="44"/>
        <v>0</v>
      </c>
      <c r="AF12" s="425"/>
      <c r="AG12" s="114">
        <f t="shared" si="45"/>
        <v>1</v>
      </c>
      <c r="AH12" s="424" t="s">
        <v>52</v>
      </c>
      <c r="AI12" s="115">
        <f t="shared" si="10"/>
        <v>1</v>
      </c>
      <c r="AJ12" s="116" t="s">
        <v>53</v>
      </c>
      <c r="AK12" s="424">
        <f t="shared" si="11"/>
        <v>0</v>
      </c>
      <c r="AL12" s="115" t="s">
        <v>54</v>
      </c>
      <c r="AM12" s="246">
        <v>1</v>
      </c>
      <c r="AN12" s="244" t="s">
        <v>52</v>
      </c>
      <c r="AO12" s="245">
        <v>1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424" t="s">
        <v>52</v>
      </c>
      <c r="BG12" s="117">
        <v>0</v>
      </c>
      <c r="BH12" s="115"/>
      <c r="BI12" s="114">
        <f t="shared" si="12"/>
        <v>1</v>
      </c>
      <c r="BJ12" s="424" t="s">
        <v>52</v>
      </c>
      <c r="BK12" s="115">
        <f t="shared" si="46"/>
        <v>2</v>
      </c>
      <c r="BL12" s="116" t="s">
        <v>53</v>
      </c>
      <c r="BM12" s="424">
        <f t="shared" si="13"/>
        <v>0</v>
      </c>
      <c r="BN12" s="115" t="s">
        <v>54</v>
      </c>
      <c r="BO12" s="246">
        <v>1</v>
      </c>
      <c r="BP12" s="244" t="s">
        <v>52</v>
      </c>
      <c r="BQ12" s="245">
        <v>1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1</v>
      </c>
      <c r="CD12" s="246" t="s">
        <v>53</v>
      </c>
      <c r="CE12" s="244">
        <v>0</v>
      </c>
      <c r="CF12" s="245" t="s">
        <v>54</v>
      </c>
      <c r="CG12" s="116">
        <v>0</v>
      </c>
      <c r="CH12" s="424" t="s">
        <v>52</v>
      </c>
      <c r="CI12" s="117">
        <v>0</v>
      </c>
      <c r="CJ12" s="140">
        <v>1</v>
      </c>
      <c r="CK12" s="148">
        <f t="shared" si="80"/>
        <v>1</v>
      </c>
      <c r="CL12" s="148">
        <v>0</v>
      </c>
      <c r="CM12" s="148">
        <v>1</v>
      </c>
      <c r="CN12" s="148">
        <f t="shared" si="47"/>
        <v>2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48"/>
        <v>4</v>
      </c>
      <c r="CW12" s="140"/>
      <c r="CX12" s="164">
        <f t="shared" si="49"/>
        <v>146.91703522455899</v>
      </c>
      <c r="CY12" s="147">
        <f t="shared" si="14"/>
        <v>0.71387123031678712</v>
      </c>
      <c r="CZ12" s="165">
        <f t="shared" si="15"/>
        <v>0.20500156657454455</v>
      </c>
      <c r="DA12" s="164">
        <f t="shared" si="16"/>
        <v>96.298556947682897</v>
      </c>
      <c r="DB12" s="141"/>
      <c r="DC12" s="141"/>
      <c r="DD12" s="77">
        <f t="shared" si="50"/>
        <v>0.42238523426407948</v>
      </c>
      <c r="DE12" s="37">
        <f t="shared" si="51"/>
        <v>0.66666666666666663</v>
      </c>
      <c r="DF12" s="37">
        <f t="shared" si="52"/>
        <v>0</v>
      </c>
      <c r="DG12" s="37">
        <f t="shared" si="53"/>
        <v>0.66666666666666663</v>
      </c>
      <c r="DH12" s="37">
        <f t="shared" si="17"/>
        <v>0.21522790934555641</v>
      </c>
      <c r="DI12" s="37">
        <f t="shared" si="18"/>
        <v>0.1691076430572229</v>
      </c>
      <c r="DJ12" s="37">
        <f t="shared" si="19"/>
        <v>0</v>
      </c>
      <c r="DK12" s="37">
        <f t="shared" si="20"/>
        <v>0</v>
      </c>
      <c r="DL12" s="37">
        <f t="shared" si="21"/>
        <v>0</v>
      </c>
      <c r="DM12" s="37">
        <f t="shared" si="22"/>
        <v>0</v>
      </c>
      <c r="DN12" s="37">
        <f t="shared" si="54"/>
        <v>0</v>
      </c>
      <c r="DO12" s="37" t="str">
        <f t="shared" si="55"/>
        <v>0</v>
      </c>
      <c r="DP12" s="66">
        <f t="shared" si="56"/>
        <v>0</v>
      </c>
      <c r="DQ12" s="78">
        <f t="shared" si="57"/>
        <v>0</v>
      </c>
      <c r="DR12" s="6"/>
      <c r="DS12" s="36"/>
      <c r="DT12" s="75">
        <f t="shared" si="58"/>
        <v>52.248459383753499</v>
      </c>
      <c r="DU12" s="18">
        <f t="shared" si="23"/>
        <v>2.00955264989426</v>
      </c>
      <c r="DV12" s="13">
        <f t="shared" si="59"/>
        <v>1.6745192818693866</v>
      </c>
      <c r="DW12" s="14">
        <f t="shared" si="24"/>
        <v>0.48822107719592012</v>
      </c>
      <c r="DX12" s="14">
        <f t="shared" si="25"/>
        <v>0</v>
      </c>
      <c r="DY12" s="14" t="str">
        <f t="shared" si="60"/>
        <v>0</v>
      </c>
      <c r="DZ12" s="15">
        <f t="shared" si="26"/>
        <v>17.467749999999999</v>
      </c>
      <c r="EA12" s="14">
        <f t="shared" si="61"/>
        <v>0.82104904445375804</v>
      </c>
      <c r="EB12" s="14">
        <f t="shared" si="27"/>
        <v>0.18181818181818182</v>
      </c>
      <c r="EC12" s="14">
        <f t="shared" si="28"/>
        <v>0.50484826589595366</v>
      </c>
      <c r="ED12" s="14">
        <f t="shared" si="62"/>
        <v>0.41450518630800953</v>
      </c>
      <c r="EE12" s="19">
        <f t="shared" si="63"/>
        <v>0.80545454545454542</v>
      </c>
      <c r="EF12" s="67" t="str">
        <f t="shared" si="64"/>
        <v>0</v>
      </c>
      <c r="EG12" s="74">
        <f t="shared" si="65"/>
        <v>2.8150071953488052</v>
      </c>
      <c r="EH12" s="27">
        <f t="shared" si="66"/>
        <v>4.1357251127644741</v>
      </c>
      <c r="EI12" s="25">
        <f t="shared" si="67"/>
        <v>3.3490385637387732</v>
      </c>
      <c r="EJ12" s="25">
        <f t="shared" si="68"/>
        <v>0</v>
      </c>
      <c r="EK12" s="26">
        <f t="shared" si="29"/>
        <v>0.94563018559197276</v>
      </c>
      <c r="EL12" s="29">
        <f t="shared" si="69"/>
        <v>0.81481481481481488</v>
      </c>
      <c r="EM12" s="30">
        <f t="shared" si="30"/>
        <v>0.14285714285714285</v>
      </c>
      <c r="EN12" s="30">
        <f t="shared" si="31"/>
        <v>0.42307692307692307</v>
      </c>
      <c r="EO12" s="31">
        <f t="shared" si="70"/>
        <v>0.18518518518518512</v>
      </c>
      <c r="EP12" s="31">
        <f t="shared" si="32"/>
        <v>1.3815349424199399</v>
      </c>
      <c r="EQ12" s="31">
        <f t="shared" si="71"/>
        <v>1.566720127605125</v>
      </c>
      <c r="ER12" s="93">
        <f t="shared" si="33"/>
        <v>0.57047825858776158</v>
      </c>
      <c r="ES12" s="109">
        <f t="shared" si="34"/>
        <v>93.510414463627555</v>
      </c>
      <c r="ET12" s="32">
        <f t="shared" si="35"/>
        <v>2.5016458196181697</v>
      </c>
      <c r="EV12" s="277"/>
      <c r="EW12" s="278"/>
      <c r="EX12" s="37">
        <f t="shared" si="81"/>
        <v>0</v>
      </c>
      <c r="EY12" s="72">
        <f t="shared" si="72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3.57</v>
      </c>
      <c r="FG12" s="182">
        <f t="shared" si="36"/>
        <v>2</v>
      </c>
      <c r="FH12" s="183" t="s">
        <v>52</v>
      </c>
      <c r="FI12" s="184">
        <f t="shared" si="73"/>
        <v>3</v>
      </c>
      <c r="FJ12" s="193">
        <f t="shared" si="74"/>
        <v>0.66666666666666663</v>
      </c>
      <c r="FK12" s="185">
        <f t="shared" si="37"/>
        <v>0</v>
      </c>
      <c r="FL12" s="183" t="s">
        <v>52</v>
      </c>
      <c r="FM12" s="186">
        <f t="shared" si="38"/>
        <v>1</v>
      </c>
      <c r="FN12" s="193">
        <f t="shared" si="75"/>
        <v>0</v>
      </c>
      <c r="FO12" s="261">
        <f t="shared" si="76"/>
        <v>0</v>
      </c>
      <c r="FP12" s="183" t="s">
        <v>52</v>
      </c>
      <c r="FQ12" s="268">
        <f t="shared" si="77"/>
        <v>0</v>
      </c>
      <c r="FR12" s="196" t="str">
        <f t="shared" si="78"/>
        <v>0</v>
      </c>
      <c r="FS12" s="179">
        <f t="shared" si="39"/>
        <v>1</v>
      </c>
      <c r="FT12" s="179">
        <f t="shared" si="39"/>
        <v>1</v>
      </c>
      <c r="FU12" s="179">
        <f t="shared" si="40"/>
        <v>2</v>
      </c>
      <c r="FV12" s="187">
        <f t="shared" si="40"/>
        <v>0</v>
      </c>
      <c r="FW12" s="179">
        <f t="shared" si="40"/>
        <v>0</v>
      </c>
      <c r="FX12" s="179">
        <f t="shared" si="40"/>
        <v>0</v>
      </c>
      <c r="FY12" s="179">
        <f t="shared" si="40"/>
        <v>0</v>
      </c>
      <c r="FZ12" s="179">
        <f t="shared" si="40"/>
        <v>0</v>
      </c>
      <c r="GA12" s="179">
        <f t="shared" si="40"/>
        <v>0</v>
      </c>
      <c r="GB12" s="179">
        <f t="shared" si="40"/>
        <v>0</v>
      </c>
      <c r="GC12" s="187">
        <f t="shared" si="40"/>
        <v>4</v>
      </c>
      <c r="GD12" s="203">
        <f t="shared" si="79"/>
        <v>146.91703522455899</v>
      </c>
      <c r="GE12" s="179">
        <f t="shared" si="79"/>
        <v>0.71387123031678712</v>
      </c>
      <c r="GF12" s="179">
        <f t="shared" si="79"/>
        <v>0.20500156657454455</v>
      </c>
      <c r="GG12" s="258">
        <f t="shared" si="79"/>
        <v>96.298556947682897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0.81481481481481488</v>
      </c>
      <c r="GN12" s="24">
        <f>GK12+(GL12/10)+(GJ12*GM12*(1-(CJ41/(CJ41+CK40))))+(CK12*(1-GM12))</f>
        <v>0.18518518518518512</v>
      </c>
      <c r="GO12" s="213">
        <f>GN12/(DD12*EG41)</f>
        <v>1.4238204438455257E-2</v>
      </c>
    </row>
    <row r="13" spans="1:197" x14ac:dyDescent="0.2">
      <c r="A13" s="139"/>
      <c r="B13" s="430" t="s">
        <v>117</v>
      </c>
      <c r="C13" s="431" t="s">
        <v>213</v>
      </c>
      <c r="D13" s="473">
        <v>6.72</v>
      </c>
      <c r="E13" s="114">
        <f t="shared" si="0"/>
        <v>3</v>
      </c>
      <c r="F13" s="424" t="s">
        <v>52</v>
      </c>
      <c r="G13" s="115">
        <f t="shared" si="1"/>
        <v>7</v>
      </c>
      <c r="H13" s="116" t="s">
        <v>53</v>
      </c>
      <c r="I13" s="424">
        <f t="shared" si="41"/>
        <v>1</v>
      </c>
      <c r="J13" s="115" t="s">
        <v>54</v>
      </c>
      <c r="K13" s="116">
        <f t="shared" si="2"/>
        <v>2</v>
      </c>
      <c r="L13" s="424" t="s">
        <v>52</v>
      </c>
      <c r="M13" s="115">
        <f t="shared" si="3"/>
        <v>4</v>
      </c>
      <c r="N13" s="116" t="s">
        <v>53</v>
      </c>
      <c r="O13" s="424">
        <f t="shared" si="4"/>
        <v>0</v>
      </c>
      <c r="P13" s="115" t="s">
        <v>54</v>
      </c>
      <c r="Q13" s="116">
        <f t="shared" si="5"/>
        <v>0</v>
      </c>
      <c r="R13" s="424" t="s">
        <v>52</v>
      </c>
      <c r="S13" s="115">
        <f t="shared" si="42"/>
        <v>0</v>
      </c>
      <c r="T13" s="116" t="s">
        <v>53</v>
      </c>
      <c r="U13" s="424">
        <f t="shared" si="6"/>
        <v>0</v>
      </c>
      <c r="V13" s="115" t="s">
        <v>54</v>
      </c>
      <c r="W13" s="116">
        <f t="shared" si="7"/>
        <v>1</v>
      </c>
      <c r="X13" s="424" t="s">
        <v>52</v>
      </c>
      <c r="Y13" s="115">
        <f t="shared" si="8"/>
        <v>3</v>
      </c>
      <c r="Z13" s="116" t="s">
        <v>53</v>
      </c>
      <c r="AA13" s="424">
        <f t="shared" si="9"/>
        <v>1</v>
      </c>
      <c r="AB13" s="115" t="s">
        <v>54</v>
      </c>
      <c r="AC13" s="116">
        <f t="shared" si="43"/>
        <v>0.75</v>
      </c>
      <c r="AD13" s="424" t="s">
        <v>52</v>
      </c>
      <c r="AE13" s="117">
        <f t="shared" si="44"/>
        <v>1</v>
      </c>
      <c r="AF13" s="425"/>
      <c r="AG13" s="114">
        <f t="shared" si="45"/>
        <v>2</v>
      </c>
      <c r="AH13" s="424" t="s">
        <v>52</v>
      </c>
      <c r="AI13" s="115">
        <f t="shared" si="10"/>
        <v>5</v>
      </c>
      <c r="AJ13" s="116" t="s">
        <v>53</v>
      </c>
      <c r="AK13" s="424">
        <f t="shared" si="11"/>
        <v>1</v>
      </c>
      <c r="AL13" s="115" t="s">
        <v>54</v>
      </c>
      <c r="AM13" s="246">
        <v>1</v>
      </c>
      <c r="AN13" s="244" t="s">
        <v>52</v>
      </c>
      <c r="AO13" s="245">
        <v>3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1</v>
      </c>
      <c r="AZ13" s="244" t="s">
        <v>52</v>
      </c>
      <c r="BA13" s="245">
        <v>2</v>
      </c>
      <c r="BB13" s="246" t="s">
        <v>53</v>
      </c>
      <c r="BC13" s="244">
        <v>1</v>
      </c>
      <c r="BD13" s="245" t="s">
        <v>54</v>
      </c>
      <c r="BE13" s="116">
        <v>0</v>
      </c>
      <c r="BF13" s="424" t="s">
        <v>52</v>
      </c>
      <c r="BG13" s="117">
        <v>0</v>
      </c>
      <c r="BH13" s="115"/>
      <c r="BI13" s="114">
        <f t="shared" si="12"/>
        <v>1</v>
      </c>
      <c r="BJ13" s="424" t="s">
        <v>52</v>
      </c>
      <c r="BK13" s="115">
        <f t="shared" si="46"/>
        <v>2</v>
      </c>
      <c r="BL13" s="116" t="s">
        <v>53</v>
      </c>
      <c r="BM13" s="424">
        <f t="shared" si="13"/>
        <v>0</v>
      </c>
      <c r="BN13" s="115" t="s">
        <v>54</v>
      </c>
      <c r="BO13" s="246">
        <v>1</v>
      </c>
      <c r="BP13" s="244" t="s">
        <v>52</v>
      </c>
      <c r="BQ13" s="245">
        <v>1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1</v>
      </c>
      <c r="CD13" s="246" t="s">
        <v>53</v>
      </c>
      <c r="CE13" s="244">
        <v>0</v>
      </c>
      <c r="CF13" s="245" t="s">
        <v>54</v>
      </c>
      <c r="CG13" s="116">
        <v>0</v>
      </c>
      <c r="CH13" s="424" t="s">
        <v>52</v>
      </c>
      <c r="CI13" s="117">
        <v>0</v>
      </c>
      <c r="CJ13" s="148">
        <v>0</v>
      </c>
      <c r="CK13" s="148">
        <f t="shared" si="80"/>
        <v>1</v>
      </c>
      <c r="CL13" s="148">
        <v>0</v>
      </c>
      <c r="CM13" s="148">
        <v>1</v>
      </c>
      <c r="CN13" s="148">
        <f t="shared" si="47"/>
        <v>1</v>
      </c>
      <c r="CO13" s="175">
        <v>0</v>
      </c>
      <c r="CP13" s="140">
        <v>0</v>
      </c>
      <c r="CQ13" s="175">
        <v>0</v>
      </c>
      <c r="CR13" s="148">
        <v>1</v>
      </c>
      <c r="CS13" s="148">
        <v>0</v>
      </c>
      <c r="CT13" s="140">
        <v>1</v>
      </c>
      <c r="CU13" s="140">
        <v>0</v>
      </c>
      <c r="CV13" s="148">
        <f t="shared" si="48"/>
        <v>7.75</v>
      </c>
      <c r="CW13" s="140"/>
      <c r="CX13" s="164">
        <f t="shared" si="49"/>
        <v>93.017944798529001</v>
      </c>
      <c r="CY13" s="147">
        <f t="shared" si="14"/>
        <v>0.40578826953386382</v>
      </c>
      <c r="CZ13" s="165">
        <f t="shared" si="15"/>
        <v>0.27650249889396472</v>
      </c>
      <c r="DA13" s="164">
        <f t="shared" si="16"/>
        <v>97.879990738570328</v>
      </c>
      <c r="DB13" s="141"/>
      <c r="DC13" s="141"/>
      <c r="DD13" s="77">
        <f t="shared" si="50"/>
        <v>0.79507808802650259</v>
      </c>
      <c r="DE13" s="37">
        <f t="shared" si="51"/>
        <v>0.42857142857142855</v>
      </c>
      <c r="DF13" s="37">
        <f t="shared" si="52"/>
        <v>0.33333333333333331</v>
      </c>
      <c r="DG13" s="37">
        <f t="shared" si="53"/>
        <v>0.5</v>
      </c>
      <c r="DH13" s="37">
        <f t="shared" si="17"/>
        <v>0</v>
      </c>
      <c r="DI13" s="37">
        <f t="shared" si="18"/>
        <v>8.9838435374149664E-2</v>
      </c>
      <c r="DJ13" s="37">
        <f t="shared" si="19"/>
        <v>0</v>
      </c>
      <c r="DK13" s="37">
        <f t="shared" si="20"/>
        <v>0</v>
      </c>
      <c r="DL13" s="37">
        <f t="shared" si="21"/>
        <v>0</v>
      </c>
      <c r="DM13" s="37">
        <f t="shared" si="22"/>
        <v>0</v>
      </c>
      <c r="DN13" s="37">
        <f t="shared" si="54"/>
        <v>0.13991927721561592</v>
      </c>
      <c r="DO13" s="37">
        <f t="shared" si="55"/>
        <v>0</v>
      </c>
      <c r="DP13" s="66">
        <f t="shared" si="56"/>
        <v>0</v>
      </c>
      <c r="DQ13" s="78">
        <f t="shared" si="57"/>
        <v>5.9523809523809526</v>
      </c>
      <c r="DR13" s="6"/>
      <c r="DS13" s="36"/>
      <c r="DT13" s="75">
        <f t="shared" si="58"/>
        <v>21.376190476190487</v>
      </c>
      <c r="DU13" s="18">
        <f t="shared" si="23"/>
        <v>2.9001598465130947</v>
      </c>
      <c r="DV13" s="13">
        <f t="shared" si="59"/>
        <v>2.6696577260908789</v>
      </c>
      <c r="DW13" s="14">
        <f t="shared" si="24"/>
        <v>0.44045636521216108</v>
      </c>
      <c r="DX13" s="14">
        <f t="shared" si="25"/>
        <v>0</v>
      </c>
      <c r="DY13" s="14">
        <f t="shared" si="60"/>
        <v>0.375</v>
      </c>
      <c r="DZ13" s="15">
        <f t="shared" si="26"/>
        <v>17.467749999999999</v>
      </c>
      <c r="EA13" s="14">
        <f t="shared" si="61"/>
        <v>0.82104904445375804</v>
      </c>
      <c r="EB13" s="14">
        <f t="shared" si="27"/>
        <v>0.18181818181818182</v>
      </c>
      <c r="EC13" s="14">
        <f t="shared" si="28"/>
        <v>0.50484826589595366</v>
      </c>
      <c r="ED13" s="14">
        <f t="shared" si="62"/>
        <v>0</v>
      </c>
      <c r="EE13" s="19">
        <f t="shared" si="63"/>
        <v>3.2218181818181817</v>
      </c>
      <c r="EF13" s="67">
        <f t="shared" si="64"/>
        <v>2.5000000000000001E-2</v>
      </c>
      <c r="EG13" s="74">
        <f t="shared" si="65"/>
        <v>7.1469780283312767</v>
      </c>
      <c r="EH13" s="27">
        <f t="shared" si="66"/>
        <v>6.6479720771561839</v>
      </c>
      <c r="EI13" s="25">
        <f t="shared" si="67"/>
        <v>6.2292013608787178</v>
      </c>
      <c r="EJ13" s="25">
        <f t="shared" si="68"/>
        <v>0</v>
      </c>
      <c r="EK13" s="26">
        <f t="shared" si="29"/>
        <v>0</v>
      </c>
      <c r="EL13" s="29">
        <f t="shared" si="69"/>
        <v>0.81481481481481488</v>
      </c>
      <c r="EM13" s="30">
        <f t="shared" si="30"/>
        <v>0.14285714285714285</v>
      </c>
      <c r="EN13" s="30">
        <f t="shared" si="31"/>
        <v>0.42307692307692307</v>
      </c>
      <c r="EO13" s="31">
        <f t="shared" si="70"/>
        <v>0.18518518518518512</v>
      </c>
      <c r="EP13" s="31">
        <f t="shared" si="32"/>
        <v>2.6005363622022402</v>
      </c>
      <c r="EQ13" s="31">
        <f t="shared" si="71"/>
        <v>2.7857215473874253</v>
      </c>
      <c r="ER13" s="93">
        <f t="shared" si="33"/>
        <v>0.53887039110936685</v>
      </c>
      <c r="ES13" s="109">
        <f t="shared" si="34"/>
        <v>93.510414463627555</v>
      </c>
      <c r="ET13" s="32">
        <f t="shared" si="35"/>
        <v>2.5016458196181697</v>
      </c>
      <c r="EV13" s="277"/>
      <c r="EW13" s="278"/>
      <c r="EX13" s="37">
        <f t="shared" si="81"/>
        <v>0.75</v>
      </c>
      <c r="EY13" s="72">
        <f t="shared" si="72"/>
        <v>1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6.72</v>
      </c>
      <c r="FG13" s="144">
        <f t="shared" si="36"/>
        <v>3</v>
      </c>
      <c r="FH13" s="424" t="s">
        <v>52</v>
      </c>
      <c r="FI13" s="145">
        <f t="shared" si="73"/>
        <v>7</v>
      </c>
      <c r="FJ13" s="194">
        <f t="shared" si="74"/>
        <v>0.42857142857142855</v>
      </c>
      <c r="FK13" s="110">
        <f t="shared" si="37"/>
        <v>1</v>
      </c>
      <c r="FL13" s="424" t="s">
        <v>52</v>
      </c>
      <c r="FM13" s="168">
        <f t="shared" si="38"/>
        <v>3</v>
      </c>
      <c r="FN13" s="194">
        <f t="shared" si="75"/>
        <v>0.33333333333333331</v>
      </c>
      <c r="FO13" s="262">
        <f t="shared" si="76"/>
        <v>0</v>
      </c>
      <c r="FP13" s="424" t="s">
        <v>52</v>
      </c>
      <c r="FQ13" s="274">
        <f t="shared" si="77"/>
        <v>0</v>
      </c>
      <c r="FR13" s="197" t="str">
        <f t="shared" si="78"/>
        <v>0</v>
      </c>
      <c r="FS13" s="140">
        <f t="shared" si="39"/>
        <v>0</v>
      </c>
      <c r="FT13" s="140">
        <f t="shared" si="39"/>
        <v>1</v>
      </c>
      <c r="FU13" s="140">
        <f t="shared" si="40"/>
        <v>1</v>
      </c>
      <c r="FV13" s="175">
        <f t="shared" si="40"/>
        <v>0</v>
      </c>
      <c r="FW13" s="140">
        <f t="shared" si="40"/>
        <v>0</v>
      </c>
      <c r="FX13" s="140">
        <f t="shared" si="40"/>
        <v>0</v>
      </c>
      <c r="FY13" s="140">
        <f t="shared" si="40"/>
        <v>1</v>
      </c>
      <c r="FZ13" s="140">
        <f t="shared" si="40"/>
        <v>0</v>
      </c>
      <c r="GA13" s="140">
        <f t="shared" si="40"/>
        <v>1</v>
      </c>
      <c r="GB13" s="140">
        <f t="shared" si="40"/>
        <v>0</v>
      </c>
      <c r="GC13" s="175">
        <f t="shared" si="40"/>
        <v>7.75</v>
      </c>
      <c r="GD13" s="202">
        <f t="shared" si="79"/>
        <v>93.017944798529001</v>
      </c>
      <c r="GE13" s="140">
        <f t="shared" si="79"/>
        <v>0.40578826953386382</v>
      </c>
      <c r="GF13" s="140">
        <f t="shared" si="79"/>
        <v>0.27650249889396472</v>
      </c>
      <c r="GG13" s="259">
        <f t="shared" si="79"/>
        <v>97.879990738570328</v>
      </c>
      <c r="GH13" s="140"/>
      <c r="GJ13" s="82"/>
      <c r="GK13" s="24"/>
      <c r="GL13" s="185">
        <f>(CQ13/CQ42)*(EY43-EX43)</f>
        <v>0</v>
      </c>
      <c r="GM13" s="185">
        <f>((E43/G43)*(1-(CJ43/(CJ43+CK42))))/((E43/G43)*(1-(CJ43/(CJ43+CK42)))+((1-(E43/G43)))*(CJ43/(CJ43+CK42)))</f>
        <v>0.90566037735849048</v>
      </c>
      <c r="GN13" s="24">
        <f>GK13+(GL13/10)+(GJ13*GM13*(1-(CJ43/(CJ43+CK42))))+(CK13*(1-GM13))</f>
        <v>9.4339622641509524E-2</v>
      </c>
      <c r="GO13" s="213">
        <f>GN13/(DD13*EG43)</f>
        <v>3.6498141314674735E-3</v>
      </c>
    </row>
    <row r="14" spans="1:197" x14ac:dyDescent="0.2">
      <c r="A14" s="139"/>
      <c r="B14" s="430" t="s">
        <v>117</v>
      </c>
      <c r="C14" s="431" t="s">
        <v>214</v>
      </c>
      <c r="D14" s="473">
        <v>6.7</v>
      </c>
      <c r="E14" s="114">
        <f t="shared" si="0"/>
        <v>5</v>
      </c>
      <c r="F14" s="424" t="s">
        <v>52</v>
      </c>
      <c r="G14" s="115">
        <f t="shared" si="1"/>
        <v>7</v>
      </c>
      <c r="H14" s="116" t="s">
        <v>53</v>
      </c>
      <c r="I14" s="424">
        <f t="shared" si="41"/>
        <v>2</v>
      </c>
      <c r="J14" s="115" t="s">
        <v>54</v>
      </c>
      <c r="K14" s="116">
        <f t="shared" si="2"/>
        <v>3</v>
      </c>
      <c r="L14" s="424" t="s">
        <v>52</v>
      </c>
      <c r="M14" s="115">
        <f t="shared" si="3"/>
        <v>4</v>
      </c>
      <c r="N14" s="116" t="s">
        <v>53</v>
      </c>
      <c r="O14" s="424">
        <f t="shared" si="4"/>
        <v>1</v>
      </c>
      <c r="P14" s="115" t="s">
        <v>54</v>
      </c>
      <c r="Q14" s="116">
        <f t="shared" si="5"/>
        <v>0</v>
      </c>
      <c r="R14" s="424" t="s">
        <v>52</v>
      </c>
      <c r="S14" s="115">
        <f t="shared" si="42"/>
        <v>0</v>
      </c>
      <c r="T14" s="116" t="s">
        <v>53</v>
      </c>
      <c r="U14" s="424">
        <f t="shared" si="6"/>
        <v>0</v>
      </c>
      <c r="V14" s="115" t="s">
        <v>54</v>
      </c>
      <c r="W14" s="116">
        <f t="shared" si="7"/>
        <v>2</v>
      </c>
      <c r="X14" s="424" t="s">
        <v>52</v>
      </c>
      <c r="Y14" s="115">
        <f t="shared" si="8"/>
        <v>3</v>
      </c>
      <c r="Z14" s="116" t="s">
        <v>53</v>
      </c>
      <c r="AA14" s="424">
        <f t="shared" si="9"/>
        <v>1</v>
      </c>
      <c r="AB14" s="115" t="s">
        <v>54</v>
      </c>
      <c r="AC14" s="116">
        <f t="shared" si="43"/>
        <v>1.4</v>
      </c>
      <c r="AD14" s="424" t="s">
        <v>52</v>
      </c>
      <c r="AE14" s="117">
        <f t="shared" si="44"/>
        <v>2</v>
      </c>
      <c r="AF14" s="425"/>
      <c r="AG14" s="114">
        <f t="shared" si="45"/>
        <v>5</v>
      </c>
      <c r="AH14" s="424" t="s">
        <v>52</v>
      </c>
      <c r="AI14" s="115">
        <f t="shared" si="10"/>
        <v>7</v>
      </c>
      <c r="AJ14" s="116" t="s">
        <v>53</v>
      </c>
      <c r="AK14" s="424">
        <f t="shared" si="11"/>
        <v>2</v>
      </c>
      <c r="AL14" s="115" t="s">
        <v>54</v>
      </c>
      <c r="AM14" s="246">
        <v>3</v>
      </c>
      <c r="AN14" s="244" t="s">
        <v>52</v>
      </c>
      <c r="AO14" s="245">
        <v>4</v>
      </c>
      <c r="AP14" s="246" t="s">
        <v>53</v>
      </c>
      <c r="AQ14" s="244">
        <v>1</v>
      </c>
      <c r="AR14" s="245" t="s">
        <v>54</v>
      </c>
      <c r="AS14" s="246">
        <v>0</v>
      </c>
      <c r="AT14" s="244" t="s">
        <v>52</v>
      </c>
      <c r="AU14" s="245">
        <v>0</v>
      </c>
      <c r="AV14" s="246" t="s">
        <v>53</v>
      </c>
      <c r="AW14" s="244">
        <v>0</v>
      </c>
      <c r="AX14" s="245" t="s">
        <v>54</v>
      </c>
      <c r="AY14" s="246">
        <v>2</v>
      </c>
      <c r="AZ14" s="244" t="s">
        <v>52</v>
      </c>
      <c r="BA14" s="245">
        <v>3</v>
      </c>
      <c r="BB14" s="246" t="s">
        <v>53</v>
      </c>
      <c r="BC14" s="244">
        <v>1</v>
      </c>
      <c r="BD14" s="245" t="s">
        <v>54</v>
      </c>
      <c r="BE14" s="116">
        <v>0</v>
      </c>
      <c r="BF14" s="424" t="s">
        <v>52</v>
      </c>
      <c r="BG14" s="117">
        <v>0</v>
      </c>
      <c r="BH14" s="115"/>
      <c r="BI14" s="114">
        <f t="shared" si="12"/>
        <v>0</v>
      </c>
      <c r="BJ14" s="424" t="s">
        <v>52</v>
      </c>
      <c r="BK14" s="115">
        <f t="shared" si="46"/>
        <v>0</v>
      </c>
      <c r="BL14" s="116" t="s">
        <v>53</v>
      </c>
      <c r="BM14" s="424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0</v>
      </c>
      <c r="CD14" s="246" t="s">
        <v>53</v>
      </c>
      <c r="CE14" s="244">
        <v>0</v>
      </c>
      <c r="CF14" s="245" t="s">
        <v>54</v>
      </c>
      <c r="CG14" s="116">
        <v>0</v>
      </c>
      <c r="CH14" s="424" t="s">
        <v>52</v>
      </c>
      <c r="CI14" s="117">
        <v>0</v>
      </c>
      <c r="CJ14" s="140">
        <v>0</v>
      </c>
      <c r="CK14" s="148">
        <f t="shared" si="80"/>
        <v>1</v>
      </c>
      <c r="CL14" s="148">
        <v>1</v>
      </c>
      <c r="CM14" s="148">
        <v>0</v>
      </c>
      <c r="CN14" s="148">
        <f t="shared" si="47"/>
        <v>1</v>
      </c>
      <c r="CO14" s="175">
        <v>1</v>
      </c>
      <c r="CP14" s="140">
        <v>1</v>
      </c>
      <c r="CQ14" s="175">
        <v>0</v>
      </c>
      <c r="CR14" s="148">
        <v>2</v>
      </c>
      <c r="CS14" s="148">
        <v>0</v>
      </c>
      <c r="CT14" s="140">
        <v>4</v>
      </c>
      <c r="CU14" s="140">
        <v>0</v>
      </c>
      <c r="CV14" s="148">
        <f t="shared" si="48"/>
        <v>13.4</v>
      </c>
      <c r="CW14" s="140"/>
      <c r="CX14" s="164">
        <f t="shared" si="49"/>
        <v>108.69031848216912</v>
      </c>
      <c r="CY14" s="147">
        <f t="shared" si="14"/>
        <v>0.46734961049413043</v>
      </c>
      <c r="CZ14" s="165">
        <f t="shared" si="15"/>
        <v>0.41399923990585352</v>
      </c>
      <c r="DA14" s="164">
        <f t="shared" si="16"/>
        <v>97.874640614302649</v>
      </c>
      <c r="DB14" s="141"/>
      <c r="DC14" s="141"/>
      <c r="DD14" s="77">
        <f t="shared" si="50"/>
        <v>0.79271178419309041</v>
      </c>
      <c r="DE14" s="37">
        <f t="shared" si="51"/>
        <v>0.7142857142857143</v>
      </c>
      <c r="DF14" s="37">
        <f t="shared" si="52"/>
        <v>0.66666666666666663</v>
      </c>
      <c r="DG14" s="37">
        <f t="shared" si="53"/>
        <v>0.8571428571428571</v>
      </c>
      <c r="DH14" s="37">
        <f t="shared" si="17"/>
        <v>0</v>
      </c>
      <c r="DI14" s="37">
        <f t="shared" si="18"/>
        <v>9.0106609808102353E-2</v>
      </c>
      <c r="DJ14" s="37">
        <f t="shared" si="19"/>
        <v>0</v>
      </c>
      <c r="DK14" s="37">
        <f t="shared" si="20"/>
        <v>0</v>
      </c>
      <c r="DL14" s="37">
        <f t="shared" si="21"/>
        <v>0.11468113975576662</v>
      </c>
      <c r="DM14" s="37">
        <f t="shared" si="22"/>
        <v>7.7607032899310702E-2</v>
      </c>
      <c r="DN14" s="37">
        <f t="shared" si="54"/>
        <v>0.37491389074510917</v>
      </c>
      <c r="DO14" s="37">
        <f t="shared" si="55"/>
        <v>0.25</v>
      </c>
      <c r="DP14" s="66">
        <f t="shared" si="56"/>
        <v>0</v>
      </c>
      <c r="DQ14" s="78">
        <f t="shared" si="57"/>
        <v>11.940298507462686</v>
      </c>
      <c r="DR14" s="6"/>
      <c r="DS14" s="36"/>
      <c r="DT14" s="75">
        <f t="shared" si="58"/>
        <v>51.046029850746258</v>
      </c>
      <c r="DU14" s="18">
        <f t="shared" si="23"/>
        <v>4.986207468230246</v>
      </c>
      <c r="DV14" s="13">
        <f t="shared" si="59"/>
        <v>4.1776934429438644</v>
      </c>
      <c r="DW14" s="14">
        <f t="shared" si="24"/>
        <v>0.38374305995953018</v>
      </c>
      <c r="DX14" s="14">
        <f t="shared" si="25"/>
        <v>0.32894736842105265</v>
      </c>
      <c r="DY14" s="14">
        <f t="shared" si="60"/>
        <v>0.72799999999999998</v>
      </c>
      <c r="DZ14" s="15">
        <f t="shared" si="26"/>
        <v>17.467749999999999</v>
      </c>
      <c r="EA14" s="14">
        <f t="shared" si="61"/>
        <v>0.82104904445375804</v>
      </c>
      <c r="EB14" s="14">
        <f t="shared" si="27"/>
        <v>0.18181818181818182</v>
      </c>
      <c r="EC14" s="14">
        <f t="shared" si="28"/>
        <v>0.50484826589595366</v>
      </c>
      <c r="ED14" s="14">
        <f t="shared" si="62"/>
        <v>0</v>
      </c>
      <c r="EE14" s="19">
        <f t="shared" si="63"/>
        <v>1.6109090909090908</v>
      </c>
      <c r="EF14" s="67">
        <f t="shared" si="64"/>
        <v>7.2000000000000022E-2</v>
      </c>
      <c r="EG14" s="74">
        <f t="shared" si="65"/>
        <v>10.669116559139336</v>
      </c>
      <c r="EH14" s="27">
        <f t="shared" si="66"/>
        <v>11.596296767362388</v>
      </c>
      <c r="EI14" s="25">
        <f t="shared" si="67"/>
        <v>10.026464263065273</v>
      </c>
      <c r="EJ14" s="25">
        <f t="shared" si="68"/>
        <v>0.7476076555023925</v>
      </c>
      <c r="EK14" s="26">
        <f t="shared" si="29"/>
        <v>0</v>
      </c>
      <c r="EL14" s="29">
        <f t="shared" si="69"/>
        <v>0.81481481481481488</v>
      </c>
      <c r="EM14" s="30">
        <f t="shared" si="30"/>
        <v>0.14285714285714285</v>
      </c>
      <c r="EN14" s="30">
        <f t="shared" si="31"/>
        <v>0.42307692307692307</v>
      </c>
      <c r="EO14" s="31">
        <f t="shared" si="70"/>
        <v>0.18518518518518512</v>
      </c>
      <c r="EP14" s="31">
        <f t="shared" si="32"/>
        <v>2.5927966706480667</v>
      </c>
      <c r="EQ14" s="31">
        <f t="shared" si="71"/>
        <v>2.7779818558332519</v>
      </c>
      <c r="ER14" s="93">
        <f t="shared" si="33"/>
        <v>0.53897732319834846</v>
      </c>
      <c r="ES14" s="109">
        <f t="shared" si="34"/>
        <v>93.510414463627555</v>
      </c>
      <c r="ET14" s="32">
        <f t="shared" si="35"/>
        <v>2.5016458196181697</v>
      </c>
      <c r="EV14" s="277"/>
      <c r="EW14" s="278"/>
      <c r="EX14" s="37">
        <f t="shared" si="81"/>
        <v>1.4</v>
      </c>
      <c r="EY14" s="72">
        <f t="shared" si="72"/>
        <v>2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6.7</v>
      </c>
      <c r="FG14" s="182">
        <f t="shared" si="36"/>
        <v>5</v>
      </c>
      <c r="FH14" s="183" t="s">
        <v>52</v>
      </c>
      <c r="FI14" s="184">
        <f t="shared" si="73"/>
        <v>7</v>
      </c>
      <c r="FJ14" s="193">
        <f t="shared" si="74"/>
        <v>0.7142857142857143</v>
      </c>
      <c r="FK14" s="185">
        <f t="shared" si="37"/>
        <v>2</v>
      </c>
      <c r="FL14" s="183" t="s">
        <v>52</v>
      </c>
      <c r="FM14" s="186">
        <f t="shared" si="38"/>
        <v>3</v>
      </c>
      <c r="FN14" s="193">
        <f t="shared" si="75"/>
        <v>0.66666666666666663</v>
      </c>
      <c r="FO14" s="261">
        <f t="shared" si="76"/>
        <v>0</v>
      </c>
      <c r="FP14" s="183" t="s">
        <v>52</v>
      </c>
      <c r="FQ14" s="268">
        <f t="shared" si="77"/>
        <v>0</v>
      </c>
      <c r="FR14" s="196" t="str">
        <f t="shared" si="78"/>
        <v>0</v>
      </c>
      <c r="FS14" s="179">
        <f t="shared" si="39"/>
        <v>0</v>
      </c>
      <c r="FT14" s="179">
        <f t="shared" si="39"/>
        <v>1</v>
      </c>
      <c r="FU14" s="179">
        <f t="shared" si="40"/>
        <v>1</v>
      </c>
      <c r="FV14" s="187">
        <f t="shared" si="40"/>
        <v>1</v>
      </c>
      <c r="FW14" s="179">
        <f t="shared" si="40"/>
        <v>1</v>
      </c>
      <c r="FX14" s="179">
        <f t="shared" si="40"/>
        <v>0</v>
      </c>
      <c r="FY14" s="179">
        <f t="shared" si="40"/>
        <v>2</v>
      </c>
      <c r="FZ14" s="179">
        <f t="shared" si="40"/>
        <v>0</v>
      </c>
      <c r="GA14" s="179">
        <f t="shared" si="40"/>
        <v>4</v>
      </c>
      <c r="GB14" s="179">
        <f t="shared" si="40"/>
        <v>0</v>
      </c>
      <c r="GC14" s="187">
        <f t="shared" si="40"/>
        <v>13.4</v>
      </c>
      <c r="GD14" s="203">
        <f t="shared" si="79"/>
        <v>108.69031848216912</v>
      </c>
      <c r="GE14" s="179">
        <f t="shared" si="79"/>
        <v>0.46734961049413043</v>
      </c>
      <c r="GF14" s="179">
        <f t="shared" si="79"/>
        <v>0.41399923990585352</v>
      </c>
      <c r="GG14" s="258">
        <f t="shared" si="79"/>
        <v>97.874640614302649</v>
      </c>
      <c r="GH14" s="179"/>
      <c r="GJ14" s="82"/>
      <c r="GK14" s="24"/>
      <c r="GL14" s="185">
        <f>(CQ14/CQ46)*(EY47-EX47)</f>
        <v>0</v>
      </c>
      <c r="GM14" s="185">
        <f>((E47/G47)*(1-(CJ47/(CJ47+CK46))))/((E47/G47)*(1-(CJ47/(CJ47+CK46)))+((1-(E47/G47)))*(CJ47/(CJ47+CK46)))</f>
        <v>0.81481481481481488</v>
      </c>
      <c r="GN14" s="24">
        <f>GK14+(GL14/10)+(GJ14*GM14*(1-(CJ47/(CJ47+CK46))))+(CK14*(1-GM14))</f>
        <v>0.18518518518518512</v>
      </c>
      <c r="GO14" s="213">
        <f>GN14/(DD14*EG47)</f>
        <v>7.5866253500425753E-3</v>
      </c>
    </row>
    <row r="15" spans="1:197" x14ac:dyDescent="0.2">
      <c r="A15" s="139"/>
      <c r="B15" s="327" t="s">
        <v>82</v>
      </c>
      <c r="C15" s="291" t="s">
        <v>215</v>
      </c>
      <c r="D15" s="473">
        <v>0</v>
      </c>
      <c r="E15" s="114">
        <f t="shared" si="0"/>
        <v>0</v>
      </c>
      <c r="F15" s="424" t="s">
        <v>52</v>
      </c>
      <c r="G15" s="115">
        <f t="shared" si="1"/>
        <v>0</v>
      </c>
      <c r="H15" s="116" t="s">
        <v>53</v>
      </c>
      <c r="I15" s="424">
        <f t="shared" si="41"/>
        <v>0</v>
      </c>
      <c r="J15" s="115" t="s">
        <v>54</v>
      </c>
      <c r="K15" s="116">
        <f t="shared" si="2"/>
        <v>0</v>
      </c>
      <c r="L15" s="424" t="s">
        <v>52</v>
      </c>
      <c r="M15" s="115">
        <f t="shared" si="3"/>
        <v>0</v>
      </c>
      <c r="N15" s="116" t="s">
        <v>53</v>
      </c>
      <c r="O15" s="424">
        <f t="shared" si="4"/>
        <v>0</v>
      </c>
      <c r="P15" s="115" t="s">
        <v>54</v>
      </c>
      <c r="Q15" s="116">
        <f t="shared" si="5"/>
        <v>0</v>
      </c>
      <c r="R15" s="424" t="s">
        <v>52</v>
      </c>
      <c r="S15" s="115">
        <f t="shared" si="42"/>
        <v>0</v>
      </c>
      <c r="T15" s="116" t="s">
        <v>53</v>
      </c>
      <c r="U15" s="424">
        <f t="shared" si="6"/>
        <v>0</v>
      </c>
      <c r="V15" s="115" t="s">
        <v>54</v>
      </c>
      <c r="W15" s="116">
        <f t="shared" si="7"/>
        <v>0</v>
      </c>
      <c r="X15" s="424" t="s">
        <v>52</v>
      </c>
      <c r="Y15" s="115">
        <f t="shared" si="8"/>
        <v>0</v>
      </c>
      <c r="Z15" s="116" t="s">
        <v>53</v>
      </c>
      <c r="AA15" s="424">
        <f t="shared" si="9"/>
        <v>0</v>
      </c>
      <c r="AB15" s="115" t="s">
        <v>54</v>
      </c>
      <c r="AC15" s="116">
        <f t="shared" si="43"/>
        <v>0</v>
      </c>
      <c r="AD15" s="424" t="s">
        <v>52</v>
      </c>
      <c r="AE15" s="117">
        <f t="shared" si="44"/>
        <v>0</v>
      </c>
      <c r="AF15" s="425"/>
      <c r="AG15" s="114">
        <f t="shared" si="45"/>
        <v>0</v>
      </c>
      <c r="AH15" s="424" t="s">
        <v>52</v>
      </c>
      <c r="AI15" s="115">
        <f t="shared" si="10"/>
        <v>0</v>
      </c>
      <c r="AJ15" s="116" t="s">
        <v>53</v>
      </c>
      <c r="AK15" s="424">
        <f t="shared" si="11"/>
        <v>0</v>
      </c>
      <c r="AL15" s="115" t="s">
        <v>54</v>
      </c>
      <c r="AM15" s="246">
        <v>0</v>
      </c>
      <c r="AN15" s="244" t="s">
        <v>52</v>
      </c>
      <c r="AO15" s="245">
        <v>0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0</v>
      </c>
      <c r="AZ15" s="244" t="s">
        <v>52</v>
      </c>
      <c r="BA15" s="245">
        <v>0</v>
      </c>
      <c r="BB15" s="246" t="s">
        <v>53</v>
      </c>
      <c r="BC15" s="244">
        <v>0</v>
      </c>
      <c r="BD15" s="245" t="s">
        <v>54</v>
      </c>
      <c r="BE15" s="116">
        <v>0</v>
      </c>
      <c r="BF15" s="424" t="s">
        <v>52</v>
      </c>
      <c r="BG15" s="117">
        <v>0</v>
      </c>
      <c r="BH15" s="115"/>
      <c r="BI15" s="114">
        <f t="shared" si="12"/>
        <v>0</v>
      </c>
      <c r="BJ15" s="424" t="s">
        <v>52</v>
      </c>
      <c r="BK15" s="115">
        <f t="shared" si="46"/>
        <v>0</v>
      </c>
      <c r="BL15" s="116" t="s">
        <v>53</v>
      </c>
      <c r="BM15" s="424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24" t="s">
        <v>52</v>
      </c>
      <c r="CI15" s="117">
        <v>0</v>
      </c>
      <c r="CJ15" s="140">
        <v>0</v>
      </c>
      <c r="CK15" s="148">
        <f t="shared" si="80"/>
        <v>0</v>
      </c>
      <c r="CL15" s="148">
        <v>0</v>
      </c>
      <c r="CM15" s="148">
        <v>0</v>
      </c>
      <c r="CN15" s="148">
        <f t="shared" si="47"/>
        <v>0</v>
      </c>
      <c r="CO15" s="175">
        <v>0</v>
      </c>
      <c r="CP15" s="140">
        <v>0</v>
      </c>
      <c r="CQ15" s="175">
        <v>0</v>
      </c>
      <c r="CR15" s="148">
        <v>0</v>
      </c>
      <c r="CS15" s="148">
        <v>0</v>
      </c>
      <c r="CT15" s="140">
        <v>0</v>
      </c>
      <c r="CU15" s="140">
        <v>0</v>
      </c>
      <c r="CV15" s="148">
        <f t="shared" si="48"/>
        <v>0</v>
      </c>
      <c r="CW15" s="140"/>
      <c r="CX15" s="164" t="str">
        <f t="shared" si="49"/>
        <v>0</v>
      </c>
      <c r="CY15" s="147" t="str">
        <f t="shared" si="14"/>
        <v>0</v>
      </c>
      <c r="CZ15" s="165" t="str">
        <f t="shared" si="15"/>
        <v>0</v>
      </c>
      <c r="DA15" s="164">
        <f t="shared" si="16"/>
        <v>149.15927984482252</v>
      </c>
      <c r="DB15" s="141"/>
      <c r="DC15" s="141"/>
      <c r="DD15" s="77">
        <f t="shared" si="50"/>
        <v>0</v>
      </c>
      <c r="DE15" s="37" t="str">
        <f t="shared" si="51"/>
        <v>0</v>
      </c>
      <c r="DF15" s="37" t="str">
        <f t="shared" si="52"/>
        <v>0</v>
      </c>
      <c r="DG15" s="37" t="str">
        <f t="shared" si="53"/>
        <v>0</v>
      </c>
      <c r="DH15" s="37" t="str">
        <f t="shared" si="17"/>
        <v>0</v>
      </c>
      <c r="DI15" s="37" t="str">
        <f t="shared" si="18"/>
        <v>0</v>
      </c>
      <c r="DJ15" s="37" t="str">
        <f t="shared" si="19"/>
        <v>0</v>
      </c>
      <c r="DK15" s="37" t="str">
        <f t="shared" si="20"/>
        <v>0</v>
      </c>
      <c r="DL15" s="37" t="str">
        <f t="shared" si="21"/>
        <v>0</v>
      </c>
      <c r="DM15" s="37" t="str">
        <f t="shared" si="22"/>
        <v>0</v>
      </c>
      <c r="DN15" s="37" t="str">
        <f t="shared" si="54"/>
        <v>0</v>
      </c>
      <c r="DO15" s="37" t="str">
        <f t="shared" si="55"/>
        <v>0</v>
      </c>
      <c r="DP15" s="66" t="str">
        <f t="shared" si="56"/>
        <v>0</v>
      </c>
      <c r="DQ15" s="78" t="str">
        <f t="shared" si="57"/>
        <v>0</v>
      </c>
      <c r="DR15" s="6"/>
      <c r="DS15" s="36"/>
      <c r="DT15" s="75" t="str">
        <f t="shared" si="58"/>
        <v>0</v>
      </c>
      <c r="DU15" s="18">
        <f t="shared" si="23"/>
        <v>0</v>
      </c>
      <c r="DV15" s="13" t="str">
        <f t="shared" si="59"/>
        <v>0</v>
      </c>
      <c r="DW15" s="14" t="str">
        <f t="shared" si="24"/>
        <v>0</v>
      </c>
      <c r="DX15" s="14">
        <f t="shared" si="25"/>
        <v>0</v>
      </c>
      <c r="DY15" s="14" t="str">
        <f t="shared" si="60"/>
        <v>0</v>
      </c>
      <c r="DZ15" s="15">
        <f t="shared" si="26"/>
        <v>12.151999999999999</v>
      </c>
      <c r="EA15" s="14">
        <f t="shared" si="61"/>
        <v>0.76781802864363946</v>
      </c>
      <c r="EB15" s="14">
        <f t="shared" si="27"/>
        <v>0.14285714285714285</v>
      </c>
      <c r="EC15" s="14">
        <f t="shared" si="28"/>
        <v>0.35532163742690054</v>
      </c>
      <c r="ED15" s="14">
        <f t="shared" si="62"/>
        <v>0</v>
      </c>
      <c r="EE15" s="19">
        <f t="shared" si="63"/>
        <v>0</v>
      </c>
      <c r="EF15" s="67" t="str">
        <f t="shared" si="64"/>
        <v>0</v>
      </c>
      <c r="EG15" s="74">
        <f t="shared" si="65"/>
        <v>0</v>
      </c>
      <c r="EH15" s="27">
        <f t="shared" si="66"/>
        <v>0</v>
      </c>
      <c r="EI15" s="25" t="str">
        <f t="shared" si="67"/>
        <v>0</v>
      </c>
      <c r="EJ15" s="25">
        <f t="shared" si="68"/>
        <v>0</v>
      </c>
      <c r="EK15" s="26">
        <f t="shared" si="29"/>
        <v>0</v>
      </c>
      <c r="EL15" s="29">
        <f t="shared" si="69"/>
        <v>0.87804878048780488</v>
      </c>
      <c r="EM15" s="30">
        <f t="shared" si="30"/>
        <v>0.18181818181818182</v>
      </c>
      <c r="EN15" s="30">
        <f t="shared" si="31"/>
        <v>0.61538461538461542</v>
      </c>
      <c r="EO15" s="31">
        <f t="shared" si="70"/>
        <v>0</v>
      </c>
      <c r="EP15" s="31">
        <f t="shared" si="32"/>
        <v>0</v>
      </c>
      <c r="EQ15" s="31">
        <f t="shared" si="71"/>
        <v>0</v>
      </c>
      <c r="ER15" s="93" t="str">
        <f t="shared" si="33"/>
        <v>0</v>
      </c>
      <c r="ES15" s="109">
        <f t="shared" si="34"/>
        <v>129.41542345961832</v>
      </c>
      <c r="ET15" s="32">
        <f t="shared" si="35"/>
        <v>2.2813470538563929</v>
      </c>
      <c r="EV15" s="277"/>
      <c r="EW15" s="278"/>
      <c r="EX15" s="37">
        <f t="shared" si="81"/>
        <v>0</v>
      </c>
      <c r="EY15" s="72">
        <f t="shared" si="72"/>
        <v>0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0</v>
      </c>
      <c r="FG15" s="43">
        <f t="shared" si="36"/>
        <v>0</v>
      </c>
      <c r="FH15" s="42" t="s">
        <v>52</v>
      </c>
      <c r="FI15" s="49">
        <f t="shared" si="73"/>
        <v>0</v>
      </c>
      <c r="FJ15" s="347" t="str">
        <f t="shared" si="74"/>
        <v>0</v>
      </c>
      <c r="FK15" s="325">
        <f t="shared" si="37"/>
        <v>0</v>
      </c>
      <c r="FL15" s="42" t="s">
        <v>52</v>
      </c>
      <c r="FM15" s="348">
        <f t="shared" si="38"/>
        <v>0</v>
      </c>
      <c r="FN15" s="347" t="str">
        <f t="shared" si="75"/>
        <v>0</v>
      </c>
      <c r="FO15" s="349">
        <f t="shared" si="76"/>
        <v>0</v>
      </c>
      <c r="FP15" s="42" t="s">
        <v>52</v>
      </c>
      <c r="FQ15" s="350">
        <f t="shared" si="77"/>
        <v>0</v>
      </c>
      <c r="FR15" s="351" t="str">
        <f t="shared" si="78"/>
        <v>0</v>
      </c>
      <c r="FS15" s="4">
        <f t="shared" si="39"/>
        <v>0</v>
      </c>
      <c r="FT15" s="4">
        <f t="shared" si="39"/>
        <v>0</v>
      </c>
      <c r="FU15" s="4">
        <f t="shared" si="40"/>
        <v>0</v>
      </c>
      <c r="FV15" s="352">
        <f t="shared" si="40"/>
        <v>0</v>
      </c>
      <c r="FW15" s="4">
        <f t="shared" si="40"/>
        <v>0</v>
      </c>
      <c r="FX15" s="4">
        <f t="shared" si="40"/>
        <v>0</v>
      </c>
      <c r="FY15" s="4">
        <f t="shared" si="40"/>
        <v>0</v>
      </c>
      <c r="FZ15" s="4">
        <f t="shared" si="40"/>
        <v>0</v>
      </c>
      <c r="GA15" s="4">
        <f t="shared" si="40"/>
        <v>0</v>
      </c>
      <c r="GB15" s="4">
        <f t="shared" si="40"/>
        <v>0</v>
      </c>
      <c r="GC15" s="352">
        <f t="shared" si="40"/>
        <v>0</v>
      </c>
      <c r="GD15" s="353" t="str">
        <f t="shared" si="79"/>
        <v>0</v>
      </c>
      <c r="GE15" s="4" t="str">
        <f t="shared" si="79"/>
        <v>0</v>
      </c>
      <c r="GF15" s="4" t="str">
        <f t="shared" si="79"/>
        <v>0</v>
      </c>
      <c r="GG15" s="354">
        <f t="shared" si="79"/>
        <v>149.15927984482252</v>
      </c>
      <c r="GH15" s="4"/>
      <c r="GJ15" s="82"/>
      <c r="GK15" s="24"/>
      <c r="GL15" s="185">
        <f>(CQ15/CQ48)*(EY49-EX49)</f>
        <v>0</v>
      </c>
      <c r="GM15" s="185">
        <f>((E49/G49)*(1-(CJ49/(CJ49+CK48))))/((E49/G49)*(1-(CJ49/(CJ49+CK48)))+((1-(E49/G49)))*(CJ49/(CJ49+CK48)))</f>
        <v>0.76744186046511631</v>
      </c>
      <c r="GN15" s="24">
        <f>GK15+(GL15/10)+(GJ15*GM15*(1-(CJ49/(CJ49+CK48))))+(CK15*(1-GM15))</f>
        <v>0</v>
      </c>
      <c r="GO15" s="213" t="e">
        <f>GN15/(DD15*EG49)</f>
        <v>#DIV/0!</v>
      </c>
    </row>
    <row r="16" spans="1:197" x14ac:dyDescent="0.2">
      <c r="A16" s="139"/>
      <c r="B16" s="89" t="s">
        <v>82</v>
      </c>
      <c r="C16" s="41" t="s">
        <v>216</v>
      </c>
      <c r="D16" s="473">
        <v>5.62</v>
      </c>
      <c r="E16" s="114">
        <f t="shared" si="0"/>
        <v>0</v>
      </c>
      <c r="F16" s="424" t="s">
        <v>52</v>
      </c>
      <c r="G16" s="115">
        <f t="shared" si="1"/>
        <v>1</v>
      </c>
      <c r="H16" s="116" t="s">
        <v>53</v>
      </c>
      <c r="I16" s="424">
        <f t="shared" si="41"/>
        <v>0</v>
      </c>
      <c r="J16" s="115" t="s">
        <v>54</v>
      </c>
      <c r="K16" s="116">
        <f t="shared" si="2"/>
        <v>0</v>
      </c>
      <c r="L16" s="424" t="s">
        <v>52</v>
      </c>
      <c r="M16" s="115">
        <f t="shared" si="3"/>
        <v>0</v>
      </c>
      <c r="N16" s="116" t="s">
        <v>53</v>
      </c>
      <c r="O16" s="424">
        <f t="shared" si="4"/>
        <v>0</v>
      </c>
      <c r="P16" s="115" t="s">
        <v>54</v>
      </c>
      <c r="Q16" s="116">
        <f t="shared" si="5"/>
        <v>0</v>
      </c>
      <c r="R16" s="424" t="s">
        <v>52</v>
      </c>
      <c r="S16" s="115">
        <f t="shared" si="42"/>
        <v>0</v>
      </c>
      <c r="T16" s="116" t="s">
        <v>53</v>
      </c>
      <c r="U16" s="424">
        <f t="shared" si="6"/>
        <v>0</v>
      </c>
      <c r="V16" s="115" t="s">
        <v>54</v>
      </c>
      <c r="W16" s="116">
        <f t="shared" si="7"/>
        <v>0</v>
      </c>
      <c r="X16" s="424" t="s">
        <v>52</v>
      </c>
      <c r="Y16" s="115">
        <f t="shared" si="8"/>
        <v>1</v>
      </c>
      <c r="Z16" s="116" t="s">
        <v>53</v>
      </c>
      <c r="AA16" s="424">
        <f t="shared" si="9"/>
        <v>0</v>
      </c>
      <c r="AB16" s="115" t="s">
        <v>54</v>
      </c>
      <c r="AC16" s="116">
        <f t="shared" si="43"/>
        <v>0</v>
      </c>
      <c r="AD16" s="424" t="s">
        <v>52</v>
      </c>
      <c r="AE16" s="117">
        <f t="shared" si="44"/>
        <v>0</v>
      </c>
      <c r="AF16" s="425"/>
      <c r="AG16" s="114">
        <f t="shared" si="45"/>
        <v>0</v>
      </c>
      <c r="AH16" s="424" t="s">
        <v>52</v>
      </c>
      <c r="AI16" s="115">
        <f t="shared" si="10"/>
        <v>1</v>
      </c>
      <c r="AJ16" s="116" t="s">
        <v>53</v>
      </c>
      <c r="AK16" s="424">
        <f t="shared" si="11"/>
        <v>0</v>
      </c>
      <c r="AL16" s="115" t="s">
        <v>54</v>
      </c>
      <c r="AM16" s="246">
        <v>0</v>
      </c>
      <c r="AN16" s="244" t="s">
        <v>52</v>
      </c>
      <c r="AO16" s="245">
        <v>0</v>
      </c>
      <c r="AP16" s="246" t="s">
        <v>53</v>
      </c>
      <c r="AQ16" s="244">
        <v>0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1</v>
      </c>
      <c r="BB16" s="246" t="s">
        <v>53</v>
      </c>
      <c r="BC16" s="244">
        <v>0</v>
      </c>
      <c r="BD16" s="245" t="s">
        <v>54</v>
      </c>
      <c r="BE16" s="116">
        <v>0</v>
      </c>
      <c r="BF16" s="424" t="s">
        <v>52</v>
      </c>
      <c r="BG16" s="117">
        <v>0</v>
      </c>
      <c r="BH16" s="115"/>
      <c r="BI16" s="114">
        <f t="shared" si="12"/>
        <v>0</v>
      </c>
      <c r="BJ16" s="424" t="s">
        <v>52</v>
      </c>
      <c r="BK16" s="115">
        <f t="shared" si="46"/>
        <v>0</v>
      </c>
      <c r="BL16" s="116" t="s">
        <v>53</v>
      </c>
      <c r="BM16" s="424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24" t="s">
        <v>52</v>
      </c>
      <c r="CI16" s="117">
        <v>0</v>
      </c>
      <c r="CJ16" s="140">
        <v>1</v>
      </c>
      <c r="CK16" s="148">
        <f t="shared" si="80"/>
        <v>4</v>
      </c>
      <c r="CL16" s="148">
        <v>1</v>
      </c>
      <c r="CM16" s="148">
        <v>3</v>
      </c>
      <c r="CN16" s="148">
        <f t="shared" si="47"/>
        <v>5</v>
      </c>
      <c r="CO16" s="175">
        <v>4</v>
      </c>
      <c r="CP16" s="140">
        <v>2</v>
      </c>
      <c r="CQ16" s="175">
        <v>1</v>
      </c>
      <c r="CR16" s="148">
        <v>0</v>
      </c>
      <c r="CS16" s="148">
        <v>0</v>
      </c>
      <c r="CT16" s="140">
        <v>0</v>
      </c>
      <c r="CU16" s="140">
        <v>0</v>
      </c>
      <c r="CV16" s="148">
        <f t="shared" si="48"/>
        <v>0</v>
      </c>
      <c r="CW16" s="140"/>
      <c r="CX16" s="164">
        <f t="shared" si="49"/>
        <v>155.52092992518288</v>
      </c>
      <c r="CY16" s="147">
        <f t="shared" si="14"/>
        <v>0.61311943100124888</v>
      </c>
      <c r="CZ16" s="165">
        <f t="shared" si="15"/>
        <v>0.10694503334985898</v>
      </c>
      <c r="DA16" s="164">
        <f t="shared" si="16"/>
        <v>130.5267968374086</v>
      </c>
      <c r="DB16" s="141"/>
      <c r="DC16" s="141"/>
      <c r="DD16" s="77">
        <f t="shared" si="50"/>
        <v>0.66493137718883111</v>
      </c>
      <c r="DE16" s="37">
        <f t="shared" si="51"/>
        <v>0</v>
      </c>
      <c r="DF16" s="37">
        <f t="shared" si="52"/>
        <v>0</v>
      </c>
      <c r="DG16" s="37">
        <f t="shared" si="53"/>
        <v>0</v>
      </c>
      <c r="DH16" s="37">
        <f t="shared" si="17"/>
        <v>0.10742247076766649</v>
      </c>
      <c r="DI16" s="37">
        <f t="shared" si="18"/>
        <v>0.54687803299902937</v>
      </c>
      <c r="DJ16" s="37">
        <f t="shared" si="19"/>
        <v>0</v>
      </c>
      <c r="DK16" s="37">
        <f t="shared" si="20"/>
        <v>0</v>
      </c>
      <c r="DL16" s="37">
        <f t="shared" si="21"/>
        <v>0.54687803299902937</v>
      </c>
      <c r="DM16" s="37">
        <f t="shared" si="22"/>
        <v>0.29304352864541688</v>
      </c>
      <c r="DN16" s="37">
        <f t="shared" si="54"/>
        <v>0</v>
      </c>
      <c r="DO16" s="37" t="str">
        <f t="shared" si="55"/>
        <v>0</v>
      </c>
      <c r="DP16" s="66">
        <f t="shared" si="56"/>
        <v>7.117437722419929</v>
      </c>
      <c r="DQ16" s="78">
        <f t="shared" si="57"/>
        <v>0</v>
      </c>
      <c r="DR16" s="6"/>
      <c r="DS16" s="36"/>
      <c r="DT16" s="75">
        <f t="shared" si="58"/>
        <v>32.09288256227758</v>
      </c>
      <c r="DU16" s="18">
        <f t="shared" si="23"/>
        <v>1.3425325233893497</v>
      </c>
      <c r="DV16" s="13">
        <f t="shared" si="59"/>
        <v>0</v>
      </c>
      <c r="DW16" s="14">
        <f t="shared" si="24"/>
        <v>0.43546073566250287</v>
      </c>
      <c r="DX16" s="14">
        <f t="shared" si="25"/>
        <v>1.1200000000000001</v>
      </c>
      <c r="DY16" s="14" t="str">
        <f t="shared" si="60"/>
        <v>0</v>
      </c>
      <c r="DZ16" s="15">
        <f t="shared" si="26"/>
        <v>12.151999999999999</v>
      </c>
      <c r="EA16" s="14">
        <f t="shared" si="61"/>
        <v>0.76781802864363946</v>
      </c>
      <c r="EB16" s="14">
        <f t="shared" si="27"/>
        <v>0.14285714285714285</v>
      </c>
      <c r="EC16" s="14">
        <f t="shared" si="28"/>
        <v>0.35532163742690054</v>
      </c>
      <c r="ED16" s="14">
        <f t="shared" si="62"/>
        <v>0.2728223591835528</v>
      </c>
      <c r="EE16" s="19">
        <f t="shared" si="63"/>
        <v>0.8471428571428572</v>
      </c>
      <c r="EF16" s="67" t="str">
        <f t="shared" si="64"/>
        <v>0</v>
      </c>
      <c r="EG16" s="74">
        <f t="shared" si="65"/>
        <v>2.1896753805322069</v>
      </c>
      <c r="EH16" s="27">
        <f t="shared" si="66"/>
        <v>3.4054035141464754</v>
      </c>
      <c r="EI16" s="25">
        <f t="shared" si="67"/>
        <v>0</v>
      </c>
      <c r="EJ16" s="25">
        <f t="shared" si="68"/>
        <v>2.8509090909090911</v>
      </c>
      <c r="EK16" s="26">
        <f t="shared" si="29"/>
        <v>0.68250491434990157</v>
      </c>
      <c r="EL16" s="29">
        <f t="shared" si="69"/>
        <v>0.87804878048780488</v>
      </c>
      <c r="EM16" s="30">
        <f t="shared" si="30"/>
        <v>0.18181818181818182</v>
      </c>
      <c r="EN16" s="30">
        <f t="shared" si="31"/>
        <v>0.61538461538461542</v>
      </c>
      <c r="EO16" s="31">
        <f t="shared" si="70"/>
        <v>0.48780487804878048</v>
      </c>
      <c r="EP16" s="31">
        <f t="shared" si="32"/>
        <v>1.184434672896534</v>
      </c>
      <c r="EQ16" s="31">
        <f t="shared" si="71"/>
        <v>1.6722395509453145</v>
      </c>
      <c r="ER16" s="93">
        <f t="shared" si="33"/>
        <v>0.40836581562453533</v>
      </c>
      <c r="ES16" s="109">
        <f t="shared" si="34"/>
        <v>129.41542345961832</v>
      </c>
      <c r="ET16" s="32">
        <f t="shared" si="35"/>
        <v>2.2813470538563929</v>
      </c>
      <c r="EV16" s="277"/>
      <c r="EW16" s="278"/>
      <c r="EX16" s="37">
        <f t="shared" si="81"/>
        <v>0</v>
      </c>
      <c r="EY16" s="72">
        <f t="shared" si="72"/>
        <v>0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5.62</v>
      </c>
      <c r="FG16" s="182">
        <f t="shared" si="36"/>
        <v>0</v>
      </c>
      <c r="FH16" s="183" t="s">
        <v>52</v>
      </c>
      <c r="FI16" s="184">
        <f t="shared" si="73"/>
        <v>1</v>
      </c>
      <c r="FJ16" s="193">
        <f t="shared" si="74"/>
        <v>0</v>
      </c>
      <c r="FK16" s="185">
        <f t="shared" si="37"/>
        <v>0</v>
      </c>
      <c r="FL16" s="183" t="s">
        <v>52</v>
      </c>
      <c r="FM16" s="186">
        <f t="shared" si="38"/>
        <v>1</v>
      </c>
      <c r="FN16" s="193">
        <f t="shared" si="75"/>
        <v>0</v>
      </c>
      <c r="FO16" s="261">
        <f t="shared" si="76"/>
        <v>0</v>
      </c>
      <c r="FP16" s="183" t="s">
        <v>52</v>
      </c>
      <c r="FQ16" s="268">
        <f t="shared" si="77"/>
        <v>0</v>
      </c>
      <c r="FR16" s="196" t="str">
        <f t="shared" si="78"/>
        <v>0</v>
      </c>
      <c r="FS16" s="179">
        <f t="shared" si="39"/>
        <v>1</v>
      </c>
      <c r="FT16" s="179">
        <f t="shared" si="39"/>
        <v>4</v>
      </c>
      <c r="FU16" s="179">
        <f t="shared" si="40"/>
        <v>5</v>
      </c>
      <c r="FV16" s="187">
        <f t="shared" si="40"/>
        <v>4</v>
      </c>
      <c r="FW16" s="179">
        <f t="shared" si="40"/>
        <v>2</v>
      </c>
      <c r="FX16" s="179">
        <f t="shared" si="40"/>
        <v>1</v>
      </c>
      <c r="FY16" s="179">
        <f t="shared" si="40"/>
        <v>0</v>
      </c>
      <c r="FZ16" s="179">
        <f t="shared" si="40"/>
        <v>0</v>
      </c>
      <c r="GA16" s="179">
        <f t="shared" si="40"/>
        <v>0</v>
      </c>
      <c r="GB16" s="179">
        <f t="shared" si="40"/>
        <v>0</v>
      </c>
      <c r="GC16" s="187">
        <f t="shared" si="40"/>
        <v>0</v>
      </c>
      <c r="GD16" s="203">
        <f t="shared" si="79"/>
        <v>155.52092992518288</v>
      </c>
      <c r="GE16" s="179">
        <f t="shared" si="79"/>
        <v>0.61311943100124888</v>
      </c>
      <c r="GF16" s="179">
        <f t="shared" si="79"/>
        <v>0.10694503334985898</v>
      </c>
      <c r="GG16" s="258">
        <f t="shared" si="79"/>
        <v>130.5267968374086</v>
      </c>
      <c r="GH16" s="179"/>
      <c r="GJ16" s="82"/>
      <c r="GK16" s="24"/>
      <c r="GL16" s="185">
        <f>(CQ16/CQ50)*(EY51-EX51)</f>
        <v>0.28750000000000009</v>
      </c>
      <c r="GM16" s="185">
        <f>((E51/G51)*(1-(CJ51/(CJ51+CK50))))/((E51/G51)*(1-(CJ51/(CJ51+CK50)))+((1-(E51/G51)))*(CJ51/(CJ51+CK50)))</f>
        <v>0.87804878048780488</v>
      </c>
      <c r="GN16" s="24">
        <f>GK16+(GL16/10)+(GJ16*GM16*(1-(CJ51/(CJ51+CK50))))+(CK16*(1-GM16))</f>
        <v>0.51655487804878053</v>
      </c>
      <c r="GO16" s="213">
        <f>GN16/(DD16*EG51)</f>
        <v>2.389604559436909E-2</v>
      </c>
    </row>
    <row r="17" spans="1:197" x14ac:dyDescent="0.2">
      <c r="A17" s="139"/>
      <c r="B17" s="430" t="s">
        <v>117</v>
      </c>
      <c r="C17" s="431" t="s">
        <v>217</v>
      </c>
      <c r="D17" s="473">
        <v>7</v>
      </c>
      <c r="E17" s="114">
        <f t="shared" si="0"/>
        <v>2</v>
      </c>
      <c r="F17" s="424" t="s">
        <v>52</v>
      </c>
      <c r="G17" s="115">
        <f t="shared" si="1"/>
        <v>4</v>
      </c>
      <c r="H17" s="116" t="s">
        <v>53</v>
      </c>
      <c r="I17" s="424">
        <f t="shared" si="41"/>
        <v>1</v>
      </c>
      <c r="J17" s="115" t="s">
        <v>54</v>
      </c>
      <c r="K17" s="116">
        <f t="shared" si="2"/>
        <v>1</v>
      </c>
      <c r="L17" s="424" t="s">
        <v>52</v>
      </c>
      <c r="M17" s="115">
        <f t="shared" si="3"/>
        <v>2</v>
      </c>
      <c r="N17" s="116" t="s">
        <v>53</v>
      </c>
      <c r="O17" s="424">
        <f t="shared" si="4"/>
        <v>0</v>
      </c>
      <c r="P17" s="115" t="s">
        <v>54</v>
      </c>
      <c r="Q17" s="116">
        <f t="shared" si="5"/>
        <v>0</v>
      </c>
      <c r="R17" s="424" t="s">
        <v>52</v>
      </c>
      <c r="S17" s="115">
        <f t="shared" si="42"/>
        <v>0</v>
      </c>
      <c r="T17" s="116" t="s">
        <v>53</v>
      </c>
      <c r="U17" s="424">
        <f t="shared" si="6"/>
        <v>0</v>
      </c>
      <c r="V17" s="115" t="s">
        <v>54</v>
      </c>
      <c r="W17" s="116">
        <f t="shared" si="7"/>
        <v>1</v>
      </c>
      <c r="X17" s="424" t="s">
        <v>52</v>
      </c>
      <c r="Y17" s="115">
        <f t="shared" si="8"/>
        <v>2</v>
      </c>
      <c r="Z17" s="116" t="s">
        <v>53</v>
      </c>
      <c r="AA17" s="424">
        <f t="shared" si="9"/>
        <v>1</v>
      </c>
      <c r="AB17" s="115" t="s">
        <v>54</v>
      </c>
      <c r="AC17" s="116">
        <f t="shared" si="43"/>
        <v>0</v>
      </c>
      <c r="AD17" s="424" t="s">
        <v>52</v>
      </c>
      <c r="AE17" s="117">
        <f t="shared" si="44"/>
        <v>0</v>
      </c>
      <c r="AF17" s="425"/>
      <c r="AG17" s="114">
        <f t="shared" si="45"/>
        <v>2</v>
      </c>
      <c r="AH17" s="424" t="s">
        <v>52</v>
      </c>
      <c r="AI17" s="115">
        <f t="shared" si="10"/>
        <v>4</v>
      </c>
      <c r="AJ17" s="116" t="s">
        <v>53</v>
      </c>
      <c r="AK17" s="424">
        <f t="shared" si="11"/>
        <v>1</v>
      </c>
      <c r="AL17" s="115" t="s">
        <v>54</v>
      </c>
      <c r="AM17" s="246">
        <v>1</v>
      </c>
      <c r="AN17" s="244" t="s">
        <v>52</v>
      </c>
      <c r="AO17" s="245">
        <v>2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1</v>
      </c>
      <c r="AZ17" s="244" t="s">
        <v>52</v>
      </c>
      <c r="BA17" s="245">
        <v>2</v>
      </c>
      <c r="BB17" s="246" t="s">
        <v>53</v>
      </c>
      <c r="BC17" s="244">
        <v>1</v>
      </c>
      <c r="BD17" s="245" t="s">
        <v>54</v>
      </c>
      <c r="BE17" s="116">
        <v>0</v>
      </c>
      <c r="BF17" s="424" t="s">
        <v>52</v>
      </c>
      <c r="BG17" s="117">
        <v>0</v>
      </c>
      <c r="BH17" s="115"/>
      <c r="BI17" s="114">
        <f t="shared" si="12"/>
        <v>0</v>
      </c>
      <c r="BJ17" s="424" t="s">
        <v>52</v>
      </c>
      <c r="BK17" s="115">
        <f t="shared" si="46"/>
        <v>0</v>
      </c>
      <c r="BL17" s="116" t="s">
        <v>53</v>
      </c>
      <c r="BM17" s="424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424" t="s">
        <v>52</v>
      </c>
      <c r="CI17" s="117">
        <v>0</v>
      </c>
      <c r="CJ17" s="140">
        <v>0</v>
      </c>
      <c r="CK17" s="148">
        <f t="shared" si="80"/>
        <v>3</v>
      </c>
      <c r="CL17" s="148">
        <v>1</v>
      </c>
      <c r="CM17" s="148">
        <v>2</v>
      </c>
      <c r="CN17" s="148">
        <f t="shared" si="47"/>
        <v>3</v>
      </c>
      <c r="CO17" s="175">
        <v>1</v>
      </c>
      <c r="CP17" s="140">
        <v>1</v>
      </c>
      <c r="CQ17" s="175">
        <v>0</v>
      </c>
      <c r="CR17" s="148">
        <v>0</v>
      </c>
      <c r="CS17" s="148">
        <v>0</v>
      </c>
      <c r="CT17" s="140">
        <v>1</v>
      </c>
      <c r="CU17" s="140">
        <v>0</v>
      </c>
      <c r="CV17" s="148">
        <f t="shared" si="48"/>
        <v>5</v>
      </c>
      <c r="CW17" s="140"/>
      <c r="CX17" s="164">
        <f t="shared" si="49"/>
        <v>108.05169144578304</v>
      </c>
      <c r="CY17" s="147">
        <f t="shared" si="14"/>
        <v>0.43859074976056661</v>
      </c>
      <c r="CZ17" s="165">
        <f t="shared" si="15"/>
        <v>0.17272692159615152</v>
      </c>
      <c r="DA17" s="164">
        <f t="shared" si="16"/>
        <v>94.510482474786187</v>
      </c>
      <c r="DB17" s="141"/>
      <c r="DC17" s="141"/>
      <c r="DD17" s="77">
        <f t="shared" si="50"/>
        <v>0.82820634169427354</v>
      </c>
      <c r="DE17" s="37">
        <f t="shared" si="51"/>
        <v>0.5</v>
      </c>
      <c r="DF17" s="37">
        <f t="shared" si="52"/>
        <v>0.5</v>
      </c>
      <c r="DG17" s="37">
        <f t="shared" si="53"/>
        <v>0.625</v>
      </c>
      <c r="DH17" s="37">
        <f t="shared" si="17"/>
        <v>0</v>
      </c>
      <c r="DI17" s="37">
        <f t="shared" si="18"/>
        <v>0.25873469387755105</v>
      </c>
      <c r="DJ17" s="37">
        <f t="shared" si="19"/>
        <v>0</v>
      </c>
      <c r="DK17" s="37">
        <f t="shared" si="20"/>
        <v>0</v>
      </c>
      <c r="DL17" s="37">
        <f t="shared" si="21"/>
        <v>8.6244897959183678E-2</v>
      </c>
      <c r="DM17" s="37">
        <f t="shared" si="22"/>
        <v>7.4281017203625954E-2</v>
      </c>
      <c r="DN17" s="37">
        <f t="shared" si="54"/>
        <v>0.2150244342839055</v>
      </c>
      <c r="DO17" s="37">
        <f t="shared" si="55"/>
        <v>1</v>
      </c>
      <c r="DP17" s="66">
        <f t="shared" si="56"/>
        <v>0</v>
      </c>
      <c r="DQ17" s="78">
        <f t="shared" si="57"/>
        <v>0</v>
      </c>
      <c r="DR17" s="6"/>
      <c r="DS17" s="36"/>
      <c r="DT17" s="75">
        <f t="shared" si="58"/>
        <v>24.299714285714288</v>
      </c>
      <c r="DU17" s="18">
        <f t="shared" si="23"/>
        <v>2.0397251652873898</v>
      </c>
      <c r="DV17" s="13">
        <f t="shared" si="59"/>
        <v>1.7777162901013055</v>
      </c>
      <c r="DW17" s="14">
        <f t="shared" si="24"/>
        <v>0.35565393583791138</v>
      </c>
      <c r="DX17" s="14">
        <f t="shared" si="25"/>
        <v>0.36363636363636365</v>
      </c>
      <c r="DY17" s="14" t="str">
        <f t="shared" si="60"/>
        <v>0</v>
      </c>
      <c r="DZ17" s="15">
        <f t="shared" si="26"/>
        <v>17.467749999999999</v>
      </c>
      <c r="EA17" s="14">
        <f t="shared" si="61"/>
        <v>0.82104904445375804</v>
      </c>
      <c r="EB17" s="14">
        <f t="shared" si="27"/>
        <v>0.18181818181818182</v>
      </c>
      <c r="EC17" s="14">
        <f t="shared" si="28"/>
        <v>0.50484826589595366</v>
      </c>
      <c r="ED17" s="14">
        <f t="shared" si="62"/>
        <v>0</v>
      </c>
      <c r="EE17" s="19">
        <f t="shared" si="63"/>
        <v>1.6109090909090908</v>
      </c>
      <c r="EF17" s="67" t="str">
        <f t="shared" si="64"/>
        <v>0</v>
      </c>
      <c r="EG17" s="74">
        <f t="shared" si="65"/>
        <v>4.6506342561964811</v>
      </c>
      <c r="EH17" s="27">
        <f t="shared" si="66"/>
        <v>5.025088976777309</v>
      </c>
      <c r="EI17" s="25">
        <f t="shared" si="67"/>
        <v>4.4442907252532642</v>
      </c>
      <c r="EJ17" s="25">
        <f t="shared" si="68"/>
        <v>0.83116883116883111</v>
      </c>
      <c r="EK17" s="26">
        <f t="shared" si="29"/>
        <v>0</v>
      </c>
      <c r="EL17" s="29">
        <f t="shared" si="69"/>
        <v>0.81481481481481488</v>
      </c>
      <c r="EM17" s="30">
        <f t="shared" si="30"/>
        <v>0.14285714285714285</v>
      </c>
      <c r="EN17" s="30">
        <f t="shared" si="31"/>
        <v>0.42307692307692307</v>
      </c>
      <c r="EO17" s="31">
        <f t="shared" si="70"/>
        <v>0.55555555555555536</v>
      </c>
      <c r="EP17" s="31">
        <f t="shared" si="32"/>
        <v>2.7088920439606667</v>
      </c>
      <c r="EQ17" s="31">
        <f t="shared" si="71"/>
        <v>3.2644475995162221</v>
      </c>
      <c r="ER17" s="93">
        <f t="shared" si="33"/>
        <v>0.60621622074999992</v>
      </c>
      <c r="ES17" s="109">
        <f t="shared" si="34"/>
        <v>93.510414463627555</v>
      </c>
      <c r="ET17" s="32">
        <f t="shared" si="35"/>
        <v>2.5016458196181697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7</v>
      </c>
      <c r="FG17" s="43">
        <f t="shared" si="36"/>
        <v>2</v>
      </c>
      <c r="FH17" s="42"/>
      <c r="FI17" s="49">
        <f t="shared" si="73"/>
        <v>4</v>
      </c>
      <c r="FJ17" s="347">
        <f t="shared" si="74"/>
        <v>0.5</v>
      </c>
      <c r="FK17" s="325">
        <f t="shared" si="37"/>
        <v>1</v>
      </c>
      <c r="FL17" s="42"/>
      <c r="FM17" s="348">
        <f t="shared" si="38"/>
        <v>2</v>
      </c>
      <c r="FN17" s="347">
        <f t="shared" si="75"/>
        <v>0.5</v>
      </c>
      <c r="FO17" s="349">
        <f t="shared" si="76"/>
        <v>0</v>
      </c>
      <c r="FP17" s="42"/>
      <c r="FQ17" s="350">
        <f t="shared" si="77"/>
        <v>0</v>
      </c>
      <c r="FR17" s="351" t="str">
        <f t="shared" si="78"/>
        <v>0</v>
      </c>
      <c r="FS17" s="4">
        <f t="shared" si="39"/>
        <v>0</v>
      </c>
      <c r="FT17" s="4">
        <f t="shared" si="39"/>
        <v>3</v>
      </c>
      <c r="FU17" s="4">
        <f t="shared" si="40"/>
        <v>3</v>
      </c>
      <c r="FV17" s="352">
        <f t="shared" si="40"/>
        <v>1</v>
      </c>
      <c r="FW17" s="4">
        <f t="shared" si="40"/>
        <v>1</v>
      </c>
      <c r="FX17" s="4">
        <f t="shared" si="40"/>
        <v>0</v>
      </c>
      <c r="FY17" s="4">
        <f t="shared" si="40"/>
        <v>0</v>
      </c>
      <c r="FZ17" s="4">
        <f t="shared" si="40"/>
        <v>0</v>
      </c>
      <c r="GA17" s="4">
        <f t="shared" si="40"/>
        <v>1</v>
      </c>
      <c r="GB17" s="4">
        <f t="shared" si="40"/>
        <v>0</v>
      </c>
      <c r="GC17" s="352">
        <f t="shared" si="40"/>
        <v>5</v>
      </c>
      <c r="GD17" s="353">
        <f t="shared" si="79"/>
        <v>108.05169144578304</v>
      </c>
      <c r="GE17" s="4">
        <f t="shared" si="79"/>
        <v>0.43859074976056661</v>
      </c>
      <c r="GF17" s="4">
        <f t="shared" si="79"/>
        <v>0.17272692159615152</v>
      </c>
      <c r="GG17" s="354">
        <f t="shared" si="79"/>
        <v>94.510482474786187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82</v>
      </c>
      <c r="C18" s="41" t="s">
        <v>218</v>
      </c>
      <c r="D18" s="473">
        <v>8.4499999999999993</v>
      </c>
      <c r="E18" s="114">
        <f t="shared" si="0"/>
        <v>2</v>
      </c>
      <c r="F18" s="424" t="s">
        <v>52</v>
      </c>
      <c r="G18" s="115">
        <f t="shared" si="1"/>
        <v>7</v>
      </c>
      <c r="H18" s="116" t="s">
        <v>53</v>
      </c>
      <c r="I18" s="424">
        <f t="shared" si="41"/>
        <v>2</v>
      </c>
      <c r="J18" s="115" t="s">
        <v>54</v>
      </c>
      <c r="K18" s="116">
        <f t="shared" si="2"/>
        <v>0</v>
      </c>
      <c r="L18" s="424" t="s">
        <v>52</v>
      </c>
      <c r="M18" s="115">
        <f t="shared" si="3"/>
        <v>1</v>
      </c>
      <c r="N18" s="116" t="s">
        <v>53</v>
      </c>
      <c r="O18" s="424">
        <f t="shared" si="4"/>
        <v>0</v>
      </c>
      <c r="P18" s="115" t="s">
        <v>54</v>
      </c>
      <c r="Q18" s="116">
        <f t="shared" si="5"/>
        <v>0</v>
      </c>
      <c r="R18" s="424" t="s">
        <v>52</v>
      </c>
      <c r="S18" s="115">
        <f t="shared" si="42"/>
        <v>0</v>
      </c>
      <c r="T18" s="116" t="s">
        <v>53</v>
      </c>
      <c r="U18" s="424">
        <f t="shared" si="6"/>
        <v>0</v>
      </c>
      <c r="V18" s="115" t="s">
        <v>54</v>
      </c>
      <c r="W18" s="116">
        <f t="shared" si="7"/>
        <v>2</v>
      </c>
      <c r="X18" s="424" t="s">
        <v>52</v>
      </c>
      <c r="Y18" s="115">
        <f t="shared" si="8"/>
        <v>6</v>
      </c>
      <c r="Z18" s="116" t="s">
        <v>53</v>
      </c>
      <c r="AA18" s="424">
        <f t="shared" si="9"/>
        <v>2</v>
      </c>
      <c r="AB18" s="115" t="s">
        <v>54</v>
      </c>
      <c r="AC18" s="116">
        <f t="shared" si="43"/>
        <v>0</v>
      </c>
      <c r="AD18" s="424" t="s">
        <v>52</v>
      </c>
      <c r="AE18" s="117">
        <f t="shared" si="44"/>
        <v>0</v>
      </c>
      <c r="AF18" s="425"/>
      <c r="AG18" s="114">
        <f>IFERROR(AM18+AS18+AY18,"0")</f>
        <v>1</v>
      </c>
      <c r="AH18" s="424" t="s">
        <v>52</v>
      </c>
      <c r="AI18" s="115">
        <f t="shared" si="10"/>
        <v>5</v>
      </c>
      <c r="AJ18" s="116" t="s">
        <v>53</v>
      </c>
      <c r="AK18" s="424">
        <f t="shared" si="11"/>
        <v>1</v>
      </c>
      <c r="AL18" s="115" t="s">
        <v>54</v>
      </c>
      <c r="AM18" s="246">
        <v>0</v>
      </c>
      <c r="AN18" s="244" t="s">
        <v>52</v>
      </c>
      <c r="AO18" s="245">
        <v>1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1</v>
      </c>
      <c r="AZ18" s="244" t="s">
        <v>52</v>
      </c>
      <c r="BA18" s="245">
        <v>4</v>
      </c>
      <c r="BB18" s="246" t="s">
        <v>53</v>
      </c>
      <c r="BC18" s="244">
        <v>1</v>
      </c>
      <c r="BD18" s="245" t="s">
        <v>54</v>
      </c>
      <c r="BE18" s="116">
        <v>0</v>
      </c>
      <c r="BF18" s="424" t="s">
        <v>52</v>
      </c>
      <c r="BG18" s="117">
        <v>0</v>
      </c>
      <c r="BH18" s="115"/>
      <c r="BI18" s="114">
        <f t="shared" si="12"/>
        <v>1</v>
      </c>
      <c r="BJ18" s="424" t="s">
        <v>52</v>
      </c>
      <c r="BK18" s="115">
        <f t="shared" si="46"/>
        <v>2</v>
      </c>
      <c r="BL18" s="116" t="s">
        <v>53</v>
      </c>
      <c r="BM18" s="424">
        <f t="shared" si="13"/>
        <v>1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1</v>
      </c>
      <c r="CB18" s="244" t="s">
        <v>52</v>
      </c>
      <c r="CC18" s="245">
        <v>2</v>
      </c>
      <c r="CD18" s="246" t="s">
        <v>53</v>
      </c>
      <c r="CE18" s="244">
        <v>1</v>
      </c>
      <c r="CF18" s="245" t="s">
        <v>54</v>
      </c>
      <c r="CG18" s="116">
        <v>0</v>
      </c>
      <c r="CH18" s="424" t="s">
        <v>52</v>
      </c>
      <c r="CI18" s="117">
        <v>0</v>
      </c>
      <c r="CJ18" s="140">
        <v>0</v>
      </c>
      <c r="CK18" s="148">
        <f t="shared" si="80"/>
        <v>2</v>
      </c>
      <c r="CL18" s="148">
        <v>0</v>
      </c>
      <c r="CM18" s="148">
        <v>2</v>
      </c>
      <c r="CN18" s="148">
        <f t="shared" si="47"/>
        <v>2</v>
      </c>
      <c r="CO18" s="175">
        <v>1</v>
      </c>
      <c r="CP18" s="140">
        <v>4</v>
      </c>
      <c r="CQ18" s="175">
        <v>2</v>
      </c>
      <c r="CR18" s="148">
        <v>0</v>
      </c>
      <c r="CS18" s="148">
        <v>1</v>
      </c>
      <c r="CT18" s="140">
        <v>0</v>
      </c>
      <c r="CU18" s="140">
        <v>0</v>
      </c>
      <c r="CV18" s="148">
        <f t="shared" si="48"/>
        <v>6</v>
      </c>
      <c r="CW18" s="140"/>
      <c r="CX18" s="164">
        <f t="shared" si="49"/>
        <v>88.579365342286025</v>
      </c>
      <c r="CY18" s="147">
        <f t="shared" si="14"/>
        <v>0.30368130881856559</v>
      </c>
      <c r="CZ18" s="165">
        <f t="shared" si="15"/>
        <v>0.19759643100363478</v>
      </c>
      <c r="DA18" s="164">
        <f t="shared" si="16"/>
        <v>126.62236731438585</v>
      </c>
      <c r="DB18" s="141"/>
      <c r="DC18" s="141"/>
      <c r="DD18" s="77">
        <f t="shared" si="50"/>
        <v>0.99976336961665868</v>
      </c>
      <c r="DE18" s="37">
        <f t="shared" si="51"/>
        <v>0.2857142857142857</v>
      </c>
      <c r="DF18" s="37">
        <f t="shared" si="52"/>
        <v>0.33333333333333331</v>
      </c>
      <c r="DG18" s="37">
        <f t="shared" si="53"/>
        <v>0.42857142857142855</v>
      </c>
      <c r="DH18" s="37">
        <f t="shared" si="17"/>
        <v>0</v>
      </c>
      <c r="DI18" s="37">
        <f t="shared" si="18"/>
        <v>0.18186121570736957</v>
      </c>
      <c r="DJ18" s="37">
        <f t="shared" si="19"/>
        <v>0</v>
      </c>
      <c r="DK18" s="37">
        <f t="shared" si="20"/>
        <v>3.2483326054975212E-2</v>
      </c>
      <c r="DL18" s="37">
        <f t="shared" si="21"/>
        <v>0.11113740959894808</v>
      </c>
      <c r="DM18" s="37">
        <f t="shared" si="22"/>
        <v>0.16241663027487604</v>
      </c>
      <c r="DN18" s="37">
        <f t="shared" si="54"/>
        <v>0</v>
      </c>
      <c r="DO18" s="37" t="str">
        <f t="shared" si="55"/>
        <v>0</v>
      </c>
      <c r="DP18" s="66">
        <f t="shared" si="56"/>
        <v>9.4674556213017755</v>
      </c>
      <c r="DQ18" s="78">
        <f t="shared" si="57"/>
        <v>0</v>
      </c>
      <c r="DR18" s="6"/>
      <c r="DS18" s="36"/>
      <c r="DT18" s="75">
        <f t="shared" si="58"/>
        <v>19.292781065088757</v>
      </c>
      <c r="DU18" s="18">
        <f t="shared" si="23"/>
        <v>1.8472967541410528</v>
      </c>
      <c r="DV18" s="13">
        <f t="shared" si="59"/>
        <v>1.6446692583070683</v>
      </c>
      <c r="DW18" s="14">
        <f t="shared" si="24"/>
        <v>0.82910506395017392</v>
      </c>
      <c r="DX18" s="14">
        <f t="shared" si="25"/>
        <v>0.28947368421052633</v>
      </c>
      <c r="DY18" s="14" t="str">
        <f t="shared" si="60"/>
        <v>0</v>
      </c>
      <c r="DZ18" s="15">
        <f t="shared" si="26"/>
        <v>12.151999999999999</v>
      </c>
      <c r="EA18" s="14">
        <f t="shared" si="61"/>
        <v>0.76781802864363946</v>
      </c>
      <c r="EB18" s="14">
        <f t="shared" si="27"/>
        <v>0.14285714285714285</v>
      </c>
      <c r="EC18" s="14">
        <f t="shared" si="28"/>
        <v>0.35532163742690054</v>
      </c>
      <c r="ED18" s="14">
        <f t="shared" si="62"/>
        <v>0</v>
      </c>
      <c r="EE18" s="19">
        <f t="shared" si="63"/>
        <v>4.2357142857142858</v>
      </c>
      <c r="EF18" s="67" t="str">
        <f t="shared" si="64"/>
        <v>0</v>
      </c>
      <c r="EG18" s="74">
        <f t="shared" si="65"/>
        <v>6.0830110398553385</v>
      </c>
      <c r="EH18" s="27">
        <f t="shared" si="66"/>
        <v>5.388292572805053</v>
      </c>
      <c r="EI18" s="25">
        <f t="shared" si="67"/>
        <v>4.9340077749212048</v>
      </c>
      <c r="EJ18" s="25">
        <f t="shared" si="68"/>
        <v>0.70760233918128668</v>
      </c>
      <c r="EK18" s="26">
        <f t="shared" si="29"/>
        <v>0</v>
      </c>
      <c r="EL18" s="29">
        <f t="shared" si="69"/>
        <v>0.87804878048780488</v>
      </c>
      <c r="EM18" s="30">
        <f t="shared" si="30"/>
        <v>0.18181818181818182</v>
      </c>
      <c r="EN18" s="30">
        <f t="shared" si="31"/>
        <v>0.61538461538461542</v>
      </c>
      <c r="EO18" s="31">
        <f t="shared" si="70"/>
        <v>1.2439024390243902</v>
      </c>
      <c r="EP18" s="31">
        <f t="shared" si="32"/>
        <v>1.7972806692127601</v>
      </c>
      <c r="EQ18" s="31">
        <f t="shared" si="71"/>
        <v>3.0411831082371501</v>
      </c>
      <c r="ER18" s="93">
        <f t="shared" si="33"/>
        <v>0.4939387124887516</v>
      </c>
      <c r="ES18" s="109">
        <f t="shared" si="34"/>
        <v>129.41542345961832</v>
      </c>
      <c r="ET18" s="32">
        <f t="shared" si="35"/>
        <v>2.2813470538563929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8.4499999999999993</v>
      </c>
      <c r="FG18" s="182">
        <f t="shared" si="36"/>
        <v>2</v>
      </c>
      <c r="FH18" s="183" t="s">
        <v>52</v>
      </c>
      <c r="FI18" s="184">
        <f t="shared" si="73"/>
        <v>7</v>
      </c>
      <c r="FJ18" s="193">
        <f t="shared" si="74"/>
        <v>0.2857142857142857</v>
      </c>
      <c r="FK18" s="185">
        <f t="shared" si="37"/>
        <v>2</v>
      </c>
      <c r="FL18" s="183" t="s">
        <v>52</v>
      </c>
      <c r="FM18" s="186">
        <f t="shared" si="38"/>
        <v>6</v>
      </c>
      <c r="FN18" s="193">
        <f t="shared" si="75"/>
        <v>0.33333333333333331</v>
      </c>
      <c r="FO18" s="261">
        <f t="shared" si="76"/>
        <v>0</v>
      </c>
      <c r="FP18" s="183" t="s">
        <v>52</v>
      </c>
      <c r="FQ18" s="268">
        <f>EW18</f>
        <v>0</v>
      </c>
      <c r="FR18" s="196" t="str">
        <f t="shared" si="78"/>
        <v>0</v>
      </c>
      <c r="FS18" s="179">
        <f t="shared" si="39"/>
        <v>0</v>
      </c>
      <c r="FT18" s="179">
        <f t="shared" si="39"/>
        <v>2</v>
      </c>
      <c r="FU18" s="179">
        <f t="shared" si="40"/>
        <v>2</v>
      </c>
      <c r="FV18" s="187">
        <f t="shared" si="40"/>
        <v>1</v>
      </c>
      <c r="FW18" s="179">
        <f t="shared" si="40"/>
        <v>4</v>
      </c>
      <c r="FX18" s="179">
        <f t="shared" si="40"/>
        <v>2</v>
      </c>
      <c r="FY18" s="179">
        <f t="shared" si="40"/>
        <v>0</v>
      </c>
      <c r="FZ18" s="179">
        <f t="shared" si="40"/>
        <v>1</v>
      </c>
      <c r="GA18" s="179">
        <f t="shared" si="40"/>
        <v>0</v>
      </c>
      <c r="GB18" s="179">
        <f t="shared" si="40"/>
        <v>0</v>
      </c>
      <c r="GC18" s="187">
        <f t="shared" si="40"/>
        <v>6</v>
      </c>
      <c r="GD18" s="203">
        <f t="shared" si="79"/>
        <v>88.579365342286025</v>
      </c>
      <c r="GE18" s="179">
        <f t="shared" si="79"/>
        <v>0.30368130881856559</v>
      </c>
      <c r="GF18" s="179">
        <f t="shared" si="79"/>
        <v>0.19759643100363478</v>
      </c>
      <c r="GG18" s="258">
        <f t="shared" si="79"/>
        <v>126.62236731438585</v>
      </c>
      <c r="GH18" s="179"/>
      <c r="GJ18" s="82"/>
      <c r="GK18" s="24"/>
      <c r="GL18" s="185">
        <f>(CQ18/CQ51)*(EY52-EX52)</f>
        <v>0.76666666666666683</v>
      </c>
      <c r="GM18" s="185">
        <f>((E53/G53)*(1-(CJ53/(CJ53+CK52))))/((E53/G53)*(1-(CJ53/(CJ53+CK52)))+((1-(E53/G53)))*(CJ53/(CJ53+CK52)))</f>
        <v>0.81481481481481488</v>
      </c>
      <c r="GN18" s="24">
        <f>GK18+(GL18/10)+(GJ18*GM18*(1-(CJ53/(CJ53+CK52))))+(CK18*(1-GM18))</f>
        <v>0.4470370370370369</v>
      </c>
      <c r="GO18" s="213">
        <f>GN18/(DD18*EG53)</f>
        <v>1.4521249832724098E-2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24"/>
      <c r="G19" s="115"/>
      <c r="H19" s="116"/>
      <c r="I19" s="424"/>
      <c r="J19" s="115"/>
      <c r="K19" s="116"/>
      <c r="L19" s="424"/>
      <c r="M19" s="115"/>
      <c r="N19" s="116"/>
      <c r="O19" s="424"/>
      <c r="P19" s="115"/>
      <c r="Q19" s="116"/>
      <c r="R19" s="424"/>
      <c r="S19" s="115"/>
      <c r="T19" s="116"/>
      <c r="U19" s="424"/>
      <c r="V19" s="115"/>
      <c r="W19" s="116"/>
      <c r="X19" s="424"/>
      <c r="Y19" s="115"/>
      <c r="Z19" s="116"/>
      <c r="AA19" s="424"/>
      <c r="AB19" s="115"/>
      <c r="AC19" s="116"/>
      <c r="AD19" s="424"/>
      <c r="AE19" s="117"/>
      <c r="AF19" s="425"/>
      <c r="AG19" s="114"/>
      <c r="AH19" s="424"/>
      <c r="AI19" s="115"/>
      <c r="AJ19" s="116"/>
      <c r="AK19" s="424"/>
      <c r="AL19" s="115"/>
      <c r="AM19" s="116"/>
      <c r="AN19" s="424"/>
      <c r="AO19" s="115"/>
      <c r="AP19" s="116"/>
      <c r="AQ19" s="424"/>
      <c r="AR19" s="115"/>
      <c r="AS19" s="116"/>
      <c r="AT19" s="424"/>
      <c r="AU19" s="115"/>
      <c r="AV19" s="116"/>
      <c r="AW19" s="424"/>
      <c r="AX19" s="115"/>
      <c r="AY19" s="116"/>
      <c r="AZ19" s="424"/>
      <c r="BA19" s="115"/>
      <c r="BB19" s="116"/>
      <c r="BC19" s="424"/>
      <c r="BD19" s="115"/>
      <c r="BE19" s="116"/>
      <c r="BF19" s="424"/>
      <c r="BG19" s="117"/>
      <c r="BH19" s="115"/>
      <c r="BI19" s="114"/>
      <c r="BJ19" s="424"/>
      <c r="BK19" s="115"/>
      <c r="BL19" s="116"/>
      <c r="BM19" s="424"/>
      <c r="BN19" s="115"/>
      <c r="BO19" s="116"/>
      <c r="BP19" s="424"/>
      <c r="BQ19" s="115"/>
      <c r="BR19" s="116"/>
      <c r="BS19" s="424"/>
      <c r="BT19" s="115"/>
      <c r="BU19" s="116"/>
      <c r="BV19" s="424"/>
      <c r="BW19" s="115"/>
      <c r="BX19" s="116"/>
      <c r="BY19" s="424"/>
      <c r="BZ19" s="115"/>
      <c r="CA19" s="116"/>
      <c r="CB19" s="424"/>
      <c r="CC19" s="115"/>
      <c r="CD19" s="116"/>
      <c r="CE19" s="424"/>
      <c r="CF19" s="115"/>
      <c r="CG19" s="116"/>
      <c r="CH19" s="424"/>
      <c r="CI19" s="117"/>
      <c r="CJ19" s="140">
        <v>0</v>
      </c>
      <c r="CK19" s="148">
        <v>1</v>
      </c>
      <c r="CL19" s="148"/>
      <c r="CM19" s="148"/>
      <c r="CN19" s="148">
        <f t="shared" si="47"/>
        <v>1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23"/>
        <v>0</v>
      </c>
      <c r="DV19" s="13" t="str">
        <f t="shared" si="59"/>
        <v>0</v>
      </c>
      <c r="DW19" s="14" t="str">
        <f t="shared" si="24"/>
        <v>0</v>
      </c>
      <c r="DX19" s="14">
        <f t="shared" si="25"/>
        <v>0</v>
      </c>
      <c r="DY19" s="14" t="str">
        <f t="shared" si="60"/>
        <v>0</v>
      </c>
      <c r="DZ19" s="15">
        <f t="shared" si="26"/>
        <v>17.467749999999999</v>
      </c>
      <c r="EA19" s="14">
        <f t="shared" si="61"/>
        <v>0</v>
      </c>
      <c r="EB19" s="14">
        <f t="shared" si="27"/>
        <v>1</v>
      </c>
      <c r="EC19" s="14">
        <f t="shared" si="28"/>
        <v>0.50484826589595366</v>
      </c>
      <c r="ED19" s="14">
        <f t="shared" si="62"/>
        <v>0</v>
      </c>
      <c r="EE19" s="19">
        <f t="shared" si="63"/>
        <v>0</v>
      </c>
      <c r="EF19" s="67" t="str">
        <f t="shared" si="64"/>
        <v>0</v>
      </c>
      <c r="EG19" s="74">
        <f t="shared" si="65"/>
        <v>0</v>
      </c>
      <c r="EH19" s="27">
        <f t="shared" si="66"/>
        <v>0</v>
      </c>
      <c r="EI19" s="25" t="str">
        <f t="shared" si="67"/>
        <v>0</v>
      </c>
      <c r="EJ19" s="25">
        <f t="shared" si="68"/>
        <v>0</v>
      </c>
      <c r="EK19" s="26">
        <f t="shared" si="29"/>
        <v>0</v>
      </c>
      <c r="EL19" s="29" t="str">
        <f t="shared" si="69"/>
        <v>0</v>
      </c>
      <c r="EM19" s="30">
        <f t="shared" si="30"/>
        <v>0</v>
      </c>
      <c r="EN19" s="30" t="str">
        <f t="shared" si="31"/>
        <v>0</v>
      </c>
      <c r="EO19" s="31">
        <f t="shared" si="70"/>
        <v>1</v>
      </c>
      <c r="EP19" s="31" t="str">
        <f t="shared" si="32"/>
        <v>0</v>
      </c>
      <c r="EQ19" s="31">
        <f t="shared" si="71"/>
        <v>1</v>
      </c>
      <c r="ER19" s="93" t="str">
        <f t="shared" si="33"/>
        <v>0</v>
      </c>
      <c r="ES19" s="109">
        <f t="shared" si="34"/>
        <v>0</v>
      </c>
      <c r="ET19" s="32" t="str">
        <f t="shared" si="35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0</v>
      </c>
      <c r="FT19" s="140">
        <f t="shared" si="39"/>
        <v>1</v>
      </c>
      <c r="FU19" s="140">
        <f t="shared" si="40"/>
        <v>1</v>
      </c>
      <c r="FV19" s="175"/>
      <c r="FW19" s="140"/>
      <c r="FX19" s="140"/>
      <c r="FY19" s="140"/>
      <c r="FZ19" s="140"/>
      <c r="GA19" s="140">
        <f t="shared" si="40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29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25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1</v>
      </c>
      <c r="CK20" s="148">
        <v>0</v>
      </c>
      <c r="CL20" s="148"/>
      <c r="CM20" s="148"/>
      <c r="CN20" s="148">
        <f t="shared" si="47"/>
        <v>1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23"/>
        <v>0</v>
      </c>
      <c r="DV20" s="13" t="str">
        <f t="shared" si="59"/>
        <v>0</v>
      </c>
      <c r="DW20" s="14" t="str">
        <f t="shared" si="24"/>
        <v>0</v>
      </c>
      <c r="DX20" s="14">
        <f t="shared" si="25"/>
        <v>0</v>
      </c>
      <c r="DY20" s="14" t="str">
        <f t="shared" si="60"/>
        <v>0</v>
      </c>
      <c r="DZ20" s="15">
        <f t="shared" si="26"/>
        <v>12.151999999999999</v>
      </c>
      <c r="EA20" s="14">
        <f t="shared" si="61"/>
        <v>0</v>
      </c>
      <c r="EB20" s="14">
        <f t="shared" si="27"/>
        <v>1</v>
      </c>
      <c r="EC20" s="14">
        <f t="shared" si="28"/>
        <v>0.35532163742690054</v>
      </c>
      <c r="ED20" s="14">
        <f t="shared" si="62"/>
        <v>0</v>
      </c>
      <c r="EE20" s="19">
        <f t="shared" si="63"/>
        <v>0</v>
      </c>
      <c r="EF20" s="67" t="str">
        <f t="shared" si="64"/>
        <v>0</v>
      </c>
      <c r="EG20" s="74">
        <f t="shared" si="65"/>
        <v>0</v>
      </c>
      <c r="EH20" s="27">
        <f t="shared" si="66"/>
        <v>0</v>
      </c>
      <c r="EI20" s="25" t="str">
        <f t="shared" si="67"/>
        <v>0</v>
      </c>
      <c r="EJ20" s="25">
        <f t="shared" si="68"/>
        <v>0</v>
      </c>
      <c r="EK20" s="26">
        <f t="shared" si="29"/>
        <v>0</v>
      </c>
      <c r="EL20" s="29" t="str">
        <f t="shared" si="69"/>
        <v>0</v>
      </c>
      <c r="EM20" s="30">
        <f t="shared" si="30"/>
        <v>0</v>
      </c>
      <c r="EN20" s="30" t="str">
        <f t="shared" si="31"/>
        <v>0</v>
      </c>
      <c r="EO20" s="31">
        <f t="shared" si="70"/>
        <v>0</v>
      </c>
      <c r="EP20" s="31" t="str">
        <f t="shared" si="32"/>
        <v>0</v>
      </c>
      <c r="EQ20" s="31">
        <f t="shared" si="71"/>
        <v>0</v>
      </c>
      <c r="ER20" s="93" t="str">
        <f t="shared" si="33"/>
        <v>0</v>
      </c>
      <c r="ES20" s="109">
        <f t="shared" si="34"/>
        <v>0</v>
      </c>
      <c r="ET20" s="32" t="str">
        <f t="shared" si="35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1</v>
      </c>
      <c r="FT20" s="140">
        <f t="shared" si="39"/>
        <v>0</v>
      </c>
      <c r="FU20" s="140">
        <f t="shared" ref="FU20:FZ23" si="82">CN20</f>
        <v>1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84.52</v>
      </c>
      <c r="E21" s="163">
        <f>IFERROR(SUM(E4:E20),"0")</f>
        <v>27</v>
      </c>
      <c r="F21" s="118" t="s">
        <v>52</v>
      </c>
      <c r="G21" s="145">
        <f>IFERROR(SUM(G4:G20),"0")</f>
        <v>52</v>
      </c>
      <c r="H21" s="143" t="s">
        <v>53</v>
      </c>
      <c r="I21" s="230">
        <f>IFERROR(SUM(I4:I20),"0")</f>
        <v>15</v>
      </c>
      <c r="J21" s="145" t="s">
        <v>54</v>
      </c>
      <c r="K21" s="143">
        <f>IFERROR(SUM(K4:K20),"0")</f>
        <v>15</v>
      </c>
      <c r="L21" s="118" t="s">
        <v>52</v>
      </c>
      <c r="M21" s="145">
        <f>IFERROR(SUM(M4:M20),"0")</f>
        <v>21</v>
      </c>
      <c r="N21" s="143" t="s">
        <v>53</v>
      </c>
      <c r="O21" s="118">
        <f>IFERROR(SUM(O4:O20),"0")</f>
        <v>5</v>
      </c>
      <c r="P21" s="145" t="s">
        <v>54</v>
      </c>
      <c r="Q21" s="111">
        <f>IFERROR(SUM(Q4:Q20),"0")</f>
        <v>1</v>
      </c>
      <c r="R21" s="118" t="s">
        <v>52</v>
      </c>
      <c r="S21" s="145">
        <f>IFERROR(SUM(S4:S20),"0")</f>
        <v>1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11</v>
      </c>
      <c r="X21" s="118" t="s">
        <v>52</v>
      </c>
      <c r="Y21" s="145">
        <f>IFERROR(SUM(Y4:Y18),"0")</f>
        <v>30</v>
      </c>
      <c r="Z21" s="143" t="s">
        <v>53</v>
      </c>
      <c r="AA21" s="118">
        <f>IFERROR(SUM(AA4:AA18),"0")</f>
        <v>10</v>
      </c>
      <c r="AB21" s="111" t="s">
        <v>54</v>
      </c>
      <c r="AC21" s="143">
        <f>IFERROR(SUM(AC4:AC18),"0")</f>
        <v>5.25</v>
      </c>
      <c r="AD21" s="118" t="s">
        <v>52</v>
      </c>
      <c r="AE21" s="146">
        <f>IFERROR(SUM(AE4:AE18),"0")</f>
        <v>7</v>
      </c>
      <c r="AF21" s="129"/>
      <c r="AG21" s="144">
        <f>IFERROR(SUM(AG4:AG18),"0")</f>
        <v>22</v>
      </c>
      <c r="AH21" s="118" t="s">
        <v>52</v>
      </c>
      <c r="AI21" s="145">
        <f>IFERROR(SUM(AI4:AI18),"0")</f>
        <v>43</v>
      </c>
      <c r="AJ21" s="143" t="s">
        <v>53</v>
      </c>
      <c r="AK21" s="111">
        <f>IFERROR(SUM(AK4:AK18),"0")</f>
        <v>13</v>
      </c>
      <c r="AL21" s="145" t="s">
        <v>54</v>
      </c>
      <c r="AM21" s="143">
        <f>IFERROR(SUM(AM4:AM18),"0")</f>
        <v>11</v>
      </c>
      <c r="AN21" s="118" t="s">
        <v>52</v>
      </c>
      <c r="AO21" s="145">
        <f>IFERROR(SUM(AO4:AO18),"0")</f>
        <v>17</v>
      </c>
      <c r="AP21" s="143" t="s">
        <v>53</v>
      </c>
      <c r="AQ21" s="111">
        <f>IFERROR(SUM(AQ4:AQ18),"0")</f>
        <v>4</v>
      </c>
      <c r="AR21" s="111" t="s">
        <v>54</v>
      </c>
      <c r="AS21" s="143">
        <f>IFERROR(SUM(AS4:AS18),"0")</f>
        <v>1</v>
      </c>
      <c r="AT21" s="118" t="s">
        <v>52</v>
      </c>
      <c r="AU21" s="145">
        <f>IFERROR(SUM(AU4:AU18),"0")</f>
        <v>1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10</v>
      </c>
      <c r="AZ21" s="118" t="s">
        <v>52</v>
      </c>
      <c r="BA21" s="145">
        <f>IFERROR(SUM(BA4:BA18),"0")</f>
        <v>25</v>
      </c>
      <c r="BB21" s="143" t="s">
        <v>53</v>
      </c>
      <c r="BC21" s="118">
        <f>IFERROR(SUM(BC4:BC18),"0")</f>
        <v>9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5</v>
      </c>
      <c r="BJ21" s="118" t="s">
        <v>52</v>
      </c>
      <c r="BK21" s="145">
        <f>IFERROR(SUM(BK4:BK18),"0")</f>
        <v>9</v>
      </c>
      <c r="BL21" s="143" t="s">
        <v>53</v>
      </c>
      <c r="BM21" s="118">
        <f>IFERROR(SUM(BM4:BM18),"0")</f>
        <v>2</v>
      </c>
      <c r="BN21" s="145" t="s">
        <v>54</v>
      </c>
      <c r="BO21" s="143">
        <f>IFERROR(SUM(BO4:BO18),"0")</f>
        <v>4</v>
      </c>
      <c r="BP21" s="118" t="s">
        <v>52</v>
      </c>
      <c r="BQ21" s="145">
        <f>IFERROR(SUM(BQ4:BQ18),"0")</f>
        <v>4</v>
      </c>
      <c r="BR21" s="143" t="s">
        <v>53</v>
      </c>
      <c r="BS21" s="118">
        <f>IFERROR(SUM(BS4:BS18),"0")</f>
        <v>1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1</v>
      </c>
      <c r="CB21" s="118" t="s">
        <v>52</v>
      </c>
      <c r="CC21" s="145">
        <f>IFERROR(SUM(CC4:CC18),"0")</f>
        <v>5</v>
      </c>
      <c r="CD21" s="143" t="s">
        <v>53</v>
      </c>
      <c r="CE21" s="118">
        <f>IFERROR(SUM(CE4:CE18),"0")</f>
        <v>1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4</v>
      </c>
      <c r="CK21" s="129">
        <f>IFERROR(SUM(CK4:CK20),"0")</f>
        <v>21</v>
      </c>
      <c r="CL21" s="129">
        <f>IFERROR(SUM(CL4:CL20),"0")</f>
        <v>5</v>
      </c>
      <c r="CM21" s="129">
        <f t="shared" ref="CM21" si="85">IFERROR(SUM(CM4:CM20),"0")</f>
        <v>14</v>
      </c>
      <c r="CN21" s="129">
        <f t="shared" si="84"/>
        <v>25</v>
      </c>
      <c r="CO21" s="438">
        <f t="shared" si="84"/>
        <v>15</v>
      </c>
      <c r="CP21" s="11">
        <f t="shared" si="84"/>
        <v>20</v>
      </c>
      <c r="CQ21" s="356">
        <f t="shared" si="84"/>
        <v>7</v>
      </c>
      <c r="CR21" s="158">
        <f t="shared" si="84"/>
        <v>7</v>
      </c>
      <c r="CS21" s="129">
        <f t="shared" si="84"/>
        <v>5</v>
      </c>
      <c r="CT21" s="129">
        <f t="shared" si="84"/>
        <v>14</v>
      </c>
      <c r="CU21" s="129">
        <f t="shared" si="84"/>
        <v>2</v>
      </c>
      <c r="CV21" s="209">
        <f t="shared" si="84"/>
        <v>70.25</v>
      </c>
      <c r="CW21" s="11"/>
      <c r="CX21" s="150">
        <f>DG21</f>
        <v>0.625</v>
      </c>
      <c r="CY21" s="151">
        <f>DN21</f>
        <v>0.22116184193797478</v>
      </c>
      <c r="CZ21" s="151">
        <f>DH21</f>
        <v>0.16</v>
      </c>
      <c r="DA21" s="156">
        <f>FA21</f>
        <v>0.13461538461538461</v>
      </c>
      <c r="DB21" s="149" t="s">
        <v>219</v>
      </c>
      <c r="DC21" s="123"/>
      <c r="DD21" s="34"/>
      <c r="DE21" s="34"/>
      <c r="DF21" s="35"/>
      <c r="DG21" s="37">
        <f>IFERROR(((E21-W21)+1.5*W21)/G21,"0")</f>
        <v>0.625</v>
      </c>
      <c r="DH21" s="37">
        <f>IFERROR(CJ21/(CJ21+CK21),"0")</f>
        <v>0.16</v>
      </c>
      <c r="DI21" s="34"/>
      <c r="DJ21" s="35"/>
      <c r="DK21" s="35"/>
      <c r="DL21" s="35"/>
      <c r="DM21" s="35"/>
      <c r="DN21" s="37">
        <f>IFERROR(CT21/EG21,"0")</f>
        <v>0.22116184193797478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IFERROR(SUM(EG4:EG20),"0")</f>
        <v>63.302059149635426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5.25</v>
      </c>
      <c r="EY21" s="6">
        <f>IFERROR(SUM(EY4:EY18),"0")</f>
        <v>7</v>
      </c>
      <c r="EZ21" s="6">
        <f>IFERROR(E21+(1-(1-(EX21/EY21))^2)*EY21*0.4,"0")</f>
        <v>29.625</v>
      </c>
      <c r="FA21" s="6">
        <f>IFERROR(EY21/G21,"0")</f>
        <v>0.13461538461538461</v>
      </c>
      <c r="FC21" s="234"/>
      <c r="FD21" s="235"/>
      <c r="FE21" s="236" t="s">
        <v>219</v>
      </c>
      <c r="FF21" s="237">
        <f t="shared" ref="FF21:FG23" si="86">D21</f>
        <v>84.52</v>
      </c>
      <c r="FG21" s="206">
        <f t="shared" si="86"/>
        <v>27</v>
      </c>
      <c r="FH21" s="238" t="s">
        <v>52</v>
      </c>
      <c r="FI21" s="210">
        <f t="shared" si="73"/>
        <v>52</v>
      </c>
      <c r="FJ21" s="239">
        <f t="shared" si="74"/>
        <v>0.51923076923076927</v>
      </c>
      <c r="FK21" s="234">
        <f>W21</f>
        <v>11</v>
      </c>
      <c r="FL21" s="238" t="s">
        <v>52</v>
      </c>
      <c r="FM21" s="240">
        <f>Y21</f>
        <v>30</v>
      </c>
      <c r="FN21" s="239">
        <f t="shared" si="75"/>
        <v>0.36666666666666664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8"/>
        <v>0</v>
      </c>
      <c r="FS21" s="235">
        <f t="shared" si="39"/>
        <v>4</v>
      </c>
      <c r="FT21" s="235">
        <f t="shared" si="39"/>
        <v>21</v>
      </c>
      <c r="FU21" s="235">
        <f t="shared" si="82"/>
        <v>25</v>
      </c>
      <c r="FV21" s="241">
        <f t="shared" si="82"/>
        <v>15</v>
      </c>
      <c r="FW21" s="235">
        <f t="shared" si="82"/>
        <v>20</v>
      </c>
      <c r="FX21" s="235">
        <f t="shared" si="82"/>
        <v>7</v>
      </c>
      <c r="FY21" s="235">
        <f t="shared" si="82"/>
        <v>7</v>
      </c>
      <c r="FZ21" s="235">
        <f t="shared" si="82"/>
        <v>5</v>
      </c>
      <c r="GA21" s="235">
        <f t="shared" si="83"/>
        <v>14</v>
      </c>
      <c r="GB21" s="235">
        <f t="shared" si="83"/>
        <v>2</v>
      </c>
      <c r="GC21" s="241">
        <f t="shared" si="83"/>
        <v>70.25</v>
      </c>
      <c r="GD21" s="204">
        <f t="shared" ref="GD21:GG23" si="87">CX21</f>
        <v>0.625</v>
      </c>
      <c r="GE21" s="205">
        <f t="shared" si="87"/>
        <v>0.22116184193797478</v>
      </c>
      <c r="GF21" s="205">
        <f t="shared" si="87"/>
        <v>0.16</v>
      </c>
      <c r="GG21" s="152">
        <f t="shared" si="87"/>
        <v>0.13461538461538461</v>
      </c>
      <c r="GH21" s="242"/>
      <c r="GO21" s="429"/>
    </row>
    <row r="22" spans="1:197" x14ac:dyDescent="0.2">
      <c r="A22" s="139"/>
      <c r="B22" s="139"/>
      <c r="C22" s="432" t="s">
        <v>116</v>
      </c>
      <c r="D22" s="121">
        <f>IFERROR(SUMIFS(D4:D20,B4:B20,"R"),"0")</f>
        <v>42.260000000000005</v>
      </c>
      <c r="E22" s="162">
        <f>IFERROR(SUMIFS(E4:E20,B4:B20,"R"),"0")</f>
        <v>16</v>
      </c>
      <c r="F22" s="143" t="s">
        <v>52</v>
      </c>
      <c r="G22" s="145">
        <f>IFERROR(SUMIFS(G4:G20,B4:B20,"R"),"0")</f>
        <v>26</v>
      </c>
      <c r="H22" s="143" t="s">
        <v>53</v>
      </c>
      <c r="I22" s="118">
        <f>IFERROR(SUMIFS(I4:I20,B4:B20,"R"),"0")</f>
        <v>6</v>
      </c>
      <c r="J22" s="145" t="s">
        <v>54</v>
      </c>
      <c r="K22" s="143">
        <f>IFERROR(SUMIFS(K4:K20,B4:B20,"R"),"0")</f>
        <v>10</v>
      </c>
      <c r="L22" s="143" t="s">
        <v>52</v>
      </c>
      <c r="M22" s="145">
        <f>IFERROR(SUMIFS(M4:M20,B4:B20,"R"),"0")</f>
        <v>14</v>
      </c>
      <c r="N22" s="143" t="s">
        <v>53</v>
      </c>
      <c r="O22" s="118">
        <f>IFERROR(SUMIFS(O4:O20,B4:B20,"R"),"0")</f>
        <v>2</v>
      </c>
      <c r="P22" s="145" t="s">
        <v>54</v>
      </c>
      <c r="Q22" s="111">
        <f>IFERROR(SUMIFS(Q4:Q20,B4:B20,"R"),"0")</f>
        <v>1</v>
      </c>
      <c r="R22" s="143" t="s">
        <v>52</v>
      </c>
      <c r="S22" s="145">
        <f>IFERROR(SUMIFS(S4:S20,B4:B20,"R"),"0")</f>
        <v>1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5</v>
      </c>
      <c r="X22" s="143" t="s">
        <v>52</v>
      </c>
      <c r="Y22" s="145">
        <f>IFERROR(SUMIFS(Y4:Y20,B4:B20,"R"),"0")</f>
        <v>11</v>
      </c>
      <c r="Z22" s="143" t="s">
        <v>53</v>
      </c>
      <c r="AA22" s="118">
        <f>IFERROR(SUMIFS(AA4:AA20,B4:B20,"R"),"0")</f>
        <v>4</v>
      </c>
      <c r="AB22" s="111" t="s">
        <v>54</v>
      </c>
      <c r="AC22" s="143">
        <f>IFERROR(SUMIFS(AC4:AC20,B4:B20,"R"),"0")</f>
        <v>2.8499999999999996</v>
      </c>
      <c r="AD22" s="143" t="s">
        <v>52</v>
      </c>
      <c r="AE22" s="146">
        <f>IFERROR(SUMIFS(AE4:AE20,B4:B20,"R"),"0")</f>
        <v>4</v>
      </c>
      <c r="AF22" s="143"/>
      <c r="AG22" s="144">
        <f>IFERROR(SUMIFS(AG4:AG20,B4:B20,"R"),"0")</f>
        <v>14</v>
      </c>
      <c r="AH22" s="143" t="s">
        <v>52</v>
      </c>
      <c r="AI22" s="145">
        <f>IFERROR(SUMIFS(AI4:AI20,B4:B20,"R"),"0")</f>
        <v>22</v>
      </c>
      <c r="AJ22" s="143" t="s">
        <v>53</v>
      </c>
      <c r="AK22" s="111">
        <f>IFERROR(SUMIFS(AK4:AK20,B4:B20,"R"),"0")</f>
        <v>6</v>
      </c>
      <c r="AL22" s="145" t="s">
        <v>54</v>
      </c>
      <c r="AM22" s="143">
        <f>IFERROR(SUMIFS(AM4:AM20,B4:B20,"R"),"0")</f>
        <v>8</v>
      </c>
      <c r="AN22" s="143" t="s">
        <v>52</v>
      </c>
      <c r="AO22" s="145">
        <f>IFERROR(SUMIFS(AO4:AO20,B4:B20,"R"),"0")</f>
        <v>12</v>
      </c>
      <c r="AP22" s="143" t="s">
        <v>53</v>
      </c>
      <c r="AQ22" s="111">
        <f>IFERROR(SUMIFS(AQ4:AQ20,B4:B20,"R"),"0")</f>
        <v>2</v>
      </c>
      <c r="AR22" s="111" t="s">
        <v>54</v>
      </c>
      <c r="AS22" s="143">
        <f>IFERROR(SUMIFS(AS4:AS20,B4:B20,"R"),"0")</f>
        <v>1</v>
      </c>
      <c r="AT22" s="143" t="s">
        <v>52</v>
      </c>
      <c r="AU22" s="145">
        <f>IFERROR(SUMIFS(AU4:AU20,B4:B20,"R"),"0")</f>
        <v>1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5</v>
      </c>
      <c r="AZ22" s="143" t="s">
        <v>52</v>
      </c>
      <c r="BA22" s="145">
        <f>IFERROR(SUMIFS(BA4:BA20,B4:B20,"R"),"0")</f>
        <v>9</v>
      </c>
      <c r="BB22" s="143" t="s">
        <v>53</v>
      </c>
      <c r="BC22" s="118">
        <f>IFERROR(SUMIFS(BC4:BC20,B4:B20,"R"),"0")</f>
        <v>4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2</v>
      </c>
      <c r="BJ22" s="143" t="s">
        <v>52</v>
      </c>
      <c r="BK22" s="145">
        <f>IFERROR(SUMIFS(BK4:BK20,B4:B20,"R"),"0")</f>
        <v>4</v>
      </c>
      <c r="BL22" s="143" t="s">
        <v>53</v>
      </c>
      <c r="BM22" s="118">
        <f>IFERROR(SUMIFS(BM4:BM20,B4:B20,"R"),"0")</f>
        <v>0</v>
      </c>
      <c r="BN22" s="145" t="s">
        <v>54</v>
      </c>
      <c r="BO22" s="143">
        <f>IFERROR(SUMIFS(BO4:BO20,B4:B20,"R"),"0")</f>
        <v>2</v>
      </c>
      <c r="BP22" s="143" t="s">
        <v>52</v>
      </c>
      <c r="BQ22" s="145">
        <f>IFERROR(SUMIFS(BQ4:BQ20,B4:B20,"R"),"0")</f>
        <v>2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0</v>
      </c>
      <c r="CB22" s="143" t="s">
        <v>52</v>
      </c>
      <c r="CC22" s="145">
        <f>IFERROR(SUMIFS(CC4:CC20,B4:B20,"R"),"0")</f>
        <v>2</v>
      </c>
      <c r="CD22" s="143" t="s">
        <v>53</v>
      </c>
      <c r="CE22" s="118">
        <f>IFERROR(SUMIFS(CE4:CE20,B4:B20,"R"),"0")</f>
        <v>0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2</v>
      </c>
      <c r="CK22" s="118">
        <f>IFERROR(SUMIFS(CK4:CK20,B4:B20,"R"),"0")</f>
        <v>12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14</v>
      </c>
      <c r="CO22" s="175">
        <f>IFERROR(SUMIFS(CO4:CO20,B4:B20,"R"),"0")</f>
        <v>6</v>
      </c>
      <c r="CP22" s="118">
        <f>IFERROR(SUMIFS(CP4:CP20,B4:B20,"R"),"0")</f>
        <v>8</v>
      </c>
      <c r="CQ22" s="175">
        <f>IFERROR(SUMIFS(CQ4:CQ20,B4:B20,"R"),"0")</f>
        <v>3</v>
      </c>
      <c r="CR22" s="118">
        <f>IFERROR(SUMIFS(CR4:CR20,B4:B20,"R"),"0")</f>
        <v>4</v>
      </c>
      <c r="CS22" s="118">
        <f>IFERROR(SUMIFS(CS4:CS20,B4:B20,"R"),"0")</f>
        <v>1</v>
      </c>
      <c r="CT22" s="118">
        <f>IFERROR(SUMIFS(CT4:CT20,B4:B20,"R"),"0")</f>
        <v>7</v>
      </c>
      <c r="CU22" s="118">
        <f>IFERROR(SUMIFS(CU4:CU20,B4:B20,"R"),"0")</f>
        <v>0</v>
      </c>
      <c r="CV22" s="119">
        <f>IFERROR(SUMIFS(CV4:CV20,B4:B20,"R"),"0")</f>
        <v>39.85</v>
      </c>
      <c r="CW22" s="118"/>
      <c r="CX22" s="134">
        <f>DG22</f>
        <v>0.71153846153846156</v>
      </c>
      <c r="CY22" s="121">
        <f>DN22</f>
        <v>0.21532003330440558</v>
      </c>
      <c r="CZ22" s="121">
        <f>DH22</f>
        <v>0.18181818181818182</v>
      </c>
      <c r="DA22" s="135">
        <f>FA22</f>
        <v>0.15384615384615385</v>
      </c>
      <c r="DB22" s="433" t="s">
        <v>231</v>
      </c>
      <c r="DC22" s="116"/>
      <c r="DD22" s="34"/>
      <c r="DE22" s="34"/>
      <c r="DF22" s="35"/>
      <c r="DG22" s="37">
        <f>IFERROR(((E22-W22)+1.5*W22)/G22,"0")</f>
        <v>0.71153846153846156</v>
      </c>
      <c r="DH22" s="37">
        <f>IFERROR(CJ22/(CJ22+CK23),"0")</f>
        <v>0.18181818181818182</v>
      </c>
      <c r="DI22" s="34"/>
      <c r="DJ22" s="35"/>
      <c r="DK22" s="35"/>
      <c r="DL22" s="35"/>
      <c r="DM22" s="35"/>
      <c r="DN22" s="37">
        <f>IFERROR(CT22/EG22,"0")</f>
        <v>0.21532003330440558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32.509747897465033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2.8499999999999996</v>
      </c>
      <c r="EY22" s="6">
        <f>IFERROR(SUMIFS(EY4:EY20,B4:B20,"R"),"0")</f>
        <v>4</v>
      </c>
      <c r="EZ22" s="6">
        <f t="shared" ref="EZ22:EZ23" si="89">IFERROR(E22+(1-(1-(EX22/EY22))^2)*EY22*0.4,"0")</f>
        <v>17.467749999999999</v>
      </c>
      <c r="FA22" s="6">
        <f>IFERROR(EY22/G22,"0")</f>
        <v>0.15384615384615385</v>
      </c>
      <c r="FC22" s="139"/>
      <c r="FD22" s="139"/>
      <c r="FE22" s="437" t="s">
        <v>232</v>
      </c>
      <c r="FF22" s="121">
        <f t="shared" si="86"/>
        <v>42.260000000000005</v>
      </c>
      <c r="FG22" s="144">
        <f t="shared" si="86"/>
        <v>16</v>
      </c>
      <c r="FH22" s="424" t="s">
        <v>52</v>
      </c>
      <c r="FI22" s="145">
        <f t="shared" si="73"/>
        <v>26</v>
      </c>
      <c r="FJ22" s="194">
        <f t="shared" si="74"/>
        <v>0.61538461538461542</v>
      </c>
      <c r="FK22" s="110">
        <f>W22</f>
        <v>5</v>
      </c>
      <c r="FL22" s="424" t="s">
        <v>52</v>
      </c>
      <c r="FM22" s="168">
        <f>Y22</f>
        <v>11</v>
      </c>
      <c r="FN22" s="194">
        <f t="shared" si="75"/>
        <v>0.45454545454545453</v>
      </c>
      <c r="FO22" s="110">
        <f>IFERROR(SUMIFS(FO4:FO20,B4:B20,"R"),"0")</f>
        <v>0</v>
      </c>
      <c r="FP22" s="424" t="s">
        <v>52</v>
      </c>
      <c r="FQ22" s="131">
        <f>IFERROR(SUMIFS(FQ4:FQ20,B4:B20,"R"),"0")</f>
        <v>0</v>
      </c>
      <c r="FR22" s="197" t="str">
        <f t="shared" si="78"/>
        <v>0</v>
      </c>
      <c r="FS22" s="118">
        <f t="shared" si="39"/>
        <v>2</v>
      </c>
      <c r="FT22" s="118">
        <f t="shared" si="39"/>
        <v>12</v>
      </c>
      <c r="FU22" s="118">
        <f t="shared" si="82"/>
        <v>14</v>
      </c>
      <c r="FV22" s="175">
        <f t="shared" si="82"/>
        <v>6</v>
      </c>
      <c r="FW22" s="118">
        <f t="shared" si="82"/>
        <v>8</v>
      </c>
      <c r="FX22" s="118">
        <f t="shared" si="82"/>
        <v>3</v>
      </c>
      <c r="FY22" s="118">
        <f t="shared" si="82"/>
        <v>4</v>
      </c>
      <c r="FZ22" s="118">
        <f t="shared" si="82"/>
        <v>1</v>
      </c>
      <c r="GA22" s="118">
        <f t="shared" si="83"/>
        <v>7</v>
      </c>
      <c r="GB22" s="118">
        <f t="shared" si="83"/>
        <v>0</v>
      </c>
      <c r="GC22" s="175">
        <f t="shared" si="83"/>
        <v>39.85</v>
      </c>
      <c r="GD22" s="134">
        <f t="shared" si="87"/>
        <v>0.71153846153846156</v>
      </c>
      <c r="GE22" s="121">
        <f t="shared" si="87"/>
        <v>0.21532003330440558</v>
      </c>
      <c r="GF22" s="121">
        <f t="shared" si="87"/>
        <v>0.18181818181818182</v>
      </c>
      <c r="GG22" s="135">
        <f t="shared" si="87"/>
        <v>0.15384615384615385</v>
      </c>
      <c r="GH22" s="208"/>
      <c r="GO22" s="429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42.260000000000005</v>
      </c>
      <c r="E23" s="162">
        <f>IFERROR(SUMIFS(E4:E20,B4:B20,"W"),"0")</f>
        <v>11</v>
      </c>
      <c r="F23" s="143" t="s">
        <v>52</v>
      </c>
      <c r="G23" s="145">
        <f>IFERROR(SUMIFS(G4:G20,B4:B20,"W"),"0")</f>
        <v>26</v>
      </c>
      <c r="H23" s="143" t="s">
        <v>53</v>
      </c>
      <c r="I23" s="118">
        <f>IFERROR(SUMIFS(I4:I20,B4:B20,"W"),"0")</f>
        <v>9</v>
      </c>
      <c r="J23" s="145" t="s">
        <v>54</v>
      </c>
      <c r="K23" s="143">
        <f>IFERROR(SUMIFS(K4:K20,B4:B20,"W"),"0")</f>
        <v>5</v>
      </c>
      <c r="L23" s="143" t="s">
        <v>52</v>
      </c>
      <c r="M23" s="145">
        <f>IFERROR(SUMIFS(M4:M20,B4:B20,"W"),"0")</f>
        <v>7</v>
      </c>
      <c r="N23" s="143" t="s">
        <v>53</v>
      </c>
      <c r="O23" s="118">
        <f>IFERROR(SUMIFS(O4:O20,B4:B20,"W"),"0")</f>
        <v>3</v>
      </c>
      <c r="P23" s="145" t="s">
        <v>54</v>
      </c>
      <c r="Q23" s="111">
        <f>IFERROR(SUMIFS(Q4:Q20,B4:B20,"W"),"0")</f>
        <v>0</v>
      </c>
      <c r="R23" s="143" t="s">
        <v>52</v>
      </c>
      <c r="S23" s="145">
        <f>IFERROR(SUMIFS(S4:S20,B4:B20,"W"),"0")</f>
        <v>0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6</v>
      </c>
      <c r="X23" s="143" t="s">
        <v>52</v>
      </c>
      <c r="Y23" s="145">
        <f>IFERROR(SUMIFS(Y4:Y20,B4:B20,"W"),"0")</f>
        <v>19</v>
      </c>
      <c r="Z23" s="143" t="s">
        <v>53</v>
      </c>
      <c r="AA23" s="118">
        <f>IFERROR(SUMIFS(AA4:AA20,B4:B20,"W"),"0")</f>
        <v>6</v>
      </c>
      <c r="AB23" s="111" t="s">
        <v>54</v>
      </c>
      <c r="AC23" s="143">
        <f>IFERROR(SUMIFS(AC4:AC20,B4:B20,"W"),"0")</f>
        <v>2.4</v>
      </c>
      <c r="AD23" s="143" t="s">
        <v>52</v>
      </c>
      <c r="AE23" s="146">
        <f>IFERROR(SUMIFS(AE4:AE20,B4:B20,"W"),"0")</f>
        <v>3</v>
      </c>
      <c r="AF23" s="143"/>
      <c r="AG23" s="144">
        <f>IFERROR(SUMIFS(AG4:AG20,B4:B20,"W"),"0")</f>
        <v>8</v>
      </c>
      <c r="AH23" s="143" t="s">
        <v>52</v>
      </c>
      <c r="AI23" s="145">
        <f>IFERROR(SUMIFS(AI4:AI20,B4:B20,"W"),"0")</f>
        <v>21</v>
      </c>
      <c r="AJ23" s="143" t="s">
        <v>53</v>
      </c>
      <c r="AK23" s="111">
        <f>IFERROR(SUMIFS(AK4:AK20,B4:B20,"W"),"0")</f>
        <v>7</v>
      </c>
      <c r="AL23" s="145" t="s">
        <v>54</v>
      </c>
      <c r="AM23" s="143">
        <f>IFERROR(SUMIFS(AM4:AM20,B4:B20,"W"),"0")</f>
        <v>3</v>
      </c>
      <c r="AN23" s="143" t="s">
        <v>52</v>
      </c>
      <c r="AO23" s="145">
        <f>IFERROR(SUMIFS(AO4:AO20,B4:B20,"W"),"0")</f>
        <v>5</v>
      </c>
      <c r="AP23" s="143" t="s">
        <v>53</v>
      </c>
      <c r="AQ23" s="111">
        <f>IFERROR(SUMIFS(AQ4:AQ20,B4:B20,"W"),"0")</f>
        <v>2</v>
      </c>
      <c r="AR23" s="111" t="s">
        <v>54</v>
      </c>
      <c r="AS23" s="143">
        <f>IFERROR(SUMIFS(AS4:AS20,B4:B20,"W"),"0")</f>
        <v>0</v>
      </c>
      <c r="AT23" s="143" t="s">
        <v>52</v>
      </c>
      <c r="AU23" s="145">
        <f>IFERROR(SUMIFS(AU4:AU20,B4:B20,"W"),"0")</f>
        <v>0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5</v>
      </c>
      <c r="AZ23" s="143" t="s">
        <v>52</v>
      </c>
      <c r="BA23" s="145">
        <f>IFERROR(SUMIFS(BA4:BA20,B4:B20,"W"),"0")</f>
        <v>16</v>
      </c>
      <c r="BB23" s="143" t="s">
        <v>53</v>
      </c>
      <c r="BC23" s="118">
        <f>IFERROR(SUMIFS(BC4:BC20,B4:B20,"W"),"0")</f>
        <v>5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3</v>
      </c>
      <c r="BJ23" s="143" t="s">
        <v>52</v>
      </c>
      <c r="BK23" s="145">
        <f>IFERROR(SUMIFS(BK4:BK20,B4:B20,"W"),"0")</f>
        <v>5</v>
      </c>
      <c r="BL23" s="143" t="s">
        <v>53</v>
      </c>
      <c r="BM23" s="118">
        <f>IFERROR(SUMIFS(BM4:BM20,B4:B20,"W"),"0")</f>
        <v>2</v>
      </c>
      <c r="BN23" s="145" t="s">
        <v>54</v>
      </c>
      <c r="BO23" s="143">
        <f>IFERROR(SUMIFS(BO4:BO20,B4:B20,"W"),"0")</f>
        <v>2</v>
      </c>
      <c r="BP23" s="143" t="s">
        <v>52</v>
      </c>
      <c r="BQ23" s="145">
        <f>IFERROR(SUMIFS(BQ4:BQ20,B4:B20,"W"),"0")</f>
        <v>2</v>
      </c>
      <c r="BR23" s="143" t="s">
        <v>53</v>
      </c>
      <c r="BS23" s="143">
        <f>IFERROR(SUMIFS(BS4:BS20,B4:B20,"W"),"0")</f>
        <v>1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1</v>
      </c>
      <c r="CB23" s="143" t="s">
        <v>52</v>
      </c>
      <c r="CC23" s="145">
        <f>IFERROR(SUMIFS(CC4:CC20,B4:B20,"W"),"0")</f>
        <v>3</v>
      </c>
      <c r="CD23" s="143" t="s">
        <v>53</v>
      </c>
      <c r="CE23" s="118">
        <f>IFERROR(SUMIFS(CE4:CE20,B4:B20,"W"),"0")</f>
        <v>1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2</v>
      </c>
      <c r="CK23" s="118">
        <f>IFERROR(SUMIFS(CK4:CK20,B4:B20,"W"),"0")</f>
        <v>9</v>
      </c>
      <c r="CL23" s="118">
        <f t="shared" ref="CL23:CM23" si="90">IFERROR(SUMIFS(CL4:CL20,C4:C20,"W"),"0")</f>
        <v>0</v>
      </c>
      <c r="CM23" s="118">
        <f t="shared" si="90"/>
        <v>0</v>
      </c>
      <c r="CN23" s="118">
        <f>IFERROR(SUMIFS(CN4:CN20,B4:B20,"W"),"0")</f>
        <v>11</v>
      </c>
      <c r="CO23" s="175">
        <f>IFERROR(SUMIFS(CO4:CO20,B4:B20,"W"),"0")</f>
        <v>9</v>
      </c>
      <c r="CP23" s="118">
        <f>IFERROR(SUMIFS(CP4:CP20,B4:B20,"W"),"0")</f>
        <v>12</v>
      </c>
      <c r="CQ23" s="175">
        <f>IFERROR(SUMIFS(CQ4:CQ20,B4:B20,"W"),"0")</f>
        <v>4</v>
      </c>
      <c r="CR23" s="118">
        <f>IFERROR(SUMIFS(CR4:CR20,B4:B20,"W"),"0")</f>
        <v>3</v>
      </c>
      <c r="CS23" s="119">
        <f>IFERROR(SUMIFS(CS4:CS20,B4:B20,"W"),"0")</f>
        <v>4</v>
      </c>
      <c r="CT23" s="118">
        <f>IFERROR(SUMIFS(CT4:CT20,B4:B20,"W"),"0")</f>
        <v>7</v>
      </c>
      <c r="CU23" s="118">
        <f>IFERROR(SUMIFS(CU4:CU20,B4:B20,"W"),"0")</f>
        <v>2</v>
      </c>
      <c r="CV23" s="119">
        <f>IFERROR(SUMIFS(CV4:CV20,B4:B20,"W"),"0")</f>
        <v>30.4</v>
      </c>
      <c r="CW23" s="118"/>
      <c r="CX23" s="136">
        <f>DG23</f>
        <v>0.53846153846153844</v>
      </c>
      <c r="CY23" s="137">
        <f>DN23</f>
        <v>0.22732947659155034</v>
      </c>
      <c r="CZ23" s="137">
        <f>DH23</f>
        <v>0.14285714285714285</v>
      </c>
      <c r="DA23" s="138">
        <f>FA23</f>
        <v>0.11538461538461539</v>
      </c>
      <c r="DB23" s="232" t="s">
        <v>84</v>
      </c>
      <c r="DC23" s="116"/>
      <c r="DG23" s="37">
        <f>IFERROR(((E23-W23)+1.5*W23)/G23,"0")</f>
        <v>0.53846153846153844</v>
      </c>
      <c r="DH23" s="37">
        <f>IFERROR(CJ23/(CJ23+CK22),"0")</f>
        <v>0.14285714285714285</v>
      </c>
      <c r="DN23" s="37">
        <f>IFERROR(CT23/EG23,"0")</f>
        <v>0.22732947659155034</v>
      </c>
      <c r="DS23" s="10"/>
      <c r="DT23" s="10"/>
      <c r="EF23" s="233" t="s">
        <v>89</v>
      </c>
      <c r="EG23" s="28">
        <f>IFERROR(SUMIFS(EG4:EG20,B4:B20,"W"),"0")</f>
        <v>30.792311252170386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2.4</v>
      </c>
      <c r="EY23" s="6">
        <f>IFERROR(SUMIFS(EY4:EY20,B4:B20,"W"),"0")</f>
        <v>3</v>
      </c>
      <c r="EZ23" s="6">
        <f t="shared" si="89"/>
        <v>12.151999999999999</v>
      </c>
      <c r="FA23" s="6">
        <f>IFERROR(EY23/G23,"0")</f>
        <v>0.11538461538461539</v>
      </c>
      <c r="FC23" s="139"/>
      <c r="FD23" s="139"/>
      <c r="FE23" s="116" t="s">
        <v>89</v>
      </c>
      <c r="FF23" s="121">
        <f t="shared" si="86"/>
        <v>42.260000000000005</v>
      </c>
      <c r="FG23" s="169">
        <f t="shared" si="86"/>
        <v>11</v>
      </c>
      <c r="FH23" s="166" t="s">
        <v>52</v>
      </c>
      <c r="FI23" s="170">
        <f t="shared" si="73"/>
        <v>26</v>
      </c>
      <c r="FJ23" s="195">
        <f t="shared" si="74"/>
        <v>0.42307692307692307</v>
      </c>
      <c r="FK23" s="171">
        <f>W23</f>
        <v>6</v>
      </c>
      <c r="FL23" s="166" t="s">
        <v>52</v>
      </c>
      <c r="FM23" s="172">
        <f>Y23</f>
        <v>19</v>
      </c>
      <c r="FN23" s="195">
        <f t="shared" si="75"/>
        <v>0.31578947368421051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8"/>
        <v>0</v>
      </c>
      <c r="FS23" s="118">
        <f t="shared" si="39"/>
        <v>2</v>
      </c>
      <c r="FT23" s="118">
        <f t="shared" si="39"/>
        <v>9</v>
      </c>
      <c r="FU23" s="118">
        <f t="shared" si="82"/>
        <v>11</v>
      </c>
      <c r="FV23" s="175">
        <f t="shared" si="82"/>
        <v>9</v>
      </c>
      <c r="FW23" s="118">
        <f t="shared" si="82"/>
        <v>12</v>
      </c>
      <c r="FX23" s="118">
        <f t="shared" si="82"/>
        <v>4</v>
      </c>
      <c r="FY23" s="118">
        <f t="shared" si="82"/>
        <v>3</v>
      </c>
      <c r="FZ23" s="118">
        <f t="shared" si="82"/>
        <v>4</v>
      </c>
      <c r="GA23" s="118">
        <f t="shared" si="83"/>
        <v>7</v>
      </c>
      <c r="GB23" s="118">
        <f t="shared" si="83"/>
        <v>2</v>
      </c>
      <c r="GC23" s="175">
        <f t="shared" si="83"/>
        <v>30.4</v>
      </c>
      <c r="GD23" s="136">
        <f t="shared" si="87"/>
        <v>0.53846153846153844</v>
      </c>
      <c r="GE23" s="137">
        <f t="shared" si="87"/>
        <v>0.22732947659155034</v>
      </c>
      <c r="GF23" s="137">
        <f t="shared" si="87"/>
        <v>0.14285714285714285</v>
      </c>
      <c r="GG23" s="138">
        <f t="shared" si="87"/>
        <v>0.11538461538461539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29"/>
      <c r="EY24" s="429"/>
      <c r="EZ24" s="42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42.260000000000005</v>
      </c>
      <c r="E25" s="86">
        <f>IFERROR(IF(B4="W",$E$23,$E$22),"0")</f>
        <v>11</v>
      </c>
      <c r="F25" s="33" t="s">
        <v>52</v>
      </c>
      <c r="G25" s="49">
        <f>IFERROR(IF(B4="W",$G$23,$G$22),"0")</f>
        <v>26</v>
      </c>
      <c r="H25" s="12" t="s">
        <v>53</v>
      </c>
      <c r="I25" s="33">
        <f>IFERROR(IF(B4="W",I$23,I$22),"0")</f>
        <v>9</v>
      </c>
      <c r="J25" s="49" t="s">
        <v>54</v>
      </c>
      <c r="K25" s="12">
        <f>IFERROR(IF(B4="W",K$23,K$22),"0")</f>
        <v>5</v>
      </c>
      <c r="L25" s="33" t="s">
        <v>52</v>
      </c>
      <c r="M25" s="49">
        <f>IFERROR(IF(B4="W",M$23,M$22),"0")</f>
        <v>7</v>
      </c>
      <c r="N25" s="12" t="s">
        <v>53</v>
      </c>
      <c r="O25" s="33">
        <f>IFERROR(IF(B4="W",O$23,O$22),"0")</f>
        <v>3</v>
      </c>
      <c r="P25" s="49" t="s">
        <v>54</v>
      </c>
      <c r="Q25" s="12">
        <f>IFERROR(IF(B4="W",Q$23,Q$22),"0")</f>
        <v>0</v>
      </c>
      <c r="R25" s="33" t="s">
        <v>52</v>
      </c>
      <c r="S25" s="49">
        <f>IFERROR(IF(B4="W",S$23,S$22),"0")</f>
        <v>0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6</v>
      </c>
      <c r="X25" s="33" t="s">
        <v>52</v>
      </c>
      <c r="Y25" s="49">
        <f>IFERROR(IF(B4="W",Y$23,Y$22),"0")</f>
        <v>19</v>
      </c>
      <c r="Z25" s="12" t="s">
        <v>53</v>
      </c>
      <c r="AA25" s="33">
        <f>IFERROR(IF(B4="W",AA$23,AA$22),"0")</f>
        <v>6</v>
      </c>
      <c r="AB25" s="49" t="s">
        <v>54</v>
      </c>
      <c r="AC25" s="12">
        <f>IFERROR(IF(B4="W",AC$23,AC$22),"0")</f>
        <v>2.4</v>
      </c>
      <c r="AD25" s="33" t="s">
        <v>52</v>
      </c>
      <c r="AE25" s="53">
        <f>IFERROR(IF(B4="W",AE$23,AE$22),"0")</f>
        <v>3</v>
      </c>
      <c r="AF25" s="12"/>
      <c r="AG25" s="43">
        <f>IFERROR(IF(B4="W",AG$23,AG$22),"0")</f>
        <v>8</v>
      </c>
      <c r="AH25" s="33" t="s">
        <v>52</v>
      </c>
      <c r="AI25" s="49">
        <f>IFERROR(IF(B4="W",AI$23,AI$22),"0")</f>
        <v>21</v>
      </c>
      <c r="AJ25" s="12" t="s">
        <v>53</v>
      </c>
      <c r="AK25" s="33">
        <f>IFERROR(IF(B4="W",AK$23,AK$22),"0")</f>
        <v>7</v>
      </c>
      <c r="AL25" s="49" t="s">
        <v>54</v>
      </c>
      <c r="AM25" s="12">
        <f>IFERROR(IF(B4="W",AM$23,AM$22),"0")</f>
        <v>3</v>
      </c>
      <c r="AN25" s="33" t="s">
        <v>52</v>
      </c>
      <c r="AO25" s="49">
        <f>IFERROR(IF(B4="W",AO$23,AO$22),"0")</f>
        <v>5</v>
      </c>
      <c r="AP25" s="12" t="s">
        <v>53</v>
      </c>
      <c r="AQ25" s="33">
        <f>IFERROR(IF(B4="W",AQ$23,AQ$22),"0")</f>
        <v>2</v>
      </c>
      <c r="AR25" s="49" t="s">
        <v>54</v>
      </c>
      <c r="AS25" s="12">
        <f>IFERROR(IF(B4="W",AS$23,AS$22),"0")</f>
        <v>0</v>
      </c>
      <c r="AT25" s="33" t="s">
        <v>52</v>
      </c>
      <c r="AU25" s="49">
        <f>IFERROR(IF(B4="W",AU$23,AU$22),"0")</f>
        <v>0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5</v>
      </c>
      <c r="AZ25" s="33" t="s">
        <v>52</v>
      </c>
      <c r="BA25" s="49">
        <f>IFERROR(IF(B4="W",BA$23,BA$22),"0")</f>
        <v>16</v>
      </c>
      <c r="BB25" s="12" t="s">
        <v>53</v>
      </c>
      <c r="BC25" s="33">
        <f>IFERROR(IF(B4="W",BC$23,BC$22),"0")</f>
        <v>5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3</v>
      </c>
      <c r="BJ25" s="33" t="s">
        <v>52</v>
      </c>
      <c r="BK25" s="49">
        <f>IFERROR(IF($B$4="W",BK23,BK22),"0")</f>
        <v>5</v>
      </c>
      <c r="BL25" s="12" t="s">
        <v>53</v>
      </c>
      <c r="BM25" s="33">
        <f>IFERROR(IF($B$4="W",BM23,BM22),"0")</f>
        <v>2</v>
      </c>
      <c r="BN25" s="49" t="s">
        <v>54</v>
      </c>
      <c r="BO25" s="12">
        <f>IFERROR(IF($B$4="W",BO23,BO22),"0")</f>
        <v>2</v>
      </c>
      <c r="BP25" s="33" t="s">
        <v>52</v>
      </c>
      <c r="BQ25" s="49">
        <f>IFERROR(IF($B$4="W",BQ23,BQ22),"0")</f>
        <v>2</v>
      </c>
      <c r="BR25" s="12" t="s">
        <v>53</v>
      </c>
      <c r="BS25" s="33">
        <f>IFERROR(IF($B$4="W",BS23,BS22),"0")</f>
        <v>1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1</v>
      </c>
      <c r="CB25" s="33" t="s">
        <v>52</v>
      </c>
      <c r="CC25" s="49">
        <f>IFERROR(IF($B$4="W",CC23,CC22),"0")</f>
        <v>3</v>
      </c>
      <c r="CD25" s="12" t="s">
        <v>53</v>
      </c>
      <c r="CE25" s="33">
        <f>IFERROR(IF($B$4="W",CE23,CE22),"0")</f>
        <v>1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2</v>
      </c>
      <c r="CK25" s="33">
        <f>IFERROR(IF($B$4="W",CK23,CK22),"0")</f>
        <v>9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11</v>
      </c>
      <c r="CO25" s="33">
        <f t="shared" si="91"/>
        <v>9</v>
      </c>
      <c r="CP25" s="33">
        <f t="shared" si="91"/>
        <v>12</v>
      </c>
      <c r="CQ25" s="33">
        <f t="shared" si="91"/>
        <v>4</v>
      </c>
      <c r="CR25" s="33">
        <f t="shared" si="91"/>
        <v>3</v>
      </c>
      <c r="CS25" s="33">
        <f t="shared" si="91"/>
        <v>4</v>
      </c>
      <c r="CT25" s="33">
        <f t="shared" si="91"/>
        <v>7</v>
      </c>
      <c r="CU25" s="33">
        <f t="shared" si="91"/>
        <v>2</v>
      </c>
      <c r="CV25" s="58">
        <f t="shared" si="91"/>
        <v>30.4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30.792311252170386</v>
      </c>
      <c r="EW25" s="12" t="s">
        <v>73</v>
      </c>
      <c r="EX25" s="6">
        <f t="shared" ref="EX25:EX39" si="94">IFERROR(IF(B4="W",$EX$23,$EX$22),"0")</f>
        <v>2.4</v>
      </c>
      <c r="EY25" s="6">
        <f t="shared" ref="EY25:EY39" si="95">IFERROR(IF(B4="W",$EY$23,$EY$22),"0")</f>
        <v>3</v>
      </c>
      <c r="EZ25" s="6">
        <f>IFERROR(IF(B4="W",$EZ$23,$EZ$22),"0")</f>
        <v>12.151999999999999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42.260000000000005</v>
      </c>
      <c r="E26" s="86">
        <f t="shared" ref="E26:E39" si="96">IFERROR(IF(B5="W",$E$23,$E$22),"0")</f>
        <v>16</v>
      </c>
      <c r="F26" s="33" t="s">
        <v>52</v>
      </c>
      <c r="G26" s="49">
        <f t="shared" ref="G26:G39" si="97">IFERROR(IF(B5="W",$G$23,$G$22),"0")</f>
        <v>26</v>
      </c>
      <c r="H26" s="12" t="s">
        <v>53</v>
      </c>
      <c r="I26" s="33">
        <f t="shared" ref="I26:I39" si="98">IFERROR(IF(B5="W",I$23,I$22),"0")</f>
        <v>6</v>
      </c>
      <c r="J26" s="49" t="s">
        <v>54</v>
      </c>
      <c r="K26" s="12">
        <f t="shared" ref="K26:K39" si="99">IFERROR(IF(B5="W",K$23,K$22),"0")</f>
        <v>10</v>
      </c>
      <c r="L26" s="33" t="s">
        <v>52</v>
      </c>
      <c r="M26" s="49">
        <f t="shared" ref="M26:M39" si="100">IFERROR(IF(B5="W",M$23,M$22),"0")</f>
        <v>14</v>
      </c>
      <c r="N26" s="12" t="s">
        <v>53</v>
      </c>
      <c r="O26" s="33">
        <f t="shared" ref="O26:O39" si="101">IFERROR(IF(B5="W",O$23,O$22),"0")</f>
        <v>2</v>
      </c>
      <c r="P26" s="49" t="s">
        <v>54</v>
      </c>
      <c r="Q26" s="12">
        <f t="shared" ref="Q26:Q39" si="102">IFERROR(IF(B5="W",Q$23,Q$22),"0")</f>
        <v>1</v>
      </c>
      <c r="R26" s="33" t="s">
        <v>52</v>
      </c>
      <c r="S26" s="49">
        <f t="shared" ref="S26:S39" si="103">IFERROR(IF(B5="W",S$23,S$22),"0")</f>
        <v>1</v>
      </c>
      <c r="T26" s="12" t="s">
        <v>53</v>
      </c>
      <c r="U26" s="33">
        <f t="shared" ref="U26:U39" si="104">IFERROR(IF(B5="W",U$23,U$22),"0")</f>
        <v>0</v>
      </c>
      <c r="V26" s="49" t="s">
        <v>54</v>
      </c>
      <c r="W26" s="12">
        <f t="shared" ref="W26:W39" si="105">IFERROR(IF(B5="W",W$23,W$22),"0")</f>
        <v>5</v>
      </c>
      <c r="X26" s="33" t="s">
        <v>52</v>
      </c>
      <c r="Y26" s="49">
        <f t="shared" ref="Y26:Y39" si="106">IFERROR(IF(B5="W",Y$23,Y$22),"0")</f>
        <v>11</v>
      </c>
      <c r="Z26" s="12" t="s">
        <v>53</v>
      </c>
      <c r="AA26" s="33">
        <f t="shared" ref="AA26:AA39" si="107">IFERROR(IF(B5="W",AA$23,AA$22),"0")</f>
        <v>4</v>
      </c>
      <c r="AB26" s="49" t="s">
        <v>54</v>
      </c>
      <c r="AC26" s="12">
        <f t="shared" ref="AC26:AC39" si="108">IFERROR(IF(B5="W",AC$23,AC$22),"0")</f>
        <v>2.8499999999999996</v>
      </c>
      <c r="AD26" s="33" t="s">
        <v>52</v>
      </c>
      <c r="AE26" s="53">
        <f t="shared" ref="AE26:AE39" si="109">IFERROR(IF(B5="W",AE$23,AE$22),"0")</f>
        <v>4</v>
      </c>
      <c r="AF26" s="12"/>
      <c r="AG26" s="43">
        <f t="shared" ref="AG26:AG39" si="110">IFERROR(IF(B5="W",AG$23,AG$22),"0")</f>
        <v>14</v>
      </c>
      <c r="AH26" s="33" t="s">
        <v>52</v>
      </c>
      <c r="AI26" s="49">
        <f t="shared" ref="AI26:AI39" si="111">IFERROR(IF(B5="W",AI$23,AI$22),"0")</f>
        <v>22</v>
      </c>
      <c r="AJ26" s="12" t="s">
        <v>53</v>
      </c>
      <c r="AK26" s="33">
        <f t="shared" ref="AK26:AK39" si="112">IFERROR(IF(B5="W",AK$23,AK$22),"0")</f>
        <v>6</v>
      </c>
      <c r="AL26" s="49" t="s">
        <v>54</v>
      </c>
      <c r="AM26" s="12">
        <f t="shared" ref="AM26:AM39" si="113">IFERROR(IF(B5="W",AM$23,AM$22),"0")</f>
        <v>8</v>
      </c>
      <c r="AN26" s="33" t="s">
        <v>52</v>
      </c>
      <c r="AO26" s="49">
        <f t="shared" ref="AO26:AO39" si="114">IFERROR(IF(B5="W",AO$23,AO$22),"0")</f>
        <v>12</v>
      </c>
      <c r="AP26" s="12" t="s">
        <v>53</v>
      </c>
      <c r="AQ26" s="33">
        <f t="shared" ref="AQ26:AQ39" si="115">IFERROR(IF(B5="W",AQ$23,AQ$22),"0")</f>
        <v>2</v>
      </c>
      <c r="AR26" s="49" t="s">
        <v>54</v>
      </c>
      <c r="AS26" s="12">
        <f t="shared" ref="AS26:AS39" si="116">IFERROR(IF(B5="W",AS$23,AS$22),"0")</f>
        <v>1</v>
      </c>
      <c r="AT26" s="33" t="s">
        <v>52</v>
      </c>
      <c r="AU26" s="49">
        <f t="shared" ref="AU26:AU39" si="117">IFERROR(IF(B5="W",AU$23,AU$22),"0")</f>
        <v>1</v>
      </c>
      <c r="AV26" s="12" t="s">
        <v>53</v>
      </c>
      <c r="AW26" s="33">
        <f t="shared" ref="AW26:AW39" si="118">IFERROR(IF(B5="W",AW$23,AW$22),"0")</f>
        <v>0</v>
      </c>
      <c r="AX26" s="49" t="s">
        <v>54</v>
      </c>
      <c r="AY26" s="12">
        <f t="shared" ref="AY26:AY39" si="119">IFERROR(IF(B5="W",AY$23,AY$22),"0")</f>
        <v>5</v>
      </c>
      <c r="AZ26" s="33" t="s">
        <v>52</v>
      </c>
      <c r="BA26" s="49">
        <f t="shared" ref="BA26:BA39" si="120">IFERROR(IF(B5="W",BA$23,BA$22),"0")</f>
        <v>9</v>
      </c>
      <c r="BB26" s="12" t="s">
        <v>53</v>
      </c>
      <c r="BC26" s="33">
        <f t="shared" ref="BC26:BC39" si="121">IFERROR(IF(B5="W",BC$23,BC$22),"0")</f>
        <v>4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2</v>
      </c>
      <c r="BJ26" s="33" t="s">
        <v>52</v>
      </c>
      <c r="BK26" s="49">
        <f>IFERROR(IF($B$5="W",BK23,BK22),"0")</f>
        <v>4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2</v>
      </c>
      <c r="BP26" s="33" t="s">
        <v>52</v>
      </c>
      <c r="BQ26" s="49">
        <f>IFERROR(IF($B$5="W",BQ23,BQ22),"0")</f>
        <v>2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0</v>
      </c>
      <c r="CB26" s="33" t="s">
        <v>52</v>
      </c>
      <c r="CC26" s="49">
        <f>IFERROR(IF($B$5="W",CC23,CC22),"0")</f>
        <v>2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2</v>
      </c>
      <c r="CK26" s="33">
        <f t="shared" si="124"/>
        <v>12</v>
      </c>
      <c r="CL26" s="33">
        <f t="shared" si="124"/>
        <v>0</v>
      </c>
      <c r="CM26" s="33">
        <f t="shared" si="124"/>
        <v>0</v>
      </c>
      <c r="CN26" s="33">
        <f t="shared" si="124"/>
        <v>14</v>
      </c>
      <c r="CO26" s="33">
        <f t="shared" si="124"/>
        <v>6</v>
      </c>
      <c r="CP26" s="33">
        <f t="shared" si="124"/>
        <v>8</v>
      </c>
      <c r="CQ26" s="33">
        <f t="shared" si="124"/>
        <v>3</v>
      </c>
      <c r="CR26" s="33">
        <f t="shared" si="124"/>
        <v>4</v>
      </c>
      <c r="CS26" s="33">
        <f t="shared" si="124"/>
        <v>1</v>
      </c>
      <c r="CT26" s="33">
        <f t="shared" si="124"/>
        <v>7</v>
      </c>
      <c r="CU26" s="33">
        <f t="shared" si="124"/>
        <v>0</v>
      </c>
      <c r="CV26" s="58">
        <f t="shared" si="124"/>
        <v>39.85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32.509747897465033</v>
      </c>
      <c r="EW26" s="228" t="s">
        <v>74</v>
      </c>
      <c r="EX26" s="6">
        <f t="shared" si="94"/>
        <v>2.8499999999999996</v>
      </c>
      <c r="EY26" s="6">
        <f t="shared" si="95"/>
        <v>4</v>
      </c>
      <c r="EZ26" s="6">
        <f t="shared" ref="EZ26:EZ39" si="125">IFERROR(IF(B5="W",$EZ$23,$EZ$22),"0")</f>
        <v>17.467749999999999</v>
      </c>
    </row>
    <row r="27" spans="1:197" x14ac:dyDescent="0.2">
      <c r="C27" s="228" t="s">
        <v>75</v>
      </c>
      <c r="D27" s="28">
        <f>IFERROR(IF(B6="W",D23,D22),"0")</f>
        <v>42.260000000000005</v>
      </c>
      <c r="E27" s="86">
        <f t="shared" si="96"/>
        <v>11</v>
      </c>
      <c r="F27" s="33" t="s">
        <v>52</v>
      </c>
      <c r="G27" s="49">
        <f t="shared" si="97"/>
        <v>26</v>
      </c>
      <c r="H27" s="12" t="s">
        <v>53</v>
      </c>
      <c r="I27" s="33">
        <f t="shared" si="98"/>
        <v>9</v>
      </c>
      <c r="J27" s="49" t="s">
        <v>54</v>
      </c>
      <c r="K27" s="12">
        <f t="shared" si="99"/>
        <v>5</v>
      </c>
      <c r="L27" s="33" t="s">
        <v>52</v>
      </c>
      <c r="M27" s="49">
        <f t="shared" si="100"/>
        <v>7</v>
      </c>
      <c r="N27" s="12" t="s">
        <v>53</v>
      </c>
      <c r="O27" s="33">
        <f t="shared" si="101"/>
        <v>3</v>
      </c>
      <c r="P27" s="49" t="s">
        <v>54</v>
      </c>
      <c r="Q27" s="12">
        <f t="shared" si="102"/>
        <v>0</v>
      </c>
      <c r="R27" s="33" t="s">
        <v>52</v>
      </c>
      <c r="S27" s="49">
        <f t="shared" si="103"/>
        <v>0</v>
      </c>
      <c r="T27" s="12" t="s">
        <v>53</v>
      </c>
      <c r="U27" s="33">
        <f t="shared" si="104"/>
        <v>0</v>
      </c>
      <c r="V27" s="49" t="s">
        <v>54</v>
      </c>
      <c r="W27" s="12">
        <f t="shared" si="105"/>
        <v>6</v>
      </c>
      <c r="X27" s="33" t="s">
        <v>52</v>
      </c>
      <c r="Y27" s="49">
        <f t="shared" si="106"/>
        <v>19</v>
      </c>
      <c r="Z27" s="12" t="s">
        <v>53</v>
      </c>
      <c r="AA27" s="33">
        <f t="shared" si="107"/>
        <v>6</v>
      </c>
      <c r="AB27" s="49" t="s">
        <v>54</v>
      </c>
      <c r="AC27" s="12">
        <f t="shared" si="108"/>
        <v>2.4</v>
      </c>
      <c r="AD27" s="33" t="s">
        <v>52</v>
      </c>
      <c r="AE27" s="53">
        <f t="shared" si="109"/>
        <v>3</v>
      </c>
      <c r="AF27" s="12"/>
      <c r="AG27" s="43">
        <f t="shared" si="110"/>
        <v>8</v>
      </c>
      <c r="AH27" s="33" t="s">
        <v>52</v>
      </c>
      <c r="AI27" s="49">
        <f t="shared" si="111"/>
        <v>21</v>
      </c>
      <c r="AJ27" s="12" t="s">
        <v>53</v>
      </c>
      <c r="AK27" s="33">
        <f t="shared" si="112"/>
        <v>7</v>
      </c>
      <c r="AL27" s="49" t="s">
        <v>54</v>
      </c>
      <c r="AM27" s="12">
        <f t="shared" si="113"/>
        <v>3</v>
      </c>
      <c r="AN27" s="33" t="s">
        <v>52</v>
      </c>
      <c r="AO27" s="49">
        <f t="shared" si="114"/>
        <v>5</v>
      </c>
      <c r="AP27" s="12" t="s">
        <v>53</v>
      </c>
      <c r="AQ27" s="33">
        <f t="shared" si="115"/>
        <v>2</v>
      </c>
      <c r="AR27" s="49" t="s">
        <v>54</v>
      </c>
      <c r="AS27" s="12">
        <f t="shared" si="116"/>
        <v>0</v>
      </c>
      <c r="AT27" s="33" t="s">
        <v>52</v>
      </c>
      <c r="AU27" s="49">
        <f t="shared" si="117"/>
        <v>0</v>
      </c>
      <c r="AV27" s="12" t="s">
        <v>53</v>
      </c>
      <c r="AW27" s="33">
        <f t="shared" si="118"/>
        <v>0</v>
      </c>
      <c r="AX27" s="49" t="s">
        <v>54</v>
      </c>
      <c r="AY27" s="12">
        <f t="shared" si="119"/>
        <v>5</v>
      </c>
      <c r="AZ27" s="33" t="s">
        <v>52</v>
      </c>
      <c r="BA27" s="49">
        <f t="shared" si="120"/>
        <v>16</v>
      </c>
      <c r="BB27" s="12" t="s">
        <v>53</v>
      </c>
      <c r="BC27" s="33">
        <f t="shared" si="121"/>
        <v>5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3</v>
      </c>
      <c r="BJ27" s="33" t="s">
        <v>52</v>
      </c>
      <c r="BK27" s="49">
        <f>IFERROR(IF($B$6="W",BK23,BK22),"0")</f>
        <v>5</v>
      </c>
      <c r="BL27" s="12" t="s">
        <v>53</v>
      </c>
      <c r="BM27" s="33">
        <f>IFERROR(IF($B$6="W",BM23,BM22),"0")</f>
        <v>2</v>
      </c>
      <c r="BN27" s="49" t="s">
        <v>54</v>
      </c>
      <c r="BO27" s="12">
        <f>IFERROR(IF($B$6="W",BO23,BO22),"0")</f>
        <v>2</v>
      </c>
      <c r="BP27" s="33" t="s">
        <v>52</v>
      </c>
      <c r="BQ27" s="49">
        <f>IFERROR(IF($B$6="W",BQ23,BQ22),"0")</f>
        <v>2</v>
      </c>
      <c r="BR27" s="12" t="s">
        <v>53</v>
      </c>
      <c r="BS27" s="33">
        <f>IFERROR(IF($B$6="W",BS23,BS22),"0")</f>
        <v>1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1</v>
      </c>
      <c r="CB27" s="33" t="s">
        <v>52</v>
      </c>
      <c r="CC27" s="49">
        <f>IFERROR(IF($B$6="W",CC23,CC22),"0")</f>
        <v>3</v>
      </c>
      <c r="CD27" s="12" t="s">
        <v>53</v>
      </c>
      <c r="CE27" s="33">
        <f>IFERROR(IF($B$6="W",CE23,CE22),"0")</f>
        <v>1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2</v>
      </c>
      <c r="CK27" s="33">
        <f t="shared" si="126"/>
        <v>9</v>
      </c>
      <c r="CL27" s="33">
        <f t="shared" si="126"/>
        <v>0</v>
      </c>
      <c r="CM27" s="33">
        <f t="shared" si="126"/>
        <v>0</v>
      </c>
      <c r="CN27" s="33">
        <f t="shared" si="126"/>
        <v>11</v>
      </c>
      <c r="CO27" s="33">
        <f t="shared" si="126"/>
        <v>9</v>
      </c>
      <c r="CP27" s="33">
        <f t="shared" si="126"/>
        <v>12</v>
      </c>
      <c r="CQ27" s="33">
        <f t="shared" si="126"/>
        <v>4</v>
      </c>
      <c r="CR27" s="33">
        <f t="shared" si="126"/>
        <v>3</v>
      </c>
      <c r="CS27" s="33">
        <f t="shared" si="126"/>
        <v>4</v>
      </c>
      <c r="CT27" s="33">
        <f t="shared" si="126"/>
        <v>7</v>
      </c>
      <c r="CU27" s="33">
        <f t="shared" si="126"/>
        <v>2</v>
      </c>
      <c r="CV27" s="58">
        <f t="shared" si="126"/>
        <v>30.4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30.792311252170386</v>
      </c>
      <c r="EW27" s="228" t="s">
        <v>75</v>
      </c>
      <c r="EX27" s="6">
        <f t="shared" si="94"/>
        <v>2.4</v>
      </c>
      <c r="EY27" s="6">
        <f t="shared" si="95"/>
        <v>3</v>
      </c>
      <c r="EZ27" s="6">
        <f t="shared" si="125"/>
        <v>12.151999999999999</v>
      </c>
    </row>
    <row r="28" spans="1:197" ht="17" thickBot="1" x14ac:dyDescent="0.25">
      <c r="C28" s="228" t="s">
        <v>76</v>
      </c>
      <c r="D28" s="28">
        <f>IFERROR(IF(B7="W",D23,D22),"0")</f>
        <v>42.260000000000005</v>
      </c>
      <c r="E28" s="86">
        <f t="shared" si="96"/>
        <v>11</v>
      </c>
      <c r="F28" s="33" t="s">
        <v>52</v>
      </c>
      <c r="G28" s="49">
        <f t="shared" si="97"/>
        <v>26</v>
      </c>
      <c r="H28" s="12" t="s">
        <v>53</v>
      </c>
      <c r="I28" s="33">
        <f t="shared" si="98"/>
        <v>9</v>
      </c>
      <c r="J28" s="49" t="s">
        <v>54</v>
      </c>
      <c r="K28" s="12">
        <f t="shared" si="99"/>
        <v>5</v>
      </c>
      <c r="L28" s="33" t="s">
        <v>52</v>
      </c>
      <c r="M28" s="49">
        <f t="shared" si="100"/>
        <v>7</v>
      </c>
      <c r="N28" s="12" t="s">
        <v>53</v>
      </c>
      <c r="O28" s="33">
        <f t="shared" si="101"/>
        <v>3</v>
      </c>
      <c r="P28" s="49" t="s">
        <v>54</v>
      </c>
      <c r="Q28" s="12">
        <f t="shared" si="102"/>
        <v>0</v>
      </c>
      <c r="R28" s="33" t="s">
        <v>52</v>
      </c>
      <c r="S28" s="49">
        <f t="shared" si="103"/>
        <v>0</v>
      </c>
      <c r="T28" s="12" t="s">
        <v>53</v>
      </c>
      <c r="U28" s="33">
        <f t="shared" si="104"/>
        <v>0</v>
      </c>
      <c r="V28" s="49" t="s">
        <v>54</v>
      </c>
      <c r="W28" s="12">
        <f t="shared" si="105"/>
        <v>6</v>
      </c>
      <c r="X28" s="33" t="s">
        <v>52</v>
      </c>
      <c r="Y28" s="49">
        <f t="shared" si="106"/>
        <v>19</v>
      </c>
      <c r="Z28" s="12" t="s">
        <v>53</v>
      </c>
      <c r="AA28" s="33">
        <f t="shared" si="107"/>
        <v>6</v>
      </c>
      <c r="AB28" s="49" t="s">
        <v>54</v>
      </c>
      <c r="AC28" s="12">
        <f t="shared" si="108"/>
        <v>2.4</v>
      </c>
      <c r="AD28" s="33" t="s">
        <v>52</v>
      </c>
      <c r="AE28" s="53">
        <f t="shared" si="109"/>
        <v>3</v>
      </c>
      <c r="AF28" s="12"/>
      <c r="AG28" s="43">
        <f t="shared" si="110"/>
        <v>8</v>
      </c>
      <c r="AH28" s="33" t="s">
        <v>52</v>
      </c>
      <c r="AI28" s="49">
        <f t="shared" si="111"/>
        <v>21</v>
      </c>
      <c r="AJ28" s="12" t="s">
        <v>53</v>
      </c>
      <c r="AK28" s="33">
        <f t="shared" si="112"/>
        <v>7</v>
      </c>
      <c r="AL28" s="49" t="s">
        <v>54</v>
      </c>
      <c r="AM28" s="12">
        <f t="shared" si="113"/>
        <v>3</v>
      </c>
      <c r="AN28" s="33" t="s">
        <v>52</v>
      </c>
      <c r="AO28" s="49">
        <f t="shared" si="114"/>
        <v>5</v>
      </c>
      <c r="AP28" s="12" t="s">
        <v>53</v>
      </c>
      <c r="AQ28" s="33">
        <f t="shared" si="115"/>
        <v>2</v>
      </c>
      <c r="AR28" s="49" t="s">
        <v>54</v>
      </c>
      <c r="AS28" s="12">
        <f t="shared" si="116"/>
        <v>0</v>
      </c>
      <c r="AT28" s="33" t="s">
        <v>52</v>
      </c>
      <c r="AU28" s="49">
        <f t="shared" si="117"/>
        <v>0</v>
      </c>
      <c r="AV28" s="12" t="s">
        <v>53</v>
      </c>
      <c r="AW28" s="33">
        <f t="shared" si="118"/>
        <v>0</v>
      </c>
      <c r="AX28" s="49" t="s">
        <v>54</v>
      </c>
      <c r="AY28" s="12">
        <f t="shared" si="119"/>
        <v>5</v>
      </c>
      <c r="AZ28" s="33" t="s">
        <v>52</v>
      </c>
      <c r="BA28" s="49">
        <f t="shared" si="120"/>
        <v>16</v>
      </c>
      <c r="BB28" s="12" t="s">
        <v>53</v>
      </c>
      <c r="BC28" s="33">
        <f t="shared" si="121"/>
        <v>5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3</v>
      </c>
      <c r="BJ28" s="33" t="s">
        <v>52</v>
      </c>
      <c r="BK28" s="49">
        <f>IFERROR(IF($B$7="W",BK23,BK22),"0")</f>
        <v>5</v>
      </c>
      <c r="BL28" s="12" t="s">
        <v>53</v>
      </c>
      <c r="BM28" s="33">
        <f>IFERROR(IF($B$7="W",BM23,BM22),"0")</f>
        <v>2</v>
      </c>
      <c r="BN28" s="49" t="s">
        <v>54</v>
      </c>
      <c r="BO28" s="12">
        <f>IFERROR(IF($B$7="W",BO23,BO22),"0")</f>
        <v>2</v>
      </c>
      <c r="BP28" s="33" t="s">
        <v>52</v>
      </c>
      <c r="BQ28" s="49">
        <f>IFERROR(IF($B$7="W",BQ23,BQ22),"0")</f>
        <v>2</v>
      </c>
      <c r="BR28" s="12" t="s">
        <v>53</v>
      </c>
      <c r="BS28" s="33">
        <f>IFERROR(IF($B$7="W",BS23,BS22),"0")</f>
        <v>1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1</v>
      </c>
      <c r="CB28" s="33" t="s">
        <v>52</v>
      </c>
      <c r="CC28" s="49">
        <f>IFERROR(IF($B$7="W",CC23,CC22),"0")</f>
        <v>3</v>
      </c>
      <c r="CD28" s="12" t="s">
        <v>53</v>
      </c>
      <c r="CE28" s="33">
        <f>IFERROR(IF($B$7="W",CE23,CE22),"0")</f>
        <v>1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2</v>
      </c>
      <c r="CK28" s="33">
        <f t="shared" si="127"/>
        <v>9</v>
      </c>
      <c r="CL28" s="33">
        <f t="shared" si="127"/>
        <v>0</v>
      </c>
      <c r="CM28" s="33">
        <f t="shared" si="127"/>
        <v>0</v>
      </c>
      <c r="CN28" s="33">
        <f t="shared" si="127"/>
        <v>11</v>
      </c>
      <c r="CO28" s="33">
        <f t="shared" si="127"/>
        <v>9</v>
      </c>
      <c r="CP28" s="33">
        <f t="shared" si="127"/>
        <v>12</v>
      </c>
      <c r="CQ28" s="33">
        <f t="shared" si="127"/>
        <v>4</v>
      </c>
      <c r="CR28" s="33">
        <f t="shared" si="127"/>
        <v>3</v>
      </c>
      <c r="CS28" s="33">
        <f t="shared" si="127"/>
        <v>4</v>
      </c>
      <c r="CT28" s="33">
        <f t="shared" si="127"/>
        <v>7</v>
      </c>
      <c r="CU28" s="33">
        <f t="shared" si="127"/>
        <v>2</v>
      </c>
      <c r="CV28" s="58">
        <f t="shared" si="127"/>
        <v>30.4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30.792311252170386</v>
      </c>
      <c r="EW28" s="228" t="s">
        <v>76</v>
      </c>
      <c r="EX28" s="6">
        <f t="shared" si="94"/>
        <v>2.4</v>
      </c>
      <c r="EY28" s="6">
        <f t="shared" si="95"/>
        <v>3</v>
      </c>
      <c r="EZ28" s="6">
        <f t="shared" si="125"/>
        <v>12.151999999999999</v>
      </c>
    </row>
    <row r="29" spans="1:197" x14ac:dyDescent="0.2">
      <c r="C29" s="228" t="s">
        <v>222</v>
      </c>
      <c r="D29" s="28">
        <f>IFERROR(IF(B8="W",D23,D22),"0")</f>
        <v>42.260000000000005</v>
      </c>
      <c r="E29" s="86">
        <f t="shared" si="96"/>
        <v>11</v>
      </c>
      <c r="F29" s="33" t="s">
        <v>52</v>
      </c>
      <c r="G29" s="49">
        <f t="shared" si="97"/>
        <v>26</v>
      </c>
      <c r="H29" s="12" t="s">
        <v>53</v>
      </c>
      <c r="I29" s="33">
        <f t="shared" si="98"/>
        <v>9</v>
      </c>
      <c r="J29" s="49" t="s">
        <v>54</v>
      </c>
      <c r="K29" s="12">
        <f t="shared" si="99"/>
        <v>5</v>
      </c>
      <c r="L29" s="33" t="s">
        <v>52</v>
      </c>
      <c r="M29" s="49">
        <f t="shared" si="100"/>
        <v>7</v>
      </c>
      <c r="N29" s="12" t="s">
        <v>53</v>
      </c>
      <c r="O29" s="33">
        <f t="shared" si="101"/>
        <v>3</v>
      </c>
      <c r="P29" s="49" t="s">
        <v>54</v>
      </c>
      <c r="Q29" s="12">
        <f t="shared" si="102"/>
        <v>0</v>
      </c>
      <c r="R29" s="33" t="s">
        <v>52</v>
      </c>
      <c r="S29" s="49">
        <f t="shared" si="103"/>
        <v>0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6</v>
      </c>
      <c r="X29" s="33" t="s">
        <v>52</v>
      </c>
      <c r="Y29" s="49">
        <f t="shared" si="106"/>
        <v>19</v>
      </c>
      <c r="Z29" s="12" t="s">
        <v>53</v>
      </c>
      <c r="AA29" s="33">
        <f t="shared" si="107"/>
        <v>6</v>
      </c>
      <c r="AB29" s="49" t="s">
        <v>54</v>
      </c>
      <c r="AC29" s="12">
        <f t="shared" si="108"/>
        <v>2.4</v>
      </c>
      <c r="AD29" s="33" t="s">
        <v>52</v>
      </c>
      <c r="AE29" s="53">
        <f t="shared" si="109"/>
        <v>3</v>
      </c>
      <c r="AF29" s="12"/>
      <c r="AG29" s="43">
        <f t="shared" si="110"/>
        <v>8</v>
      </c>
      <c r="AH29" s="33" t="s">
        <v>52</v>
      </c>
      <c r="AI29" s="49">
        <f t="shared" si="111"/>
        <v>21</v>
      </c>
      <c r="AJ29" s="12" t="s">
        <v>53</v>
      </c>
      <c r="AK29" s="33">
        <f t="shared" si="112"/>
        <v>7</v>
      </c>
      <c r="AL29" s="49" t="s">
        <v>54</v>
      </c>
      <c r="AM29" s="12">
        <f t="shared" si="113"/>
        <v>3</v>
      </c>
      <c r="AN29" s="33" t="s">
        <v>52</v>
      </c>
      <c r="AO29" s="49">
        <f t="shared" si="114"/>
        <v>5</v>
      </c>
      <c r="AP29" s="12" t="s">
        <v>53</v>
      </c>
      <c r="AQ29" s="33">
        <f t="shared" si="115"/>
        <v>2</v>
      </c>
      <c r="AR29" s="49" t="s">
        <v>54</v>
      </c>
      <c r="AS29" s="12">
        <f t="shared" si="116"/>
        <v>0</v>
      </c>
      <c r="AT29" s="33" t="s">
        <v>52</v>
      </c>
      <c r="AU29" s="49">
        <f t="shared" si="117"/>
        <v>0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5</v>
      </c>
      <c r="AZ29" s="33" t="s">
        <v>52</v>
      </c>
      <c r="BA29" s="49">
        <f t="shared" si="120"/>
        <v>16</v>
      </c>
      <c r="BB29" s="12" t="s">
        <v>53</v>
      </c>
      <c r="BC29" s="33">
        <f t="shared" si="121"/>
        <v>5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3</v>
      </c>
      <c r="BJ29" s="33" t="s">
        <v>52</v>
      </c>
      <c r="BK29" s="49">
        <f>IFERROR(IF($B$8="W",BK23,BK22),"0")</f>
        <v>5</v>
      </c>
      <c r="BL29" s="12" t="s">
        <v>53</v>
      </c>
      <c r="BM29" s="33">
        <f>IFERROR(IF($B$8="W",BM23,BM22),"0")</f>
        <v>2</v>
      </c>
      <c r="BN29" s="49" t="s">
        <v>54</v>
      </c>
      <c r="BO29" s="12">
        <f>IFERROR(IF($B$8="W",BO23,BO22),"0")</f>
        <v>2</v>
      </c>
      <c r="BP29" s="33" t="s">
        <v>52</v>
      </c>
      <c r="BQ29" s="49">
        <f>IFERROR(IF($B$8="W",BQ23,BQ22),"0")</f>
        <v>2</v>
      </c>
      <c r="BR29" s="12" t="s">
        <v>53</v>
      </c>
      <c r="BS29" s="33">
        <f>IFERROR(IF($B$8="W",BS23,BS22),"0")</f>
        <v>1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1</v>
      </c>
      <c r="CB29" s="33" t="s">
        <v>52</v>
      </c>
      <c r="CC29" s="49">
        <f>IFERROR(IF($B$8="W",CC23,CC22),"0")</f>
        <v>3</v>
      </c>
      <c r="CD29" s="12" t="s">
        <v>53</v>
      </c>
      <c r="CE29" s="33">
        <f>IFERROR(IF($B$8="W",CE23,CE22),"0")</f>
        <v>1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2</v>
      </c>
      <c r="CK29" s="33">
        <f t="shared" si="128"/>
        <v>9</v>
      </c>
      <c r="CL29" s="33">
        <f t="shared" si="128"/>
        <v>0</v>
      </c>
      <c r="CM29" s="33">
        <f t="shared" si="128"/>
        <v>0</v>
      </c>
      <c r="CN29" s="33">
        <f t="shared" si="128"/>
        <v>11</v>
      </c>
      <c r="CO29" s="33">
        <f t="shared" si="128"/>
        <v>9</v>
      </c>
      <c r="CP29" s="33">
        <f t="shared" si="128"/>
        <v>12</v>
      </c>
      <c r="CQ29" s="33">
        <f t="shared" si="128"/>
        <v>4</v>
      </c>
      <c r="CR29" s="33">
        <f t="shared" si="128"/>
        <v>3</v>
      </c>
      <c r="CS29" s="33">
        <f t="shared" si="128"/>
        <v>4</v>
      </c>
      <c r="CT29" s="33">
        <f t="shared" si="128"/>
        <v>7</v>
      </c>
      <c r="CU29" s="33">
        <f t="shared" si="128"/>
        <v>2</v>
      </c>
      <c r="CV29" s="58">
        <f t="shared" si="128"/>
        <v>30.4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30.792311252170386</v>
      </c>
      <c r="EW29" s="228" t="s">
        <v>222</v>
      </c>
      <c r="EX29" s="6">
        <f t="shared" si="94"/>
        <v>2.4</v>
      </c>
      <c r="EY29" s="6">
        <f t="shared" si="95"/>
        <v>3</v>
      </c>
      <c r="EZ29" s="6">
        <f t="shared" si="125"/>
        <v>12.151999999999999</v>
      </c>
    </row>
    <row r="30" spans="1:197" x14ac:dyDescent="0.2">
      <c r="C30" s="228" t="s">
        <v>77</v>
      </c>
      <c r="D30" s="28">
        <f>IFERROR(IF(B9="W",D23,D22),"0")</f>
        <v>42.260000000000005</v>
      </c>
      <c r="E30" s="86">
        <f t="shared" si="96"/>
        <v>16</v>
      </c>
      <c r="F30" s="33" t="s">
        <v>52</v>
      </c>
      <c r="G30" s="49">
        <f t="shared" si="97"/>
        <v>26</v>
      </c>
      <c r="H30" s="12" t="s">
        <v>53</v>
      </c>
      <c r="I30" s="33">
        <f t="shared" si="98"/>
        <v>6</v>
      </c>
      <c r="J30" s="49" t="s">
        <v>54</v>
      </c>
      <c r="K30" s="12">
        <f t="shared" si="99"/>
        <v>10</v>
      </c>
      <c r="L30" s="33" t="s">
        <v>52</v>
      </c>
      <c r="M30" s="49">
        <f t="shared" si="100"/>
        <v>14</v>
      </c>
      <c r="N30" s="12" t="s">
        <v>53</v>
      </c>
      <c r="O30" s="33">
        <f t="shared" si="101"/>
        <v>2</v>
      </c>
      <c r="P30" s="49" t="s">
        <v>54</v>
      </c>
      <c r="Q30" s="12">
        <f t="shared" si="102"/>
        <v>1</v>
      </c>
      <c r="R30" s="33" t="s">
        <v>52</v>
      </c>
      <c r="S30" s="49">
        <f t="shared" si="103"/>
        <v>1</v>
      </c>
      <c r="T30" s="12" t="s">
        <v>53</v>
      </c>
      <c r="U30" s="33">
        <f t="shared" si="104"/>
        <v>0</v>
      </c>
      <c r="V30" s="49" t="s">
        <v>54</v>
      </c>
      <c r="W30" s="12">
        <f t="shared" si="105"/>
        <v>5</v>
      </c>
      <c r="X30" s="33" t="s">
        <v>52</v>
      </c>
      <c r="Y30" s="49">
        <f t="shared" si="106"/>
        <v>11</v>
      </c>
      <c r="Z30" s="12" t="s">
        <v>53</v>
      </c>
      <c r="AA30" s="33">
        <f t="shared" si="107"/>
        <v>4</v>
      </c>
      <c r="AB30" s="49" t="s">
        <v>54</v>
      </c>
      <c r="AC30" s="12">
        <f t="shared" si="108"/>
        <v>2.8499999999999996</v>
      </c>
      <c r="AD30" s="33" t="s">
        <v>52</v>
      </c>
      <c r="AE30" s="53">
        <f t="shared" si="109"/>
        <v>4</v>
      </c>
      <c r="AF30" s="12"/>
      <c r="AG30" s="43">
        <f t="shared" si="110"/>
        <v>14</v>
      </c>
      <c r="AH30" s="33" t="s">
        <v>52</v>
      </c>
      <c r="AI30" s="49">
        <f t="shared" si="111"/>
        <v>22</v>
      </c>
      <c r="AJ30" s="12" t="s">
        <v>53</v>
      </c>
      <c r="AK30" s="33">
        <f t="shared" si="112"/>
        <v>6</v>
      </c>
      <c r="AL30" s="49" t="s">
        <v>54</v>
      </c>
      <c r="AM30" s="12">
        <f t="shared" si="113"/>
        <v>8</v>
      </c>
      <c r="AN30" s="33" t="s">
        <v>52</v>
      </c>
      <c r="AO30" s="49">
        <f t="shared" si="114"/>
        <v>12</v>
      </c>
      <c r="AP30" s="12" t="s">
        <v>53</v>
      </c>
      <c r="AQ30" s="33">
        <f t="shared" si="115"/>
        <v>2</v>
      </c>
      <c r="AR30" s="49" t="s">
        <v>54</v>
      </c>
      <c r="AS30" s="12">
        <f t="shared" si="116"/>
        <v>1</v>
      </c>
      <c r="AT30" s="33" t="s">
        <v>52</v>
      </c>
      <c r="AU30" s="49">
        <f t="shared" si="117"/>
        <v>1</v>
      </c>
      <c r="AV30" s="12" t="s">
        <v>53</v>
      </c>
      <c r="AW30" s="33">
        <f t="shared" si="118"/>
        <v>0</v>
      </c>
      <c r="AX30" s="49" t="s">
        <v>54</v>
      </c>
      <c r="AY30" s="12">
        <f t="shared" si="119"/>
        <v>5</v>
      </c>
      <c r="AZ30" s="33" t="s">
        <v>52</v>
      </c>
      <c r="BA30" s="49">
        <f t="shared" si="120"/>
        <v>9</v>
      </c>
      <c r="BB30" s="12" t="s">
        <v>53</v>
      </c>
      <c r="BC30" s="33">
        <f t="shared" si="121"/>
        <v>4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2</v>
      </c>
      <c r="BJ30" s="33" t="s">
        <v>52</v>
      </c>
      <c r="BK30" s="49">
        <f>IFERROR(IF($B$9="W",BK23,BK22),"0")</f>
        <v>4</v>
      </c>
      <c r="BL30" s="12" t="s">
        <v>53</v>
      </c>
      <c r="BM30" s="33">
        <f>IFERROR(IF($B$9="W",BM23,BM22),"0")</f>
        <v>0</v>
      </c>
      <c r="BN30" s="49" t="s">
        <v>54</v>
      </c>
      <c r="BO30" s="12">
        <f>IFERROR(IF($B$9="W",BO23,BO22),"0")</f>
        <v>2</v>
      </c>
      <c r="BP30" s="33" t="s">
        <v>52</v>
      </c>
      <c r="BQ30" s="49">
        <f>IFERROR(IF($B$9="W",BQ23,BQ22),"0")</f>
        <v>2</v>
      </c>
      <c r="BR30" s="12" t="s">
        <v>53</v>
      </c>
      <c r="BS30" s="33">
        <f>IFERROR(IF($B$9="W",BS23,BS22),"0")</f>
        <v>0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0</v>
      </c>
      <c r="CB30" s="33" t="s">
        <v>52</v>
      </c>
      <c r="CC30" s="49">
        <f>IFERROR(IF($B$9="W",CC23,CC22),"0")</f>
        <v>2</v>
      </c>
      <c r="CD30" s="12" t="s">
        <v>53</v>
      </c>
      <c r="CE30" s="33">
        <f>IFERROR(IF($B$9="W",CE23,CE22),"0")</f>
        <v>0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2</v>
      </c>
      <c r="CK30" s="33">
        <f t="shared" si="129"/>
        <v>12</v>
      </c>
      <c r="CL30" s="33">
        <f t="shared" si="129"/>
        <v>0</v>
      </c>
      <c r="CM30" s="33">
        <f t="shared" si="129"/>
        <v>0</v>
      </c>
      <c r="CN30" s="33">
        <f t="shared" si="129"/>
        <v>14</v>
      </c>
      <c r="CO30" s="33">
        <f t="shared" si="129"/>
        <v>6</v>
      </c>
      <c r="CP30" s="33">
        <f t="shared" si="129"/>
        <v>8</v>
      </c>
      <c r="CQ30" s="33">
        <f t="shared" si="129"/>
        <v>3</v>
      </c>
      <c r="CR30" s="33">
        <f t="shared" si="129"/>
        <v>4</v>
      </c>
      <c r="CS30" s="33">
        <f t="shared" si="129"/>
        <v>1</v>
      </c>
      <c r="CT30" s="33">
        <f t="shared" si="129"/>
        <v>7</v>
      </c>
      <c r="CU30" s="33">
        <f t="shared" si="129"/>
        <v>0</v>
      </c>
      <c r="CV30" s="58">
        <f t="shared" si="129"/>
        <v>39.85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32.509747897465033</v>
      </c>
      <c r="EW30" s="228" t="s">
        <v>77</v>
      </c>
      <c r="EX30" s="6">
        <f t="shared" si="94"/>
        <v>2.8499999999999996</v>
      </c>
      <c r="EY30" s="6">
        <f t="shared" si="95"/>
        <v>4</v>
      </c>
      <c r="EZ30" s="6">
        <f t="shared" si="125"/>
        <v>17.467749999999999</v>
      </c>
    </row>
    <row r="31" spans="1:197" ht="17" thickBot="1" x14ac:dyDescent="0.25">
      <c r="C31" s="228" t="s">
        <v>78</v>
      </c>
      <c r="D31" s="28">
        <f>IFERROR(IF(B10="W",D23,D22),"0")</f>
        <v>42.260000000000005</v>
      </c>
      <c r="E31" s="86">
        <f t="shared" si="96"/>
        <v>11</v>
      </c>
      <c r="F31" s="33" t="s">
        <v>52</v>
      </c>
      <c r="G31" s="49">
        <f t="shared" si="97"/>
        <v>26</v>
      </c>
      <c r="H31" s="12" t="s">
        <v>53</v>
      </c>
      <c r="I31" s="33">
        <f t="shared" si="98"/>
        <v>9</v>
      </c>
      <c r="J31" s="49" t="s">
        <v>54</v>
      </c>
      <c r="K31" s="12">
        <f t="shared" si="99"/>
        <v>5</v>
      </c>
      <c r="L31" s="33" t="s">
        <v>52</v>
      </c>
      <c r="M31" s="49">
        <f t="shared" si="100"/>
        <v>7</v>
      </c>
      <c r="N31" s="12" t="s">
        <v>53</v>
      </c>
      <c r="O31" s="33">
        <f t="shared" si="101"/>
        <v>3</v>
      </c>
      <c r="P31" s="49" t="s">
        <v>54</v>
      </c>
      <c r="Q31" s="12">
        <f t="shared" si="102"/>
        <v>0</v>
      </c>
      <c r="R31" s="33" t="s">
        <v>52</v>
      </c>
      <c r="S31" s="49">
        <f t="shared" si="103"/>
        <v>0</v>
      </c>
      <c r="T31" s="12" t="s">
        <v>53</v>
      </c>
      <c r="U31" s="33">
        <f t="shared" si="104"/>
        <v>0</v>
      </c>
      <c r="V31" s="49" t="s">
        <v>54</v>
      </c>
      <c r="W31" s="12">
        <f t="shared" si="105"/>
        <v>6</v>
      </c>
      <c r="X31" s="33" t="s">
        <v>52</v>
      </c>
      <c r="Y31" s="49">
        <f t="shared" si="106"/>
        <v>19</v>
      </c>
      <c r="Z31" s="12" t="s">
        <v>53</v>
      </c>
      <c r="AA31" s="33">
        <f t="shared" si="107"/>
        <v>6</v>
      </c>
      <c r="AB31" s="49" t="s">
        <v>54</v>
      </c>
      <c r="AC31" s="12">
        <f t="shared" si="108"/>
        <v>2.4</v>
      </c>
      <c r="AD31" s="33" t="s">
        <v>52</v>
      </c>
      <c r="AE31" s="53">
        <f t="shared" si="109"/>
        <v>3</v>
      </c>
      <c r="AF31" s="12"/>
      <c r="AG31" s="43">
        <f t="shared" si="110"/>
        <v>8</v>
      </c>
      <c r="AH31" s="33" t="s">
        <v>52</v>
      </c>
      <c r="AI31" s="49">
        <f t="shared" si="111"/>
        <v>21</v>
      </c>
      <c r="AJ31" s="12" t="s">
        <v>53</v>
      </c>
      <c r="AK31" s="33">
        <f t="shared" si="112"/>
        <v>7</v>
      </c>
      <c r="AL31" s="49" t="s">
        <v>54</v>
      </c>
      <c r="AM31" s="12">
        <f t="shared" si="113"/>
        <v>3</v>
      </c>
      <c r="AN31" s="33" t="s">
        <v>52</v>
      </c>
      <c r="AO31" s="49">
        <f t="shared" si="114"/>
        <v>5</v>
      </c>
      <c r="AP31" s="12" t="s">
        <v>53</v>
      </c>
      <c r="AQ31" s="33">
        <f t="shared" si="115"/>
        <v>2</v>
      </c>
      <c r="AR31" s="49" t="s">
        <v>54</v>
      </c>
      <c r="AS31" s="12">
        <f t="shared" si="116"/>
        <v>0</v>
      </c>
      <c r="AT31" s="33" t="s">
        <v>52</v>
      </c>
      <c r="AU31" s="49">
        <f t="shared" si="117"/>
        <v>0</v>
      </c>
      <c r="AV31" s="12" t="s">
        <v>53</v>
      </c>
      <c r="AW31" s="33">
        <f t="shared" si="118"/>
        <v>0</v>
      </c>
      <c r="AX31" s="49" t="s">
        <v>54</v>
      </c>
      <c r="AY31" s="12">
        <f t="shared" si="119"/>
        <v>5</v>
      </c>
      <c r="AZ31" s="33" t="s">
        <v>52</v>
      </c>
      <c r="BA31" s="49">
        <f t="shared" si="120"/>
        <v>16</v>
      </c>
      <c r="BB31" s="12" t="s">
        <v>53</v>
      </c>
      <c r="BC31" s="33">
        <f t="shared" si="121"/>
        <v>5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3</v>
      </c>
      <c r="BJ31" s="33" t="s">
        <v>52</v>
      </c>
      <c r="BK31" s="49">
        <f>IFERROR(IF($B$10="W",BK23,BK22),"0")</f>
        <v>5</v>
      </c>
      <c r="BL31" s="12" t="s">
        <v>53</v>
      </c>
      <c r="BM31" s="33">
        <f>IFERROR(IF($B$10="W",BM23,BM22),"0")</f>
        <v>2</v>
      </c>
      <c r="BN31" s="49" t="s">
        <v>54</v>
      </c>
      <c r="BO31" s="12">
        <f>IFERROR(IF($B$10="W",BO23,BO22),"0")</f>
        <v>2</v>
      </c>
      <c r="BP31" s="33" t="s">
        <v>52</v>
      </c>
      <c r="BQ31" s="49">
        <f>IFERROR(IF($B$10="W",BQ23,BQ22),"0")</f>
        <v>2</v>
      </c>
      <c r="BR31" s="12" t="s">
        <v>53</v>
      </c>
      <c r="BS31" s="33">
        <f>IFERROR(IF($B$10="W",BS23,BS22),"0")</f>
        <v>1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1</v>
      </c>
      <c r="CB31" s="33" t="s">
        <v>52</v>
      </c>
      <c r="CC31" s="49">
        <f>IFERROR(IF($B$10="W",CC23,CC22),"0")</f>
        <v>3</v>
      </c>
      <c r="CD31" s="12" t="s">
        <v>53</v>
      </c>
      <c r="CE31" s="33">
        <f>IFERROR(IF($B$10="W",CE23,CE22),"0")</f>
        <v>1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2</v>
      </c>
      <c r="CK31" s="33">
        <f t="shared" si="130"/>
        <v>9</v>
      </c>
      <c r="CL31" s="33">
        <f t="shared" si="130"/>
        <v>0</v>
      </c>
      <c r="CM31" s="33">
        <f t="shared" si="130"/>
        <v>0</v>
      </c>
      <c r="CN31" s="33">
        <f t="shared" si="130"/>
        <v>11</v>
      </c>
      <c r="CO31" s="33">
        <f t="shared" si="130"/>
        <v>9</v>
      </c>
      <c r="CP31" s="33">
        <f t="shared" si="130"/>
        <v>12</v>
      </c>
      <c r="CQ31" s="33">
        <f t="shared" si="130"/>
        <v>4</v>
      </c>
      <c r="CR31" s="33">
        <f t="shared" si="130"/>
        <v>3</v>
      </c>
      <c r="CS31" s="33">
        <f t="shared" si="130"/>
        <v>4</v>
      </c>
      <c r="CT31" s="33">
        <f t="shared" si="130"/>
        <v>7</v>
      </c>
      <c r="CU31" s="33">
        <f t="shared" si="130"/>
        <v>2</v>
      </c>
      <c r="CV31" s="58">
        <f t="shared" si="130"/>
        <v>30.4</v>
      </c>
      <c r="CW31" s="33"/>
      <c r="CX31" s="4"/>
      <c r="CY31" s="289">
        <f>(G21-E21)+((SUM(EW4:EW18))-(SUM(EV4:EV18)))</f>
        <v>25</v>
      </c>
      <c r="CZ31" s="290">
        <f>CN21</f>
        <v>25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30.792311252170386</v>
      </c>
      <c r="EW31" s="228" t="s">
        <v>78</v>
      </c>
      <c r="EX31" s="6">
        <f t="shared" si="94"/>
        <v>2.4</v>
      </c>
      <c r="EY31" s="6">
        <f t="shared" si="95"/>
        <v>3</v>
      </c>
      <c r="EZ31" s="6">
        <f t="shared" si="125"/>
        <v>12.151999999999999</v>
      </c>
    </row>
    <row r="32" spans="1:197" x14ac:dyDescent="0.2">
      <c r="C32" s="228" t="s">
        <v>79</v>
      </c>
      <c r="D32" s="28">
        <f>IFERROR(IF(B11="W",D23,D22),"0")</f>
        <v>42.260000000000005</v>
      </c>
      <c r="E32" s="86">
        <f t="shared" si="96"/>
        <v>16</v>
      </c>
      <c r="F32" s="33" t="s">
        <v>52</v>
      </c>
      <c r="G32" s="49">
        <f t="shared" si="97"/>
        <v>26</v>
      </c>
      <c r="H32" s="12" t="s">
        <v>53</v>
      </c>
      <c r="I32" s="33">
        <f t="shared" si="98"/>
        <v>6</v>
      </c>
      <c r="J32" s="49" t="s">
        <v>54</v>
      </c>
      <c r="K32" s="12">
        <f t="shared" si="99"/>
        <v>10</v>
      </c>
      <c r="L32" s="33" t="s">
        <v>52</v>
      </c>
      <c r="M32" s="49">
        <f t="shared" si="100"/>
        <v>14</v>
      </c>
      <c r="N32" s="12" t="s">
        <v>53</v>
      </c>
      <c r="O32" s="33">
        <f t="shared" si="101"/>
        <v>2</v>
      </c>
      <c r="P32" s="49" t="s">
        <v>54</v>
      </c>
      <c r="Q32" s="12">
        <f t="shared" si="102"/>
        <v>1</v>
      </c>
      <c r="R32" s="33" t="s">
        <v>52</v>
      </c>
      <c r="S32" s="49">
        <f t="shared" si="103"/>
        <v>1</v>
      </c>
      <c r="T32" s="12" t="s">
        <v>53</v>
      </c>
      <c r="U32" s="33">
        <f t="shared" si="104"/>
        <v>0</v>
      </c>
      <c r="V32" s="49" t="s">
        <v>54</v>
      </c>
      <c r="W32" s="12">
        <f t="shared" si="105"/>
        <v>5</v>
      </c>
      <c r="X32" s="33" t="s">
        <v>52</v>
      </c>
      <c r="Y32" s="49">
        <f t="shared" si="106"/>
        <v>11</v>
      </c>
      <c r="Z32" s="12" t="s">
        <v>53</v>
      </c>
      <c r="AA32" s="33">
        <f t="shared" si="107"/>
        <v>4</v>
      </c>
      <c r="AB32" s="49" t="s">
        <v>54</v>
      </c>
      <c r="AC32" s="12">
        <f t="shared" si="108"/>
        <v>2.8499999999999996</v>
      </c>
      <c r="AD32" s="33" t="s">
        <v>52</v>
      </c>
      <c r="AE32" s="53">
        <f t="shared" si="109"/>
        <v>4</v>
      </c>
      <c r="AF32" s="12"/>
      <c r="AG32" s="43">
        <f t="shared" si="110"/>
        <v>14</v>
      </c>
      <c r="AH32" s="33" t="s">
        <v>52</v>
      </c>
      <c r="AI32" s="49">
        <f t="shared" si="111"/>
        <v>22</v>
      </c>
      <c r="AJ32" s="12" t="s">
        <v>53</v>
      </c>
      <c r="AK32" s="33">
        <f t="shared" si="112"/>
        <v>6</v>
      </c>
      <c r="AL32" s="49" t="s">
        <v>54</v>
      </c>
      <c r="AM32" s="12">
        <f t="shared" si="113"/>
        <v>8</v>
      </c>
      <c r="AN32" s="33" t="s">
        <v>52</v>
      </c>
      <c r="AO32" s="49">
        <f t="shared" si="114"/>
        <v>12</v>
      </c>
      <c r="AP32" s="12" t="s">
        <v>53</v>
      </c>
      <c r="AQ32" s="33">
        <f t="shared" si="115"/>
        <v>2</v>
      </c>
      <c r="AR32" s="49" t="s">
        <v>54</v>
      </c>
      <c r="AS32" s="12">
        <f t="shared" si="116"/>
        <v>1</v>
      </c>
      <c r="AT32" s="33" t="s">
        <v>52</v>
      </c>
      <c r="AU32" s="49">
        <f t="shared" si="117"/>
        <v>1</v>
      </c>
      <c r="AV32" s="12" t="s">
        <v>53</v>
      </c>
      <c r="AW32" s="33">
        <f t="shared" si="118"/>
        <v>0</v>
      </c>
      <c r="AX32" s="49" t="s">
        <v>54</v>
      </c>
      <c r="AY32" s="12">
        <f t="shared" si="119"/>
        <v>5</v>
      </c>
      <c r="AZ32" s="33" t="s">
        <v>52</v>
      </c>
      <c r="BA32" s="49">
        <f t="shared" si="120"/>
        <v>9</v>
      </c>
      <c r="BB32" s="12" t="s">
        <v>53</v>
      </c>
      <c r="BC32" s="33">
        <f t="shared" si="121"/>
        <v>4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2</v>
      </c>
      <c r="BJ32" s="33" t="s">
        <v>52</v>
      </c>
      <c r="BK32" s="49">
        <f>IFERROR(IF($B$11="W",BK23,BK22),"0")</f>
        <v>4</v>
      </c>
      <c r="BL32" s="12" t="s">
        <v>53</v>
      </c>
      <c r="BM32" s="33">
        <f>IFERROR(IF($B$11="W",BM23,BM22),"0")</f>
        <v>0</v>
      </c>
      <c r="BN32" s="49" t="s">
        <v>54</v>
      </c>
      <c r="BO32" s="12">
        <f>IFERROR(IF($B$11="W",BO23,BO22),"0")</f>
        <v>2</v>
      </c>
      <c r="BP32" s="33" t="s">
        <v>52</v>
      </c>
      <c r="BQ32" s="49">
        <f>IFERROR(IF($B$11="W",BQ23,BQ22),"0")</f>
        <v>2</v>
      </c>
      <c r="BR32" s="12" t="s">
        <v>53</v>
      </c>
      <c r="BS32" s="33">
        <f>IFERROR(IF($B$11="W",BS23,BS22),"0")</f>
        <v>0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0</v>
      </c>
      <c r="CB32" s="33" t="s">
        <v>52</v>
      </c>
      <c r="CC32" s="49">
        <f>IFERROR(IF($B$11="W",CC23,CC22),"0")</f>
        <v>2</v>
      </c>
      <c r="CD32" s="12" t="s">
        <v>53</v>
      </c>
      <c r="CE32" s="33">
        <f>IFERROR(IF($B$11="W",CE23,CE22),"0")</f>
        <v>0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2</v>
      </c>
      <c r="CK32" s="33">
        <f t="shared" si="131"/>
        <v>12</v>
      </c>
      <c r="CL32" s="33">
        <f t="shared" si="131"/>
        <v>0</v>
      </c>
      <c r="CM32" s="33">
        <f t="shared" si="131"/>
        <v>0</v>
      </c>
      <c r="CN32" s="33">
        <f t="shared" si="131"/>
        <v>14</v>
      </c>
      <c r="CO32" s="33">
        <f t="shared" si="131"/>
        <v>6</v>
      </c>
      <c r="CP32" s="33">
        <f t="shared" si="131"/>
        <v>8</v>
      </c>
      <c r="CQ32" s="33">
        <f t="shared" si="131"/>
        <v>3</v>
      </c>
      <c r="CR32" s="33">
        <f t="shared" si="131"/>
        <v>4</v>
      </c>
      <c r="CS32" s="33">
        <f t="shared" si="131"/>
        <v>1</v>
      </c>
      <c r="CT32" s="33">
        <f t="shared" si="131"/>
        <v>7</v>
      </c>
      <c r="CU32" s="33">
        <f t="shared" si="131"/>
        <v>0</v>
      </c>
      <c r="CV32" s="58">
        <f t="shared" si="131"/>
        <v>39.85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32.509747897465033</v>
      </c>
      <c r="EW32" s="228" t="s">
        <v>79</v>
      </c>
      <c r="EX32" s="6">
        <f t="shared" si="94"/>
        <v>2.8499999999999996</v>
      </c>
      <c r="EY32" s="6">
        <f t="shared" si="95"/>
        <v>4</v>
      </c>
      <c r="EZ32" s="6">
        <f t="shared" si="125"/>
        <v>17.467749999999999</v>
      </c>
    </row>
    <row r="33" spans="3:156" x14ac:dyDescent="0.2">
      <c r="C33" s="228" t="s">
        <v>114</v>
      </c>
      <c r="D33" s="28">
        <f>IFERROR(IF(B12="W",D23,D22),"0")</f>
        <v>42.260000000000005</v>
      </c>
      <c r="E33" s="86">
        <f t="shared" si="96"/>
        <v>16</v>
      </c>
      <c r="F33" s="33" t="s">
        <v>52</v>
      </c>
      <c r="G33" s="49">
        <f t="shared" si="97"/>
        <v>26</v>
      </c>
      <c r="H33" s="12" t="s">
        <v>53</v>
      </c>
      <c r="I33" s="33">
        <f t="shared" si="98"/>
        <v>6</v>
      </c>
      <c r="J33" s="49" t="s">
        <v>54</v>
      </c>
      <c r="K33" s="12">
        <f t="shared" si="99"/>
        <v>10</v>
      </c>
      <c r="L33" s="33" t="s">
        <v>52</v>
      </c>
      <c r="M33" s="49">
        <f t="shared" si="100"/>
        <v>14</v>
      </c>
      <c r="N33" s="12" t="s">
        <v>53</v>
      </c>
      <c r="O33" s="33">
        <f t="shared" si="101"/>
        <v>2</v>
      </c>
      <c r="P33" s="49" t="s">
        <v>54</v>
      </c>
      <c r="Q33" s="12">
        <f t="shared" si="102"/>
        <v>1</v>
      </c>
      <c r="R33" s="33" t="s">
        <v>52</v>
      </c>
      <c r="S33" s="49">
        <f t="shared" si="103"/>
        <v>1</v>
      </c>
      <c r="T33" s="12" t="s">
        <v>53</v>
      </c>
      <c r="U33" s="33">
        <f t="shared" si="104"/>
        <v>0</v>
      </c>
      <c r="V33" s="49" t="s">
        <v>54</v>
      </c>
      <c r="W33" s="12">
        <f t="shared" si="105"/>
        <v>5</v>
      </c>
      <c r="X33" s="33" t="s">
        <v>52</v>
      </c>
      <c r="Y33" s="49">
        <f t="shared" si="106"/>
        <v>11</v>
      </c>
      <c r="Z33" s="12" t="s">
        <v>53</v>
      </c>
      <c r="AA33" s="33">
        <f t="shared" si="107"/>
        <v>4</v>
      </c>
      <c r="AB33" s="49" t="s">
        <v>54</v>
      </c>
      <c r="AC33" s="12">
        <f t="shared" si="108"/>
        <v>2.8499999999999996</v>
      </c>
      <c r="AD33" s="33" t="s">
        <v>52</v>
      </c>
      <c r="AE33" s="53">
        <f t="shared" si="109"/>
        <v>4</v>
      </c>
      <c r="AF33" s="12"/>
      <c r="AG33" s="43">
        <f t="shared" si="110"/>
        <v>14</v>
      </c>
      <c r="AH33" s="33" t="s">
        <v>52</v>
      </c>
      <c r="AI33" s="49">
        <f t="shared" si="111"/>
        <v>22</v>
      </c>
      <c r="AJ33" s="12" t="s">
        <v>53</v>
      </c>
      <c r="AK33" s="33">
        <f t="shared" si="112"/>
        <v>6</v>
      </c>
      <c r="AL33" s="49" t="s">
        <v>54</v>
      </c>
      <c r="AM33" s="12">
        <f t="shared" si="113"/>
        <v>8</v>
      </c>
      <c r="AN33" s="33" t="s">
        <v>52</v>
      </c>
      <c r="AO33" s="49">
        <f t="shared" si="114"/>
        <v>12</v>
      </c>
      <c r="AP33" s="12" t="s">
        <v>53</v>
      </c>
      <c r="AQ33" s="33">
        <f t="shared" si="115"/>
        <v>2</v>
      </c>
      <c r="AR33" s="49" t="s">
        <v>54</v>
      </c>
      <c r="AS33" s="12">
        <f t="shared" si="116"/>
        <v>1</v>
      </c>
      <c r="AT33" s="33" t="s">
        <v>52</v>
      </c>
      <c r="AU33" s="49">
        <f t="shared" si="117"/>
        <v>1</v>
      </c>
      <c r="AV33" s="12" t="s">
        <v>53</v>
      </c>
      <c r="AW33" s="33">
        <f t="shared" si="118"/>
        <v>0</v>
      </c>
      <c r="AX33" s="49" t="s">
        <v>54</v>
      </c>
      <c r="AY33" s="12">
        <f t="shared" si="119"/>
        <v>5</v>
      </c>
      <c r="AZ33" s="33" t="s">
        <v>52</v>
      </c>
      <c r="BA33" s="49">
        <f t="shared" si="120"/>
        <v>9</v>
      </c>
      <c r="BB33" s="12" t="s">
        <v>53</v>
      </c>
      <c r="BC33" s="33">
        <f t="shared" si="121"/>
        <v>4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2</v>
      </c>
      <c r="BJ33" s="33" t="s">
        <v>52</v>
      </c>
      <c r="BK33" s="49">
        <f>IFERROR(IF($B$12="W",BK23,BK22),"0")</f>
        <v>4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2</v>
      </c>
      <c r="BP33" s="33" t="s">
        <v>52</v>
      </c>
      <c r="BQ33" s="49">
        <f>IFERROR(IF($B$12="W",BQ23,BQ22),"0")</f>
        <v>2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0</v>
      </c>
      <c r="CB33" s="33" t="s">
        <v>52</v>
      </c>
      <c r="CC33" s="49">
        <f>IFERROR(IF($B$12="W",CC23,CC22),"0")</f>
        <v>2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2</v>
      </c>
      <c r="CK33" s="33">
        <f t="shared" si="132"/>
        <v>12</v>
      </c>
      <c r="CL33" s="33">
        <f t="shared" si="132"/>
        <v>0</v>
      </c>
      <c r="CM33" s="33">
        <f t="shared" si="132"/>
        <v>0</v>
      </c>
      <c r="CN33" s="33">
        <f t="shared" si="132"/>
        <v>14</v>
      </c>
      <c r="CO33" s="33">
        <f t="shared" si="132"/>
        <v>6</v>
      </c>
      <c r="CP33" s="33">
        <f t="shared" si="132"/>
        <v>8</v>
      </c>
      <c r="CQ33" s="33">
        <f t="shared" si="132"/>
        <v>3</v>
      </c>
      <c r="CR33" s="33">
        <f t="shared" si="132"/>
        <v>4</v>
      </c>
      <c r="CS33" s="33">
        <f t="shared" si="132"/>
        <v>1</v>
      </c>
      <c r="CT33" s="33">
        <f t="shared" si="132"/>
        <v>7</v>
      </c>
      <c r="CU33" s="33">
        <f t="shared" si="132"/>
        <v>0</v>
      </c>
      <c r="CV33" s="58">
        <f t="shared" si="132"/>
        <v>39.85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32.509747897465033</v>
      </c>
      <c r="EW33" s="228" t="s">
        <v>114</v>
      </c>
      <c r="EX33" s="6">
        <f t="shared" si="94"/>
        <v>2.8499999999999996</v>
      </c>
      <c r="EY33" s="6">
        <f t="shared" si="95"/>
        <v>4</v>
      </c>
      <c r="EZ33" s="6">
        <f t="shared" si="125"/>
        <v>17.467749999999999</v>
      </c>
    </row>
    <row r="34" spans="3:156" x14ac:dyDescent="0.2">
      <c r="C34" s="228" t="s">
        <v>223</v>
      </c>
      <c r="D34" s="28">
        <f>IFERROR(IF(B13="W",D23,D22),"0")</f>
        <v>42.260000000000005</v>
      </c>
      <c r="E34" s="86">
        <f t="shared" si="96"/>
        <v>16</v>
      </c>
      <c r="F34" s="33" t="s">
        <v>52</v>
      </c>
      <c r="G34" s="49">
        <f t="shared" si="97"/>
        <v>26</v>
      </c>
      <c r="H34" s="12" t="s">
        <v>53</v>
      </c>
      <c r="I34" s="33">
        <f t="shared" si="98"/>
        <v>6</v>
      </c>
      <c r="J34" s="49" t="s">
        <v>54</v>
      </c>
      <c r="K34" s="12">
        <f t="shared" si="99"/>
        <v>10</v>
      </c>
      <c r="L34" s="33" t="s">
        <v>52</v>
      </c>
      <c r="M34" s="49">
        <f t="shared" si="100"/>
        <v>14</v>
      </c>
      <c r="N34" s="12" t="s">
        <v>53</v>
      </c>
      <c r="O34" s="33">
        <f t="shared" si="101"/>
        <v>2</v>
      </c>
      <c r="P34" s="49" t="s">
        <v>54</v>
      </c>
      <c r="Q34" s="12">
        <f t="shared" si="102"/>
        <v>1</v>
      </c>
      <c r="R34" s="33" t="s">
        <v>52</v>
      </c>
      <c r="S34" s="49">
        <f t="shared" si="103"/>
        <v>1</v>
      </c>
      <c r="T34" s="12" t="s">
        <v>53</v>
      </c>
      <c r="U34" s="33">
        <f t="shared" si="104"/>
        <v>0</v>
      </c>
      <c r="V34" s="49" t="s">
        <v>54</v>
      </c>
      <c r="W34" s="12">
        <f t="shared" si="105"/>
        <v>5</v>
      </c>
      <c r="X34" s="33" t="s">
        <v>52</v>
      </c>
      <c r="Y34" s="49">
        <f t="shared" si="106"/>
        <v>11</v>
      </c>
      <c r="Z34" s="12" t="s">
        <v>53</v>
      </c>
      <c r="AA34" s="33">
        <f t="shared" si="107"/>
        <v>4</v>
      </c>
      <c r="AB34" s="49" t="s">
        <v>54</v>
      </c>
      <c r="AC34" s="12">
        <f t="shared" si="108"/>
        <v>2.8499999999999996</v>
      </c>
      <c r="AD34" s="33" t="s">
        <v>52</v>
      </c>
      <c r="AE34" s="53">
        <f t="shared" si="109"/>
        <v>4</v>
      </c>
      <c r="AF34" s="12"/>
      <c r="AG34" s="43">
        <f t="shared" si="110"/>
        <v>14</v>
      </c>
      <c r="AH34" s="33" t="s">
        <v>52</v>
      </c>
      <c r="AI34" s="49">
        <f t="shared" si="111"/>
        <v>22</v>
      </c>
      <c r="AJ34" s="12" t="s">
        <v>53</v>
      </c>
      <c r="AK34" s="33">
        <f t="shared" si="112"/>
        <v>6</v>
      </c>
      <c r="AL34" s="49" t="s">
        <v>54</v>
      </c>
      <c r="AM34" s="12">
        <f t="shared" si="113"/>
        <v>8</v>
      </c>
      <c r="AN34" s="33" t="s">
        <v>52</v>
      </c>
      <c r="AO34" s="49">
        <f t="shared" si="114"/>
        <v>12</v>
      </c>
      <c r="AP34" s="12" t="s">
        <v>53</v>
      </c>
      <c r="AQ34" s="33">
        <f t="shared" si="115"/>
        <v>2</v>
      </c>
      <c r="AR34" s="49" t="s">
        <v>54</v>
      </c>
      <c r="AS34" s="12">
        <f t="shared" si="116"/>
        <v>1</v>
      </c>
      <c r="AT34" s="33" t="s">
        <v>52</v>
      </c>
      <c r="AU34" s="49">
        <f t="shared" si="117"/>
        <v>1</v>
      </c>
      <c r="AV34" s="12" t="s">
        <v>53</v>
      </c>
      <c r="AW34" s="33">
        <f t="shared" si="118"/>
        <v>0</v>
      </c>
      <c r="AX34" s="49" t="s">
        <v>54</v>
      </c>
      <c r="AY34" s="12">
        <f t="shared" si="119"/>
        <v>5</v>
      </c>
      <c r="AZ34" s="33" t="s">
        <v>52</v>
      </c>
      <c r="BA34" s="49">
        <f t="shared" si="120"/>
        <v>9</v>
      </c>
      <c r="BB34" s="12" t="s">
        <v>53</v>
      </c>
      <c r="BC34" s="33">
        <f t="shared" si="121"/>
        <v>4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2</v>
      </c>
      <c r="BJ34" s="33" t="s">
        <v>52</v>
      </c>
      <c r="BK34" s="49">
        <f>IFERROR(IF($B$13="W",BK23,BK22),"0")</f>
        <v>4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2</v>
      </c>
      <c r="BP34" s="33" t="s">
        <v>52</v>
      </c>
      <c r="BQ34" s="49">
        <f>IFERROR(IF($B$13="W",BQ23,BQ22),"0")</f>
        <v>2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0</v>
      </c>
      <c r="CB34" s="33" t="s">
        <v>52</v>
      </c>
      <c r="CC34" s="49">
        <f>IFERROR(IF($B$13="W",CC23,CC22),"0")</f>
        <v>2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2</v>
      </c>
      <c r="CK34" s="33">
        <f t="shared" si="133"/>
        <v>12</v>
      </c>
      <c r="CL34" s="33">
        <f t="shared" si="133"/>
        <v>0</v>
      </c>
      <c r="CM34" s="33">
        <f t="shared" si="133"/>
        <v>0</v>
      </c>
      <c r="CN34" s="33">
        <f t="shared" si="133"/>
        <v>14</v>
      </c>
      <c r="CO34" s="33">
        <f t="shared" si="133"/>
        <v>6</v>
      </c>
      <c r="CP34" s="33">
        <f t="shared" si="133"/>
        <v>8</v>
      </c>
      <c r="CQ34" s="33">
        <f t="shared" si="133"/>
        <v>3</v>
      </c>
      <c r="CR34" s="33">
        <f t="shared" si="133"/>
        <v>4</v>
      </c>
      <c r="CS34" s="33">
        <f t="shared" si="133"/>
        <v>1</v>
      </c>
      <c r="CT34" s="33">
        <f t="shared" si="133"/>
        <v>7</v>
      </c>
      <c r="CU34" s="33">
        <f t="shared" si="133"/>
        <v>0</v>
      </c>
      <c r="CV34" s="58">
        <f t="shared" si="133"/>
        <v>39.85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32.509747897465033</v>
      </c>
      <c r="EW34" s="228" t="s">
        <v>223</v>
      </c>
      <c r="EX34" s="6">
        <f t="shared" si="94"/>
        <v>2.8499999999999996</v>
      </c>
      <c r="EY34" s="6">
        <f t="shared" si="95"/>
        <v>4</v>
      </c>
      <c r="EZ34" s="6">
        <f t="shared" si="125"/>
        <v>17.467749999999999</v>
      </c>
    </row>
    <row r="35" spans="3:156" x14ac:dyDescent="0.2">
      <c r="C35" s="228" t="s">
        <v>80</v>
      </c>
      <c r="D35" s="28">
        <f>IFERROR(IF(B14="W",D23,D22),"0")</f>
        <v>42.260000000000005</v>
      </c>
      <c r="E35" s="86">
        <f t="shared" si="96"/>
        <v>16</v>
      </c>
      <c r="F35" s="33" t="s">
        <v>52</v>
      </c>
      <c r="G35" s="49">
        <f t="shared" si="97"/>
        <v>26</v>
      </c>
      <c r="H35" s="12" t="s">
        <v>53</v>
      </c>
      <c r="I35" s="33">
        <f t="shared" si="98"/>
        <v>6</v>
      </c>
      <c r="J35" s="49" t="s">
        <v>54</v>
      </c>
      <c r="K35" s="12">
        <f t="shared" si="99"/>
        <v>10</v>
      </c>
      <c r="L35" s="33" t="s">
        <v>52</v>
      </c>
      <c r="M35" s="49">
        <f t="shared" si="100"/>
        <v>14</v>
      </c>
      <c r="N35" s="12" t="s">
        <v>53</v>
      </c>
      <c r="O35" s="33">
        <f t="shared" si="101"/>
        <v>2</v>
      </c>
      <c r="P35" s="49" t="s">
        <v>54</v>
      </c>
      <c r="Q35" s="12">
        <f t="shared" si="102"/>
        <v>1</v>
      </c>
      <c r="R35" s="33" t="s">
        <v>52</v>
      </c>
      <c r="S35" s="49">
        <f t="shared" si="103"/>
        <v>1</v>
      </c>
      <c r="T35" s="12" t="s">
        <v>53</v>
      </c>
      <c r="U35" s="33">
        <f t="shared" si="104"/>
        <v>0</v>
      </c>
      <c r="V35" s="49" t="s">
        <v>54</v>
      </c>
      <c r="W35" s="12">
        <f t="shared" si="105"/>
        <v>5</v>
      </c>
      <c r="X35" s="33" t="s">
        <v>52</v>
      </c>
      <c r="Y35" s="49">
        <f t="shared" si="106"/>
        <v>11</v>
      </c>
      <c r="Z35" s="12" t="s">
        <v>53</v>
      </c>
      <c r="AA35" s="33">
        <f t="shared" si="107"/>
        <v>4</v>
      </c>
      <c r="AB35" s="49" t="s">
        <v>54</v>
      </c>
      <c r="AC35" s="12">
        <f t="shared" si="108"/>
        <v>2.8499999999999996</v>
      </c>
      <c r="AD35" s="33" t="s">
        <v>52</v>
      </c>
      <c r="AE35" s="53">
        <f t="shared" si="109"/>
        <v>4</v>
      </c>
      <c r="AF35" s="12"/>
      <c r="AG35" s="43">
        <f t="shared" si="110"/>
        <v>14</v>
      </c>
      <c r="AH35" s="33" t="s">
        <v>52</v>
      </c>
      <c r="AI35" s="49">
        <f t="shared" si="111"/>
        <v>22</v>
      </c>
      <c r="AJ35" s="12" t="s">
        <v>53</v>
      </c>
      <c r="AK35" s="33">
        <f t="shared" si="112"/>
        <v>6</v>
      </c>
      <c r="AL35" s="49" t="s">
        <v>54</v>
      </c>
      <c r="AM35" s="12">
        <f t="shared" si="113"/>
        <v>8</v>
      </c>
      <c r="AN35" s="33" t="s">
        <v>52</v>
      </c>
      <c r="AO35" s="49">
        <f t="shared" si="114"/>
        <v>12</v>
      </c>
      <c r="AP35" s="12" t="s">
        <v>53</v>
      </c>
      <c r="AQ35" s="33">
        <f t="shared" si="115"/>
        <v>2</v>
      </c>
      <c r="AR35" s="49" t="s">
        <v>54</v>
      </c>
      <c r="AS35" s="12">
        <f t="shared" si="116"/>
        <v>1</v>
      </c>
      <c r="AT35" s="33" t="s">
        <v>52</v>
      </c>
      <c r="AU35" s="49">
        <f t="shared" si="117"/>
        <v>1</v>
      </c>
      <c r="AV35" s="12" t="s">
        <v>53</v>
      </c>
      <c r="AW35" s="33">
        <f t="shared" si="118"/>
        <v>0</v>
      </c>
      <c r="AX35" s="49" t="s">
        <v>54</v>
      </c>
      <c r="AY35" s="12">
        <f t="shared" si="119"/>
        <v>5</v>
      </c>
      <c r="AZ35" s="33" t="s">
        <v>52</v>
      </c>
      <c r="BA35" s="49">
        <f t="shared" si="120"/>
        <v>9</v>
      </c>
      <c r="BB35" s="12" t="s">
        <v>53</v>
      </c>
      <c r="BC35" s="33">
        <f t="shared" si="121"/>
        <v>4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2</v>
      </c>
      <c r="BJ35" s="12" t="str">
        <f t="shared" ref="BJ35:CI35" si="134">IFERROR(IF($B$14="W",BJ23,BJ22),"0")</f>
        <v>-</v>
      </c>
      <c r="BK35" s="49">
        <f t="shared" si="134"/>
        <v>4</v>
      </c>
      <c r="BL35" s="12" t="str">
        <f t="shared" si="134"/>
        <v>(</v>
      </c>
      <c r="BM35" s="33">
        <f t="shared" si="134"/>
        <v>0</v>
      </c>
      <c r="BN35" s="49" t="str">
        <f t="shared" si="134"/>
        <v>)</v>
      </c>
      <c r="BO35" s="12">
        <f t="shared" si="134"/>
        <v>2</v>
      </c>
      <c r="BP35" s="12" t="str">
        <f t="shared" si="134"/>
        <v>-</v>
      </c>
      <c r="BQ35" s="49">
        <f t="shared" si="134"/>
        <v>2</v>
      </c>
      <c r="BR35" s="12" t="str">
        <f t="shared" si="134"/>
        <v>(</v>
      </c>
      <c r="BS35" s="33">
        <f t="shared" si="134"/>
        <v>0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0</v>
      </c>
      <c r="CB35" s="12" t="str">
        <f t="shared" si="134"/>
        <v>-</v>
      </c>
      <c r="CC35" s="49">
        <f t="shared" si="134"/>
        <v>2</v>
      </c>
      <c r="CD35" s="12" t="str">
        <f t="shared" si="134"/>
        <v>(</v>
      </c>
      <c r="CE35" s="33">
        <f t="shared" si="134"/>
        <v>0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2</v>
      </c>
      <c r="CK35" s="33">
        <f t="shared" ref="CK35:CV35" si="135">IFERROR(IF($B$14="W",CK23,CK22),"0")</f>
        <v>12</v>
      </c>
      <c r="CL35" s="33">
        <f t="shared" si="135"/>
        <v>0</v>
      </c>
      <c r="CM35" s="33">
        <f t="shared" si="135"/>
        <v>0</v>
      </c>
      <c r="CN35" s="33">
        <f t="shared" si="135"/>
        <v>14</v>
      </c>
      <c r="CO35" s="33">
        <f t="shared" si="135"/>
        <v>6</v>
      </c>
      <c r="CP35" s="33">
        <f t="shared" si="135"/>
        <v>8</v>
      </c>
      <c r="CQ35" s="33">
        <f t="shared" si="135"/>
        <v>3</v>
      </c>
      <c r="CR35" s="33">
        <f t="shared" si="135"/>
        <v>4</v>
      </c>
      <c r="CS35" s="33">
        <f t="shared" si="135"/>
        <v>1</v>
      </c>
      <c r="CT35" s="33">
        <f t="shared" si="135"/>
        <v>7</v>
      </c>
      <c r="CU35" s="33">
        <f t="shared" si="135"/>
        <v>0</v>
      </c>
      <c r="CV35" s="33">
        <f t="shared" si="135"/>
        <v>39.85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32.509747897465033</v>
      </c>
      <c r="EW35" s="228" t="s">
        <v>80</v>
      </c>
      <c r="EX35" s="6">
        <f t="shared" si="94"/>
        <v>2.8499999999999996</v>
      </c>
      <c r="EY35" s="6">
        <f t="shared" si="95"/>
        <v>4</v>
      </c>
      <c r="EZ35" s="6">
        <f t="shared" si="125"/>
        <v>17.467749999999999</v>
      </c>
    </row>
    <row r="36" spans="3:156" x14ac:dyDescent="0.2">
      <c r="C36" s="228" t="s">
        <v>224</v>
      </c>
      <c r="D36" s="28">
        <f>IFERROR(IF(B15="W",D23,D22),"0")</f>
        <v>42.260000000000005</v>
      </c>
      <c r="E36" s="86">
        <f t="shared" si="96"/>
        <v>11</v>
      </c>
      <c r="F36" s="33" t="s">
        <v>52</v>
      </c>
      <c r="G36" s="49">
        <f t="shared" si="97"/>
        <v>26</v>
      </c>
      <c r="H36" s="12" t="s">
        <v>53</v>
      </c>
      <c r="I36" s="33">
        <f t="shared" si="98"/>
        <v>9</v>
      </c>
      <c r="J36" s="49" t="s">
        <v>54</v>
      </c>
      <c r="K36" s="12">
        <f t="shared" si="99"/>
        <v>5</v>
      </c>
      <c r="L36" s="33" t="s">
        <v>52</v>
      </c>
      <c r="M36" s="49">
        <f t="shared" si="100"/>
        <v>7</v>
      </c>
      <c r="N36" s="12" t="s">
        <v>53</v>
      </c>
      <c r="O36" s="33">
        <f t="shared" si="101"/>
        <v>3</v>
      </c>
      <c r="P36" s="49" t="s">
        <v>54</v>
      </c>
      <c r="Q36" s="12">
        <f t="shared" si="102"/>
        <v>0</v>
      </c>
      <c r="R36" s="33" t="s">
        <v>52</v>
      </c>
      <c r="S36" s="49">
        <f t="shared" si="103"/>
        <v>0</v>
      </c>
      <c r="T36" s="12" t="s">
        <v>53</v>
      </c>
      <c r="U36" s="33">
        <f t="shared" si="104"/>
        <v>0</v>
      </c>
      <c r="V36" s="49" t="s">
        <v>54</v>
      </c>
      <c r="W36" s="12">
        <f t="shared" si="105"/>
        <v>6</v>
      </c>
      <c r="X36" s="33" t="s">
        <v>52</v>
      </c>
      <c r="Y36" s="49">
        <f t="shared" si="106"/>
        <v>19</v>
      </c>
      <c r="Z36" s="12" t="s">
        <v>53</v>
      </c>
      <c r="AA36" s="33">
        <f t="shared" si="107"/>
        <v>6</v>
      </c>
      <c r="AB36" s="49" t="s">
        <v>54</v>
      </c>
      <c r="AC36" s="12">
        <f t="shared" si="108"/>
        <v>2.4</v>
      </c>
      <c r="AD36" s="33" t="s">
        <v>52</v>
      </c>
      <c r="AE36" s="53">
        <f t="shared" si="109"/>
        <v>3</v>
      </c>
      <c r="AF36" s="12"/>
      <c r="AG36" s="43">
        <f t="shared" si="110"/>
        <v>8</v>
      </c>
      <c r="AH36" s="33" t="s">
        <v>52</v>
      </c>
      <c r="AI36" s="49">
        <f t="shared" si="111"/>
        <v>21</v>
      </c>
      <c r="AJ36" s="12" t="s">
        <v>53</v>
      </c>
      <c r="AK36" s="33">
        <f t="shared" si="112"/>
        <v>7</v>
      </c>
      <c r="AL36" s="49" t="s">
        <v>54</v>
      </c>
      <c r="AM36" s="12">
        <f t="shared" si="113"/>
        <v>3</v>
      </c>
      <c r="AN36" s="33" t="s">
        <v>52</v>
      </c>
      <c r="AO36" s="49">
        <f t="shared" si="114"/>
        <v>5</v>
      </c>
      <c r="AP36" s="12" t="s">
        <v>53</v>
      </c>
      <c r="AQ36" s="33">
        <f t="shared" si="115"/>
        <v>2</v>
      </c>
      <c r="AR36" s="49" t="s">
        <v>54</v>
      </c>
      <c r="AS36" s="12">
        <f t="shared" si="116"/>
        <v>0</v>
      </c>
      <c r="AT36" s="33" t="s">
        <v>52</v>
      </c>
      <c r="AU36" s="49">
        <f t="shared" si="117"/>
        <v>0</v>
      </c>
      <c r="AV36" s="12" t="s">
        <v>53</v>
      </c>
      <c r="AW36" s="33">
        <f t="shared" si="118"/>
        <v>0</v>
      </c>
      <c r="AX36" s="49" t="s">
        <v>54</v>
      </c>
      <c r="AY36" s="12">
        <f t="shared" si="119"/>
        <v>5</v>
      </c>
      <c r="AZ36" s="33" t="s">
        <v>52</v>
      </c>
      <c r="BA36" s="49">
        <f t="shared" si="120"/>
        <v>16</v>
      </c>
      <c r="BB36" s="12" t="s">
        <v>53</v>
      </c>
      <c r="BC36" s="33">
        <f t="shared" si="121"/>
        <v>5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3</v>
      </c>
      <c r="BJ36" s="12" t="str">
        <f t="shared" ref="BJ36:CI36" si="136">IFERROR(IF($B$15="W",BJ23,BJ22),"0")</f>
        <v>-</v>
      </c>
      <c r="BK36" s="49">
        <f t="shared" si="136"/>
        <v>5</v>
      </c>
      <c r="BL36" s="12" t="str">
        <f t="shared" si="136"/>
        <v>(</v>
      </c>
      <c r="BM36" s="33">
        <f t="shared" si="136"/>
        <v>2</v>
      </c>
      <c r="BN36" s="49" t="str">
        <f t="shared" si="136"/>
        <v>)</v>
      </c>
      <c r="BO36" s="12">
        <f t="shared" si="136"/>
        <v>2</v>
      </c>
      <c r="BP36" s="12" t="str">
        <f t="shared" si="136"/>
        <v>-</v>
      </c>
      <c r="BQ36" s="49">
        <f t="shared" si="136"/>
        <v>2</v>
      </c>
      <c r="BR36" s="12" t="str">
        <f t="shared" si="136"/>
        <v>(</v>
      </c>
      <c r="BS36" s="33">
        <f t="shared" si="136"/>
        <v>1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0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1</v>
      </c>
      <c r="CB36" s="12" t="str">
        <f t="shared" si="136"/>
        <v>-</v>
      </c>
      <c r="CC36" s="49">
        <f t="shared" si="136"/>
        <v>3</v>
      </c>
      <c r="CD36" s="12" t="str">
        <f t="shared" si="136"/>
        <v>(</v>
      </c>
      <c r="CE36" s="33">
        <f t="shared" si="136"/>
        <v>1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2</v>
      </c>
      <c r="CK36" s="33">
        <f t="shared" ref="CK36:CV36" si="137">IFERROR(IF($B$15="W",CK23,CK22),"0")</f>
        <v>9</v>
      </c>
      <c r="CL36" s="33">
        <f t="shared" si="137"/>
        <v>0</v>
      </c>
      <c r="CM36" s="33">
        <f t="shared" si="137"/>
        <v>0</v>
      </c>
      <c r="CN36" s="33">
        <f t="shared" si="137"/>
        <v>11</v>
      </c>
      <c r="CO36" s="33">
        <f t="shared" si="137"/>
        <v>9</v>
      </c>
      <c r="CP36" s="33">
        <f t="shared" si="137"/>
        <v>12</v>
      </c>
      <c r="CQ36" s="33">
        <f t="shared" si="137"/>
        <v>4</v>
      </c>
      <c r="CR36" s="33">
        <f t="shared" si="137"/>
        <v>3</v>
      </c>
      <c r="CS36" s="33">
        <f t="shared" si="137"/>
        <v>4</v>
      </c>
      <c r="CT36" s="33">
        <f t="shared" si="137"/>
        <v>7</v>
      </c>
      <c r="CU36" s="33">
        <f t="shared" si="137"/>
        <v>2</v>
      </c>
      <c r="CV36" s="33">
        <f t="shared" si="137"/>
        <v>30.4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30.792311252170386</v>
      </c>
      <c r="EW36" s="228" t="s">
        <v>224</v>
      </c>
      <c r="EX36" s="6">
        <f t="shared" si="94"/>
        <v>2.4</v>
      </c>
      <c r="EY36" s="6">
        <f t="shared" si="95"/>
        <v>3</v>
      </c>
      <c r="EZ36" s="6">
        <f t="shared" si="125"/>
        <v>12.151999999999999</v>
      </c>
    </row>
    <row r="37" spans="3:156" x14ac:dyDescent="0.2">
      <c r="C37" s="228" t="s">
        <v>112</v>
      </c>
      <c r="D37" s="28">
        <f>IFERROR(IF(B16="W",D23,D22),"0")</f>
        <v>42.260000000000005</v>
      </c>
      <c r="E37" s="86">
        <f t="shared" si="96"/>
        <v>11</v>
      </c>
      <c r="F37" s="33" t="s">
        <v>52</v>
      </c>
      <c r="G37" s="49">
        <f t="shared" si="97"/>
        <v>26</v>
      </c>
      <c r="H37" s="12" t="s">
        <v>53</v>
      </c>
      <c r="I37" s="33">
        <f t="shared" si="98"/>
        <v>9</v>
      </c>
      <c r="J37" s="49" t="s">
        <v>54</v>
      </c>
      <c r="K37" s="12">
        <f t="shared" si="99"/>
        <v>5</v>
      </c>
      <c r="L37" s="33" t="s">
        <v>52</v>
      </c>
      <c r="M37" s="49">
        <f t="shared" si="100"/>
        <v>7</v>
      </c>
      <c r="N37" s="12" t="s">
        <v>53</v>
      </c>
      <c r="O37" s="33">
        <f t="shared" si="101"/>
        <v>3</v>
      </c>
      <c r="P37" s="49" t="s">
        <v>54</v>
      </c>
      <c r="Q37" s="12">
        <f t="shared" si="102"/>
        <v>0</v>
      </c>
      <c r="R37" s="33" t="s">
        <v>52</v>
      </c>
      <c r="S37" s="49">
        <f t="shared" si="103"/>
        <v>0</v>
      </c>
      <c r="T37" s="12" t="s">
        <v>53</v>
      </c>
      <c r="U37" s="33">
        <f t="shared" si="104"/>
        <v>0</v>
      </c>
      <c r="V37" s="49" t="s">
        <v>54</v>
      </c>
      <c r="W37" s="12">
        <f t="shared" si="105"/>
        <v>6</v>
      </c>
      <c r="X37" s="33" t="s">
        <v>52</v>
      </c>
      <c r="Y37" s="49">
        <f t="shared" si="106"/>
        <v>19</v>
      </c>
      <c r="Z37" s="12" t="s">
        <v>53</v>
      </c>
      <c r="AA37" s="33">
        <f t="shared" si="107"/>
        <v>6</v>
      </c>
      <c r="AB37" s="49" t="s">
        <v>54</v>
      </c>
      <c r="AC37" s="12">
        <f t="shared" si="108"/>
        <v>2.4</v>
      </c>
      <c r="AD37" s="33" t="s">
        <v>52</v>
      </c>
      <c r="AE37" s="53">
        <f t="shared" si="109"/>
        <v>3</v>
      </c>
      <c r="AF37" s="12"/>
      <c r="AG37" s="43">
        <f t="shared" si="110"/>
        <v>8</v>
      </c>
      <c r="AH37" s="33" t="s">
        <v>52</v>
      </c>
      <c r="AI37" s="49">
        <f t="shared" si="111"/>
        <v>21</v>
      </c>
      <c r="AJ37" s="12" t="s">
        <v>53</v>
      </c>
      <c r="AK37" s="33">
        <f t="shared" si="112"/>
        <v>7</v>
      </c>
      <c r="AL37" s="49" t="s">
        <v>54</v>
      </c>
      <c r="AM37" s="12">
        <f t="shared" si="113"/>
        <v>3</v>
      </c>
      <c r="AN37" s="33" t="s">
        <v>52</v>
      </c>
      <c r="AO37" s="49">
        <f t="shared" si="114"/>
        <v>5</v>
      </c>
      <c r="AP37" s="12" t="s">
        <v>53</v>
      </c>
      <c r="AQ37" s="33">
        <f t="shared" si="115"/>
        <v>2</v>
      </c>
      <c r="AR37" s="49" t="s">
        <v>54</v>
      </c>
      <c r="AS37" s="12">
        <f t="shared" si="116"/>
        <v>0</v>
      </c>
      <c r="AT37" s="33" t="s">
        <v>52</v>
      </c>
      <c r="AU37" s="49">
        <f t="shared" si="117"/>
        <v>0</v>
      </c>
      <c r="AV37" s="12" t="s">
        <v>53</v>
      </c>
      <c r="AW37" s="33">
        <f t="shared" si="118"/>
        <v>0</v>
      </c>
      <c r="AX37" s="49" t="s">
        <v>54</v>
      </c>
      <c r="AY37" s="12">
        <f t="shared" si="119"/>
        <v>5</v>
      </c>
      <c r="AZ37" s="33" t="s">
        <v>52</v>
      </c>
      <c r="BA37" s="49">
        <f t="shared" si="120"/>
        <v>16</v>
      </c>
      <c r="BB37" s="12" t="s">
        <v>53</v>
      </c>
      <c r="BC37" s="33">
        <f t="shared" si="121"/>
        <v>5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3</v>
      </c>
      <c r="BJ37" s="12" t="str">
        <f t="shared" ref="BJ37:CI37" si="138">IFERROR(IF($B$16="W",BJ23,BJ22),"0")</f>
        <v>-</v>
      </c>
      <c r="BK37" s="49">
        <f t="shared" si="138"/>
        <v>5</v>
      </c>
      <c r="BL37" s="12" t="str">
        <f t="shared" si="138"/>
        <v>(</v>
      </c>
      <c r="BM37" s="33">
        <f t="shared" si="138"/>
        <v>2</v>
      </c>
      <c r="BN37" s="49" t="str">
        <f t="shared" si="138"/>
        <v>)</v>
      </c>
      <c r="BO37" s="12">
        <f t="shared" si="138"/>
        <v>2</v>
      </c>
      <c r="BP37" s="12" t="str">
        <f t="shared" si="138"/>
        <v>-</v>
      </c>
      <c r="BQ37" s="49">
        <f t="shared" si="138"/>
        <v>2</v>
      </c>
      <c r="BR37" s="12" t="str">
        <f t="shared" si="138"/>
        <v>(</v>
      </c>
      <c r="BS37" s="33">
        <f t="shared" si="138"/>
        <v>1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0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1</v>
      </c>
      <c r="CB37" s="12" t="str">
        <f t="shared" si="138"/>
        <v>-</v>
      </c>
      <c r="CC37" s="49">
        <f t="shared" si="138"/>
        <v>3</v>
      </c>
      <c r="CD37" s="12" t="str">
        <f t="shared" si="138"/>
        <v>(</v>
      </c>
      <c r="CE37" s="33">
        <f t="shared" si="138"/>
        <v>1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2</v>
      </c>
      <c r="CK37" s="33">
        <f t="shared" ref="CK37:CV37" si="139">IFERROR(IF($B$16="W",CK23,CK22),"0")</f>
        <v>9</v>
      </c>
      <c r="CL37" s="33">
        <f t="shared" si="139"/>
        <v>0</v>
      </c>
      <c r="CM37" s="33">
        <f t="shared" si="139"/>
        <v>0</v>
      </c>
      <c r="CN37" s="33">
        <f t="shared" si="139"/>
        <v>11</v>
      </c>
      <c r="CO37" s="33">
        <f t="shared" si="139"/>
        <v>9</v>
      </c>
      <c r="CP37" s="33">
        <f t="shared" si="139"/>
        <v>12</v>
      </c>
      <c r="CQ37" s="33">
        <f t="shared" si="139"/>
        <v>4</v>
      </c>
      <c r="CR37" s="33">
        <f t="shared" si="139"/>
        <v>3</v>
      </c>
      <c r="CS37" s="33">
        <f t="shared" si="139"/>
        <v>4</v>
      </c>
      <c r="CT37" s="33">
        <f t="shared" si="139"/>
        <v>7</v>
      </c>
      <c r="CU37" s="33">
        <f t="shared" si="139"/>
        <v>2</v>
      </c>
      <c r="CV37" s="33">
        <f t="shared" si="139"/>
        <v>30.4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30.792311252170386</v>
      </c>
      <c r="EW37" s="228" t="s">
        <v>112</v>
      </c>
      <c r="EX37" s="6">
        <f t="shared" si="94"/>
        <v>2.4</v>
      </c>
      <c r="EY37" s="6">
        <f t="shared" si="95"/>
        <v>3</v>
      </c>
      <c r="EZ37" s="6">
        <f>IFERROR(IF(B16="W",$EZ$23,$EZ$22),"0")</f>
        <v>12.151999999999999</v>
      </c>
    </row>
    <row r="38" spans="3:156" x14ac:dyDescent="0.2">
      <c r="C38" s="229" t="s">
        <v>81</v>
      </c>
      <c r="D38" s="28">
        <f>IFERROR(IF(B17="W",D23,D22),"0")</f>
        <v>42.260000000000005</v>
      </c>
      <c r="E38" s="86">
        <f t="shared" si="96"/>
        <v>16</v>
      </c>
      <c r="F38" s="33" t="s">
        <v>52</v>
      </c>
      <c r="G38" s="49">
        <f t="shared" si="97"/>
        <v>26</v>
      </c>
      <c r="H38" s="12" t="s">
        <v>53</v>
      </c>
      <c r="I38" s="33">
        <f t="shared" si="98"/>
        <v>6</v>
      </c>
      <c r="J38" s="49" t="s">
        <v>54</v>
      </c>
      <c r="K38" s="12">
        <f t="shared" si="99"/>
        <v>10</v>
      </c>
      <c r="L38" s="33" t="s">
        <v>52</v>
      </c>
      <c r="M38" s="49">
        <f t="shared" si="100"/>
        <v>14</v>
      </c>
      <c r="N38" s="12" t="s">
        <v>53</v>
      </c>
      <c r="O38" s="33">
        <f t="shared" si="101"/>
        <v>2</v>
      </c>
      <c r="P38" s="49" t="s">
        <v>54</v>
      </c>
      <c r="Q38" s="12">
        <f t="shared" si="102"/>
        <v>1</v>
      </c>
      <c r="R38" s="33" t="s">
        <v>52</v>
      </c>
      <c r="S38" s="49">
        <f t="shared" si="103"/>
        <v>1</v>
      </c>
      <c r="T38" s="12" t="s">
        <v>53</v>
      </c>
      <c r="U38" s="33">
        <f t="shared" si="104"/>
        <v>0</v>
      </c>
      <c r="V38" s="49" t="s">
        <v>54</v>
      </c>
      <c r="W38" s="12">
        <f t="shared" si="105"/>
        <v>5</v>
      </c>
      <c r="X38" s="33" t="s">
        <v>52</v>
      </c>
      <c r="Y38" s="49">
        <f t="shared" si="106"/>
        <v>11</v>
      </c>
      <c r="Z38" s="12" t="s">
        <v>53</v>
      </c>
      <c r="AA38" s="33">
        <f t="shared" si="107"/>
        <v>4</v>
      </c>
      <c r="AB38" s="49" t="s">
        <v>54</v>
      </c>
      <c r="AC38" s="12">
        <f t="shared" si="108"/>
        <v>2.8499999999999996</v>
      </c>
      <c r="AD38" s="33" t="s">
        <v>52</v>
      </c>
      <c r="AE38" s="53">
        <f t="shared" si="109"/>
        <v>4</v>
      </c>
      <c r="AF38" s="12"/>
      <c r="AG38" s="43">
        <f t="shared" si="110"/>
        <v>14</v>
      </c>
      <c r="AH38" s="33" t="s">
        <v>52</v>
      </c>
      <c r="AI38" s="49">
        <f t="shared" si="111"/>
        <v>22</v>
      </c>
      <c r="AJ38" s="12" t="s">
        <v>53</v>
      </c>
      <c r="AK38" s="33">
        <f t="shared" si="112"/>
        <v>6</v>
      </c>
      <c r="AL38" s="49" t="s">
        <v>54</v>
      </c>
      <c r="AM38" s="12">
        <f t="shared" si="113"/>
        <v>8</v>
      </c>
      <c r="AN38" s="33" t="s">
        <v>52</v>
      </c>
      <c r="AO38" s="49">
        <f t="shared" si="114"/>
        <v>12</v>
      </c>
      <c r="AP38" s="12" t="s">
        <v>53</v>
      </c>
      <c r="AQ38" s="33">
        <f t="shared" si="115"/>
        <v>2</v>
      </c>
      <c r="AR38" s="49" t="s">
        <v>54</v>
      </c>
      <c r="AS38" s="12">
        <f t="shared" si="116"/>
        <v>1</v>
      </c>
      <c r="AT38" s="33" t="s">
        <v>52</v>
      </c>
      <c r="AU38" s="49">
        <f t="shared" si="117"/>
        <v>1</v>
      </c>
      <c r="AV38" s="12" t="s">
        <v>53</v>
      </c>
      <c r="AW38" s="33">
        <f t="shared" si="118"/>
        <v>0</v>
      </c>
      <c r="AX38" s="49" t="s">
        <v>54</v>
      </c>
      <c r="AY38" s="12">
        <f t="shared" si="119"/>
        <v>5</v>
      </c>
      <c r="AZ38" s="33" t="s">
        <v>52</v>
      </c>
      <c r="BA38" s="49">
        <f t="shared" si="120"/>
        <v>9</v>
      </c>
      <c r="BB38" s="12" t="s">
        <v>53</v>
      </c>
      <c r="BC38" s="33">
        <f t="shared" si="121"/>
        <v>4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2</v>
      </c>
      <c r="BJ38" s="12" t="str">
        <f t="shared" ref="BJ38:CI38" si="140">IFERROR(IF($B$17="W",BJ23,BJ22),"0")</f>
        <v>-</v>
      </c>
      <c r="BK38" s="49">
        <f t="shared" si="140"/>
        <v>4</v>
      </c>
      <c r="BL38" s="12" t="str">
        <f t="shared" si="140"/>
        <v>(</v>
      </c>
      <c r="BM38" s="33">
        <f t="shared" si="140"/>
        <v>0</v>
      </c>
      <c r="BN38" s="49" t="str">
        <f t="shared" si="140"/>
        <v>)</v>
      </c>
      <c r="BO38" s="12">
        <f t="shared" si="140"/>
        <v>2</v>
      </c>
      <c r="BP38" s="12" t="str">
        <f t="shared" si="140"/>
        <v>-</v>
      </c>
      <c r="BQ38" s="49">
        <f t="shared" si="140"/>
        <v>2</v>
      </c>
      <c r="BR38" s="12" t="str">
        <f t="shared" si="140"/>
        <v>(</v>
      </c>
      <c r="BS38" s="33">
        <f t="shared" si="140"/>
        <v>0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0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0</v>
      </c>
      <c r="CB38" s="12" t="str">
        <f t="shared" si="140"/>
        <v>-</v>
      </c>
      <c r="CC38" s="49">
        <f t="shared" si="140"/>
        <v>2</v>
      </c>
      <c r="CD38" s="12" t="str">
        <f t="shared" si="140"/>
        <v>(</v>
      </c>
      <c r="CE38" s="33">
        <f t="shared" si="140"/>
        <v>0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2</v>
      </c>
      <c r="CK38" s="33">
        <f t="shared" ref="CK38:CV38" si="141">IFERROR(IF($B$17="W",CK23,CK22),"0")</f>
        <v>12</v>
      </c>
      <c r="CL38" s="33">
        <f t="shared" si="141"/>
        <v>0</v>
      </c>
      <c r="CM38" s="33">
        <f t="shared" si="141"/>
        <v>0</v>
      </c>
      <c r="CN38" s="33">
        <f t="shared" si="141"/>
        <v>14</v>
      </c>
      <c r="CO38" s="33">
        <f t="shared" si="141"/>
        <v>6</v>
      </c>
      <c r="CP38" s="33">
        <f t="shared" si="141"/>
        <v>8</v>
      </c>
      <c r="CQ38" s="33">
        <f t="shared" si="141"/>
        <v>3</v>
      </c>
      <c r="CR38" s="33">
        <f t="shared" si="141"/>
        <v>4</v>
      </c>
      <c r="CS38" s="33">
        <f t="shared" si="141"/>
        <v>1</v>
      </c>
      <c r="CT38" s="33">
        <f t="shared" si="141"/>
        <v>7</v>
      </c>
      <c r="CU38" s="33">
        <f t="shared" si="141"/>
        <v>0</v>
      </c>
      <c r="CV38" s="33">
        <f t="shared" si="141"/>
        <v>39.85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32.509747897465033</v>
      </c>
      <c r="EW38" s="229" t="s">
        <v>81</v>
      </c>
      <c r="EX38" s="6">
        <f t="shared" si="94"/>
        <v>2.8499999999999996</v>
      </c>
      <c r="EY38" s="6">
        <f t="shared" si="95"/>
        <v>4</v>
      </c>
      <c r="EZ38" s="6">
        <f t="shared" si="125"/>
        <v>17.467749999999999</v>
      </c>
    </row>
    <row r="39" spans="3:156" x14ac:dyDescent="0.2">
      <c r="C39" s="229" t="s">
        <v>225</v>
      </c>
      <c r="D39" s="28">
        <f>IFERROR(IF(B18="W",D23,D22),"0")</f>
        <v>42.260000000000005</v>
      </c>
      <c r="E39" s="86">
        <f t="shared" si="96"/>
        <v>11</v>
      </c>
      <c r="F39" s="33" t="s">
        <v>52</v>
      </c>
      <c r="G39" s="49">
        <f t="shared" si="97"/>
        <v>26</v>
      </c>
      <c r="H39" s="12" t="s">
        <v>53</v>
      </c>
      <c r="I39" s="33">
        <f t="shared" si="98"/>
        <v>9</v>
      </c>
      <c r="J39" s="49" t="s">
        <v>54</v>
      </c>
      <c r="K39" s="12">
        <f t="shared" si="99"/>
        <v>5</v>
      </c>
      <c r="L39" s="33" t="s">
        <v>52</v>
      </c>
      <c r="M39" s="49">
        <f t="shared" si="100"/>
        <v>7</v>
      </c>
      <c r="N39" s="12" t="s">
        <v>53</v>
      </c>
      <c r="O39" s="33">
        <f t="shared" si="101"/>
        <v>3</v>
      </c>
      <c r="P39" s="49" t="s">
        <v>54</v>
      </c>
      <c r="Q39" s="12">
        <f t="shared" si="102"/>
        <v>0</v>
      </c>
      <c r="R39" s="33" t="s">
        <v>52</v>
      </c>
      <c r="S39" s="49">
        <f t="shared" si="103"/>
        <v>0</v>
      </c>
      <c r="T39" s="12" t="s">
        <v>53</v>
      </c>
      <c r="U39" s="33">
        <f t="shared" si="104"/>
        <v>0</v>
      </c>
      <c r="V39" s="49" t="s">
        <v>54</v>
      </c>
      <c r="W39" s="12">
        <f t="shared" si="105"/>
        <v>6</v>
      </c>
      <c r="X39" s="33" t="s">
        <v>52</v>
      </c>
      <c r="Y39" s="49">
        <f t="shared" si="106"/>
        <v>19</v>
      </c>
      <c r="Z39" s="12" t="s">
        <v>53</v>
      </c>
      <c r="AA39" s="33">
        <f t="shared" si="107"/>
        <v>6</v>
      </c>
      <c r="AB39" s="49" t="s">
        <v>54</v>
      </c>
      <c r="AC39" s="12">
        <f t="shared" si="108"/>
        <v>2.4</v>
      </c>
      <c r="AD39" s="33" t="s">
        <v>52</v>
      </c>
      <c r="AE39" s="53">
        <f t="shared" si="109"/>
        <v>3</v>
      </c>
      <c r="AF39" s="12"/>
      <c r="AG39" s="43">
        <f t="shared" si="110"/>
        <v>8</v>
      </c>
      <c r="AH39" s="33" t="s">
        <v>52</v>
      </c>
      <c r="AI39" s="49">
        <f t="shared" si="111"/>
        <v>21</v>
      </c>
      <c r="AJ39" s="12" t="s">
        <v>53</v>
      </c>
      <c r="AK39" s="33">
        <f t="shared" si="112"/>
        <v>7</v>
      </c>
      <c r="AL39" s="49" t="s">
        <v>54</v>
      </c>
      <c r="AM39" s="12">
        <f t="shared" si="113"/>
        <v>3</v>
      </c>
      <c r="AN39" s="33" t="s">
        <v>52</v>
      </c>
      <c r="AO39" s="49">
        <f t="shared" si="114"/>
        <v>5</v>
      </c>
      <c r="AP39" s="12" t="s">
        <v>53</v>
      </c>
      <c r="AQ39" s="33">
        <f t="shared" si="115"/>
        <v>2</v>
      </c>
      <c r="AR39" s="49" t="s">
        <v>54</v>
      </c>
      <c r="AS39" s="12">
        <f t="shared" si="116"/>
        <v>0</v>
      </c>
      <c r="AT39" s="33" t="s">
        <v>52</v>
      </c>
      <c r="AU39" s="49">
        <f t="shared" si="117"/>
        <v>0</v>
      </c>
      <c r="AV39" s="12" t="s">
        <v>53</v>
      </c>
      <c r="AW39" s="33">
        <f t="shared" si="118"/>
        <v>0</v>
      </c>
      <c r="AX39" s="49" t="s">
        <v>54</v>
      </c>
      <c r="AY39" s="12">
        <f t="shared" si="119"/>
        <v>5</v>
      </c>
      <c r="AZ39" s="33" t="s">
        <v>52</v>
      </c>
      <c r="BA39" s="49">
        <f t="shared" si="120"/>
        <v>16</v>
      </c>
      <c r="BB39" s="12" t="s">
        <v>53</v>
      </c>
      <c r="BC39" s="33">
        <f t="shared" si="121"/>
        <v>5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3</v>
      </c>
      <c r="BJ39" s="12" t="str">
        <f t="shared" ref="BJ39:CI39" si="142">IFERROR(IF($B$18="W",BJ23,BJ22),"0")</f>
        <v>-</v>
      </c>
      <c r="BK39" s="49">
        <f t="shared" si="142"/>
        <v>5</v>
      </c>
      <c r="BL39" s="12" t="str">
        <f t="shared" si="142"/>
        <v>(</v>
      </c>
      <c r="BM39" s="33">
        <f t="shared" si="142"/>
        <v>2</v>
      </c>
      <c r="BN39" s="49" t="str">
        <f t="shared" si="142"/>
        <v>)</v>
      </c>
      <c r="BO39" s="12">
        <f t="shared" si="142"/>
        <v>2</v>
      </c>
      <c r="BP39" s="12" t="str">
        <f t="shared" si="142"/>
        <v>-</v>
      </c>
      <c r="BQ39" s="49">
        <f t="shared" si="142"/>
        <v>2</v>
      </c>
      <c r="BR39" s="12" t="str">
        <f t="shared" si="142"/>
        <v>(</v>
      </c>
      <c r="BS39" s="33">
        <f t="shared" si="142"/>
        <v>1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1</v>
      </c>
      <c r="CB39" s="12" t="str">
        <f t="shared" si="142"/>
        <v>-</v>
      </c>
      <c r="CC39" s="49">
        <f t="shared" si="142"/>
        <v>3</v>
      </c>
      <c r="CD39" s="12" t="str">
        <f t="shared" si="142"/>
        <v>(</v>
      </c>
      <c r="CE39" s="33">
        <f t="shared" si="142"/>
        <v>1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2</v>
      </c>
      <c r="CK39" s="33">
        <f t="shared" ref="CK39:CV39" si="143">IFERROR(IF($B$18="W",CK23,CK22),"0")</f>
        <v>9</v>
      </c>
      <c r="CL39" s="33">
        <f t="shared" si="143"/>
        <v>0</v>
      </c>
      <c r="CM39" s="33">
        <f t="shared" si="143"/>
        <v>0</v>
      </c>
      <c r="CN39" s="33">
        <f t="shared" si="143"/>
        <v>11</v>
      </c>
      <c r="CO39" s="33">
        <f t="shared" si="143"/>
        <v>9</v>
      </c>
      <c r="CP39" s="33">
        <f t="shared" si="143"/>
        <v>12</v>
      </c>
      <c r="CQ39" s="33">
        <f t="shared" si="143"/>
        <v>4</v>
      </c>
      <c r="CR39" s="33">
        <f t="shared" si="143"/>
        <v>3</v>
      </c>
      <c r="CS39" s="33">
        <f t="shared" si="143"/>
        <v>4</v>
      </c>
      <c r="CT39" s="33">
        <f t="shared" si="143"/>
        <v>7</v>
      </c>
      <c r="CU39" s="33">
        <f t="shared" si="143"/>
        <v>2</v>
      </c>
      <c r="CV39" s="33">
        <f t="shared" si="143"/>
        <v>30.4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30.792311252170386</v>
      </c>
      <c r="EW39" s="229" t="s">
        <v>225</v>
      </c>
      <c r="EX39" s="6">
        <f t="shared" si="94"/>
        <v>2.4</v>
      </c>
      <c r="EY39" s="6">
        <f t="shared" si="95"/>
        <v>3</v>
      </c>
      <c r="EZ39" s="6">
        <f t="shared" si="125"/>
        <v>12.151999999999999</v>
      </c>
    </row>
    <row r="40" spans="3:156" x14ac:dyDescent="0.2">
      <c r="C40" s="38" t="s">
        <v>42</v>
      </c>
      <c r="D40" s="28">
        <f t="shared" ref="D40:D54" si="144">IFERROR(IF(B4="W",D$22,D$23),"0")</f>
        <v>42.260000000000005</v>
      </c>
      <c r="E40" s="86">
        <f>IFERROR(IF(B4="W",$E$22,$E$23),"0")</f>
        <v>16</v>
      </c>
      <c r="F40" s="33" t="s">
        <v>52</v>
      </c>
      <c r="G40" s="49">
        <f>IFERROR(IF(B4="W",$G$22,$G$23),"0")</f>
        <v>26</v>
      </c>
      <c r="H40" s="12" t="s">
        <v>53</v>
      </c>
      <c r="I40" s="33">
        <f>IFERROR(IF(B4="W",I$22,I$23),"0")</f>
        <v>6</v>
      </c>
      <c r="J40" s="49" t="s">
        <v>54</v>
      </c>
      <c r="K40" s="12">
        <f>IFERROR(IF(B4="W",K$22,K$23),"0")</f>
        <v>10</v>
      </c>
      <c r="L40" s="33" t="s">
        <v>52</v>
      </c>
      <c r="M40" s="49">
        <f>IFERROR(IF(B4="W",M$22,M$23),"0")</f>
        <v>14</v>
      </c>
      <c r="N40" s="12" t="s">
        <v>53</v>
      </c>
      <c r="O40" s="33">
        <f>IFERROR(IF(B4="W",O$22,O$23),"0")</f>
        <v>2</v>
      </c>
      <c r="P40" s="49" t="s">
        <v>54</v>
      </c>
      <c r="Q40" s="12">
        <f>IFERROR(IF(B4="W",Q$22,Q$23),"0")</f>
        <v>1</v>
      </c>
      <c r="R40" s="33" t="s">
        <v>52</v>
      </c>
      <c r="S40" s="49">
        <f>IFERROR(IF(B4="W",S$22,S$23),"0")</f>
        <v>1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5</v>
      </c>
      <c r="X40" s="33" t="s">
        <v>52</v>
      </c>
      <c r="Y40" s="49">
        <f>IFERROR(IF(B4="W",Y$22,Y$23),"0")</f>
        <v>11</v>
      </c>
      <c r="Z40" s="12" t="s">
        <v>53</v>
      </c>
      <c r="AA40" s="33">
        <f>IFERROR(IF(B4="W",AA$22,AA$23),"0")</f>
        <v>4</v>
      </c>
      <c r="AB40" s="49" t="s">
        <v>54</v>
      </c>
      <c r="AC40" s="12">
        <f>IFERROR(IF(B4="W",AC$22,AC$23),"0")</f>
        <v>2.8499999999999996</v>
      </c>
      <c r="AD40" s="33" t="s">
        <v>52</v>
      </c>
      <c r="AE40" s="53">
        <f>IFERROR(IF(B4="W",AE$22,AE$23),"0")</f>
        <v>4</v>
      </c>
      <c r="AF40" s="12"/>
      <c r="AG40" s="43">
        <f>IFERROR(IF(B4="W",AG$22,AG$23),"0")</f>
        <v>14</v>
      </c>
      <c r="AH40" s="33" t="s">
        <v>52</v>
      </c>
      <c r="AI40" s="49">
        <f>IFERROR(IF(B4="W",AI$22,AI$23),"0")</f>
        <v>22</v>
      </c>
      <c r="AJ40" s="12" t="s">
        <v>53</v>
      </c>
      <c r="AK40" s="33">
        <f>IFERROR(IF(B4="W",AK$22,AK$23),"0")</f>
        <v>6</v>
      </c>
      <c r="AL40" s="49" t="s">
        <v>54</v>
      </c>
      <c r="AM40" s="12">
        <f>IFERROR(IF(B4="W",AM$22,AM$23),"0")</f>
        <v>8</v>
      </c>
      <c r="AN40" s="33" t="s">
        <v>52</v>
      </c>
      <c r="AO40" s="49">
        <f>IFERROR(IF(B4="W",AO$22,AO$23),"0")</f>
        <v>12</v>
      </c>
      <c r="AP40" s="12" t="s">
        <v>53</v>
      </c>
      <c r="AQ40" s="33">
        <f>IFERROR(IF(B4="W",AQ$22,AQ$23),"0")</f>
        <v>2</v>
      </c>
      <c r="AR40" s="49" t="s">
        <v>54</v>
      </c>
      <c r="AS40" s="12">
        <f>IFERROR(IF(B4="W",AS$22,AS$23),"0")</f>
        <v>1</v>
      </c>
      <c r="AT40" s="33" t="s">
        <v>52</v>
      </c>
      <c r="AU40" s="49">
        <f>IFERROR(IF(B4="W",AU$22,AU$23),"0")</f>
        <v>1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5</v>
      </c>
      <c r="AZ40" s="33" t="s">
        <v>52</v>
      </c>
      <c r="BA40" s="49">
        <f>IFERROR(IF(B4="W",BA$22,BA$23),"0")</f>
        <v>9</v>
      </c>
      <c r="BB40" s="12" t="s">
        <v>53</v>
      </c>
      <c r="BC40" s="33">
        <f>IFERROR(IF(B4="W",BC$22,BC$23),"0")</f>
        <v>4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2</v>
      </c>
      <c r="BJ40" s="33" t="s">
        <v>52</v>
      </c>
      <c r="BK40" s="49">
        <f>IFERROR(IF($B$4="W",BK22,BK23),"0")</f>
        <v>4</v>
      </c>
      <c r="BL40" s="12" t="s">
        <v>53</v>
      </c>
      <c r="BM40" s="33">
        <f>IFERROR(IF($B$4="W",BM22,BM23),"0")</f>
        <v>0</v>
      </c>
      <c r="BN40" s="49" t="s">
        <v>54</v>
      </c>
      <c r="BO40" s="12">
        <f>IFERROR(IF($B$4="W",BO22,BO23),"0")</f>
        <v>2</v>
      </c>
      <c r="BP40" s="33" t="s">
        <v>52</v>
      </c>
      <c r="BQ40" s="49">
        <f>IFERROR(IF($B$4="W",BQ22,BQ23),"0")</f>
        <v>2</v>
      </c>
      <c r="BR40" s="12" t="s">
        <v>53</v>
      </c>
      <c r="BS40" s="33">
        <f>IFERROR(IF($B$4="W",BS22,BS23),"0")</f>
        <v>0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0</v>
      </c>
      <c r="CB40" s="33" t="s">
        <v>52</v>
      </c>
      <c r="CC40" s="49">
        <f>IFERROR(IF($B$4="W",CC22,CC23),"0")</f>
        <v>2</v>
      </c>
      <c r="CD40" s="12" t="s">
        <v>53</v>
      </c>
      <c r="CE40" s="33">
        <f>IFERROR(IF($B$4="W",CE22,CE23),"0")</f>
        <v>0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2</v>
      </c>
      <c r="CK40" s="33">
        <f t="shared" si="145"/>
        <v>12</v>
      </c>
      <c r="CL40" s="33">
        <f t="shared" si="145"/>
        <v>0</v>
      </c>
      <c r="CM40" s="33">
        <f t="shared" si="145"/>
        <v>0</v>
      </c>
      <c r="CN40" s="33">
        <f t="shared" si="145"/>
        <v>14</v>
      </c>
      <c r="CO40" s="33">
        <f t="shared" si="145"/>
        <v>6</v>
      </c>
      <c r="CP40" s="33">
        <f t="shared" si="145"/>
        <v>8</v>
      </c>
      <c r="CQ40" s="33">
        <f t="shared" si="145"/>
        <v>3</v>
      </c>
      <c r="CR40" s="33">
        <f t="shared" si="145"/>
        <v>4</v>
      </c>
      <c r="CS40" s="33">
        <f t="shared" si="145"/>
        <v>1</v>
      </c>
      <c r="CT40" s="33">
        <f t="shared" si="145"/>
        <v>7</v>
      </c>
      <c r="CU40" s="33">
        <f t="shared" si="145"/>
        <v>0</v>
      </c>
      <c r="CV40" s="58">
        <f t="shared" si="145"/>
        <v>39.85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32.509747897465033</v>
      </c>
      <c r="EW40" s="38" t="s">
        <v>42</v>
      </c>
      <c r="EX40" s="6">
        <f t="shared" ref="EX40:EX54" si="147">IFERROR(IF(B4="W",$EX$22,$EX$23),"0")</f>
        <v>2.8499999999999996</v>
      </c>
      <c r="EY40" s="6">
        <f>IFERROR(IF(B4="W",$EY$22,$EY$23),"0")</f>
        <v>4</v>
      </c>
      <c r="EZ40" s="6">
        <f>IFERROR(IF(B4="W",$EZ$22,$EZ$23),"0")</f>
        <v>17.467749999999999</v>
      </c>
    </row>
    <row r="41" spans="3:156" x14ac:dyDescent="0.2">
      <c r="C41" s="38" t="s">
        <v>43</v>
      </c>
      <c r="D41" s="28">
        <f t="shared" si="144"/>
        <v>42.260000000000005</v>
      </c>
      <c r="E41" s="86">
        <f t="shared" ref="E41:E54" si="148">IFERROR(IF(B5="W",$E$22,$E$23),"0")</f>
        <v>11</v>
      </c>
      <c r="F41" s="33" t="s">
        <v>52</v>
      </c>
      <c r="G41" s="49">
        <f t="shared" ref="G41:G54" si="149">IFERROR(IF(B5="W",$G$22,$G$23),"0")</f>
        <v>26</v>
      </c>
      <c r="H41" s="12" t="s">
        <v>53</v>
      </c>
      <c r="I41" s="33">
        <f t="shared" ref="I41:I54" si="150">IFERROR(IF(B5="W",I$22,I$23),"0")</f>
        <v>9</v>
      </c>
      <c r="J41" s="49" t="s">
        <v>54</v>
      </c>
      <c r="K41" s="12">
        <f t="shared" ref="K41:K54" si="151">IFERROR(IF(B5="W",K$22,K$23),"0")</f>
        <v>5</v>
      </c>
      <c r="L41" s="33" t="s">
        <v>52</v>
      </c>
      <c r="M41" s="49">
        <f t="shared" ref="M41:M54" si="152">IFERROR(IF(B5="W",M$22,M$23),"0")</f>
        <v>7</v>
      </c>
      <c r="N41" s="12" t="s">
        <v>53</v>
      </c>
      <c r="O41" s="33">
        <f t="shared" ref="O41:O54" si="153">IFERROR(IF(B5="W",O$22,O$23),"0")</f>
        <v>3</v>
      </c>
      <c r="P41" s="49" t="s">
        <v>54</v>
      </c>
      <c r="Q41" s="12">
        <f t="shared" ref="Q41:Q54" si="154">IFERROR(IF(B5="W",Q$22,Q$23),"0")</f>
        <v>0</v>
      </c>
      <c r="R41" s="33" t="s">
        <v>52</v>
      </c>
      <c r="S41" s="49">
        <f t="shared" ref="S41:S54" si="155">IFERROR(IF(B5="W",S$22,S$23),"0")</f>
        <v>0</v>
      </c>
      <c r="T41" s="12" t="s">
        <v>53</v>
      </c>
      <c r="U41" s="33">
        <f t="shared" ref="U41:U54" si="156">IFERROR(IF(B5="W",U$22,U$23),"0")</f>
        <v>0</v>
      </c>
      <c r="V41" s="49" t="s">
        <v>54</v>
      </c>
      <c r="W41" s="12">
        <f t="shared" ref="W41:W54" si="157">IFERROR(IF(B5="W",W$22,W$23),"0")</f>
        <v>6</v>
      </c>
      <c r="X41" s="33" t="s">
        <v>52</v>
      </c>
      <c r="Y41" s="49">
        <f t="shared" ref="Y41:Y54" si="158">IFERROR(IF(B5="W",Y$22,Y$23),"0")</f>
        <v>19</v>
      </c>
      <c r="Z41" s="12" t="s">
        <v>53</v>
      </c>
      <c r="AA41" s="33">
        <f t="shared" ref="AA41:AA54" si="159">IFERROR(IF(B5="W",AA$22,AA$23),"0")</f>
        <v>6</v>
      </c>
      <c r="AB41" s="49" t="s">
        <v>54</v>
      </c>
      <c r="AC41" s="12">
        <f t="shared" ref="AC41:AC54" si="160">IFERROR(IF(B5="W",AC$22,AC$23),"0")</f>
        <v>2.4</v>
      </c>
      <c r="AD41" s="33" t="s">
        <v>52</v>
      </c>
      <c r="AE41" s="53">
        <f t="shared" ref="AE41:AE54" si="161">IFERROR(IF(B5="W",AE$22,AE$23),"0")</f>
        <v>3</v>
      </c>
      <c r="AF41" s="12"/>
      <c r="AG41" s="43">
        <f t="shared" ref="AG41:AG54" si="162">IFERROR(IF(B5="W",AG$22,AG$23),"0")</f>
        <v>8</v>
      </c>
      <c r="AH41" s="33" t="s">
        <v>52</v>
      </c>
      <c r="AI41" s="49">
        <f t="shared" ref="AI41:AI54" si="163">IFERROR(IF(B5="W",AI$22,AI$23),"0")</f>
        <v>21</v>
      </c>
      <c r="AJ41" s="12" t="s">
        <v>53</v>
      </c>
      <c r="AK41" s="33">
        <f t="shared" ref="AK41:AK54" si="164">IFERROR(IF(B5="W",AK$22,AK$23),"0")</f>
        <v>7</v>
      </c>
      <c r="AL41" s="49" t="s">
        <v>54</v>
      </c>
      <c r="AM41" s="12">
        <f t="shared" ref="AM41:AM54" si="165">IFERROR(IF(B5="W",AM$22,AM$23),"0")</f>
        <v>3</v>
      </c>
      <c r="AN41" s="33" t="s">
        <v>52</v>
      </c>
      <c r="AO41" s="49">
        <f t="shared" ref="AO41:AO54" si="166">IFERROR(IF(B5="W",AO$22,AO$23),"0")</f>
        <v>5</v>
      </c>
      <c r="AP41" s="12" t="s">
        <v>53</v>
      </c>
      <c r="AQ41" s="33">
        <f t="shared" ref="AQ41:AQ54" si="167">IFERROR(IF(B5="W",AQ$22,AQ$23),"0")</f>
        <v>2</v>
      </c>
      <c r="AR41" s="49" t="s">
        <v>54</v>
      </c>
      <c r="AS41" s="12">
        <f t="shared" ref="AS41:AS54" si="168">IFERROR(IF(B5="W",AS$22,AS$23),"0")</f>
        <v>0</v>
      </c>
      <c r="AT41" s="33" t="s">
        <v>52</v>
      </c>
      <c r="AU41" s="49">
        <f t="shared" ref="AU41:AU54" si="169">IFERROR(IF(B5="W",AU$22,AU$23),"0")</f>
        <v>0</v>
      </c>
      <c r="AV41" s="12" t="s">
        <v>53</v>
      </c>
      <c r="AW41" s="33">
        <f t="shared" ref="AW41:AW54" si="170">IFERROR(IF(B5="W",AW$22,AW$23),"0")</f>
        <v>0</v>
      </c>
      <c r="AX41" s="49" t="s">
        <v>54</v>
      </c>
      <c r="AY41" s="12">
        <f t="shared" ref="AY41:AY54" si="171">IFERROR(IF(B5="W",AY$22,AY$23),"0")</f>
        <v>5</v>
      </c>
      <c r="AZ41" s="33" t="s">
        <v>52</v>
      </c>
      <c r="BA41" s="49">
        <f t="shared" ref="BA41:BA54" si="172">IFERROR(IF(B5="W",BA$22,BA$23),"0")</f>
        <v>16</v>
      </c>
      <c r="BB41" s="12" t="s">
        <v>53</v>
      </c>
      <c r="BC41" s="33">
        <f t="shared" ref="BC41:BC54" si="173">IFERROR(IF(B5="W",BC$22,BC$23),"0")</f>
        <v>5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3</v>
      </c>
      <c r="BJ41" s="33" t="s">
        <v>52</v>
      </c>
      <c r="BK41" s="49">
        <f>IFERROR(IF($B$5="W",BK22,BK23),"0")</f>
        <v>5</v>
      </c>
      <c r="BL41" s="12" t="s">
        <v>53</v>
      </c>
      <c r="BM41" s="33">
        <f>IFERROR(IF($B$5="W",BM22,BM23),"0")</f>
        <v>2</v>
      </c>
      <c r="BN41" s="49" t="s">
        <v>54</v>
      </c>
      <c r="BO41" s="12">
        <f>IFERROR(IF($B$5="W",BO22,BO23),"0")</f>
        <v>2</v>
      </c>
      <c r="BP41" s="33" t="s">
        <v>52</v>
      </c>
      <c r="BQ41" s="49">
        <f>IFERROR(IF($B$5="W",BQ22,BQ23),"0")</f>
        <v>2</v>
      </c>
      <c r="BR41" s="12" t="s">
        <v>53</v>
      </c>
      <c r="BS41" s="33">
        <f>IFERROR(IF($B$5="W",BS22,BS23),"0")</f>
        <v>1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1</v>
      </c>
      <c r="CB41" s="33" t="s">
        <v>52</v>
      </c>
      <c r="CC41" s="49">
        <f>IFERROR(IF($B$5="W",CC22,CC23),"0")</f>
        <v>3</v>
      </c>
      <c r="CD41" s="12" t="s">
        <v>53</v>
      </c>
      <c r="CE41" s="33">
        <f>IFERROR(IF($B$5="W",CE22,CE23),"0")</f>
        <v>1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2</v>
      </c>
      <c r="CK41" s="33">
        <f t="shared" si="176"/>
        <v>9</v>
      </c>
      <c r="CL41" s="33">
        <f t="shared" si="176"/>
        <v>0</v>
      </c>
      <c r="CM41" s="33">
        <f t="shared" si="176"/>
        <v>0</v>
      </c>
      <c r="CN41" s="33">
        <f t="shared" si="176"/>
        <v>11</v>
      </c>
      <c r="CO41" s="33">
        <f t="shared" si="176"/>
        <v>9</v>
      </c>
      <c r="CP41" s="33">
        <f t="shared" si="176"/>
        <v>12</v>
      </c>
      <c r="CQ41" s="33">
        <f t="shared" si="176"/>
        <v>4</v>
      </c>
      <c r="CR41" s="33">
        <f t="shared" si="176"/>
        <v>3</v>
      </c>
      <c r="CS41" s="33">
        <f t="shared" si="176"/>
        <v>4</v>
      </c>
      <c r="CT41" s="33">
        <f t="shared" si="176"/>
        <v>7</v>
      </c>
      <c r="CU41" s="33">
        <f t="shared" si="176"/>
        <v>2</v>
      </c>
      <c r="CV41" s="58">
        <f t="shared" si="176"/>
        <v>30.4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30.792311252170386</v>
      </c>
      <c r="EW41" s="38" t="s">
        <v>43</v>
      </c>
      <c r="EX41" s="6">
        <f t="shared" si="147"/>
        <v>2.4</v>
      </c>
      <c r="EY41" s="6">
        <f t="shared" ref="EY41:EY54" si="177">IFERROR(IF(B5="W",$EY$22,$EY$23),"0")</f>
        <v>3</v>
      </c>
      <c r="EZ41" s="6">
        <f t="shared" ref="EZ41:EZ54" si="178">IFERROR(IF(B5="W",$EZ$22,$EZ$23),"0")</f>
        <v>12.151999999999999</v>
      </c>
    </row>
    <row r="42" spans="3:156" x14ac:dyDescent="0.2">
      <c r="C42" s="38" t="s">
        <v>44</v>
      </c>
      <c r="D42" s="28">
        <f t="shared" si="144"/>
        <v>42.260000000000005</v>
      </c>
      <c r="E42" s="86">
        <f t="shared" si="148"/>
        <v>16</v>
      </c>
      <c r="F42" s="33" t="s">
        <v>52</v>
      </c>
      <c r="G42" s="49">
        <f t="shared" si="149"/>
        <v>26</v>
      </c>
      <c r="H42" s="12" t="s">
        <v>53</v>
      </c>
      <c r="I42" s="33">
        <f t="shared" si="150"/>
        <v>6</v>
      </c>
      <c r="J42" s="49" t="s">
        <v>54</v>
      </c>
      <c r="K42" s="12">
        <f t="shared" si="151"/>
        <v>10</v>
      </c>
      <c r="L42" s="33" t="s">
        <v>52</v>
      </c>
      <c r="M42" s="49">
        <f t="shared" si="152"/>
        <v>14</v>
      </c>
      <c r="N42" s="12" t="s">
        <v>53</v>
      </c>
      <c r="O42" s="33">
        <f t="shared" si="153"/>
        <v>2</v>
      </c>
      <c r="P42" s="49" t="s">
        <v>54</v>
      </c>
      <c r="Q42" s="12">
        <f t="shared" si="154"/>
        <v>1</v>
      </c>
      <c r="R42" s="33" t="s">
        <v>52</v>
      </c>
      <c r="S42" s="49">
        <f t="shared" si="155"/>
        <v>1</v>
      </c>
      <c r="T42" s="12" t="s">
        <v>53</v>
      </c>
      <c r="U42" s="33">
        <f t="shared" si="156"/>
        <v>0</v>
      </c>
      <c r="V42" s="49" t="s">
        <v>54</v>
      </c>
      <c r="W42" s="12">
        <f t="shared" si="157"/>
        <v>5</v>
      </c>
      <c r="X42" s="33" t="s">
        <v>52</v>
      </c>
      <c r="Y42" s="49">
        <f t="shared" si="158"/>
        <v>11</v>
      </c>
      <c r="Z42" s="12" t="s">
        <v>53</v>
      </c>
      <c r="AA42" s="33">
        <f t="shared" si="159"/>
        <v>4</v>
      </c>
      <c r="AB42" s="49" t="s">
        <v>54</v>
      </c>
      <c r="AC42" s="12">
        <f t="shared" si="160"/>
        <v>2.8499999999999996</v>
      </c>
      <c r="AD42" s="33" t="s">
        <v>52</v>
      </c>
      <c r="AE42" s="53">
        <f t="shared" si="161"/>
        <v>4</v>
      </c>
      <c r="AF42" s="12"/>
      <c r="AG42" s="43">
        <f t="shared" si="162"/>
        <v>14</v>
      </c>
      <c r="AH42" s="33" t="s">
        <v>52</v>
      </c>
      <c r="AI42" s="49">
        <f t="shared" si="163"/>
        <v>22</v>
      </c>
      <c r="AJ42" s="12" t="s">
        <v>53</v>
      </c>
      <c r="AK42" s="33">
        <f t="shared" si="164"/>
        <v>6</v>
      </c>
      <c r="AL42" s="49" t="s">
        <v>54</v>
      </c>
      <c r="AM42" s="12">
        <f t="shared" si="165"/>
        <v>8</v>
      </c>
      <c r="AN42" s="33" t="s">
        <v>52</v>
      </c>
      <c r="AO42" s="49">
        <f t="shared" si="166"/>
        <v>12</v>
      </c>
      <c r="AP42" s="12" t="s">
        <v>53</v>
      </c>
      <c r="AQ42" s="33">
        <f t="shared" si="167"/>
        <v>2</v>
      </c>
      <c r="AR42" s="49" t="s">
        <v>54</v>
      </c>
      <c r="AS42" s="12">
        <f t="shared" si="168"/>
        <v>1</v>
      </c>
      <c r="AT42" s="33" t="s">
        <v>52</v>
      </c>
      <c r="AU42" s="49">
        <f t="shared" si="169"/>
        <v>1</v>
      </c>
      <c r="AV42" s="12" t="s">
        <v>53</v>
      </c>
      <c r="AW42" s="33">
        <f t="shared" si="170"/>
        <v>0</v>
      </c>
      <c r="AX42" s="49" t="s">
        <v>54</v>
      </c>
      <c r="AY42" s="12">
        <f t="shared" si="171"/>
        <v>5</v>
      </c>
      <c r="AZ42" s="33" t="s">
        <v>52</v>
      </c>
      <c r="BA42" s="49">
        <f t="shared" si="172"/>
        <v>9</v>
      </c>
      <c r="BB42" s="12" t="s">
        <v>53</v>
      </c>
      <c r="BC42" s="33">
        <f t="shared" si="173"/>
        <v>4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2</v>
      </c>
      <c r="BJ42" s="33" t="s">
        <v>52</v>
      </c>
      <c r="BK42" s="49">
        <f>IFERROR(IF($B$6="W",BK22,BK23),"0")</f>
        <v>4</v>
      </c>
      <c r="BL42" s="12" t="s">
        <v>53</v>
      </c>
      <c r="BM42" s="33">
        <f>IFERROR(IF($B$6="W",BM22,BM23),"0")</f>
        <v>0</v>
      </c>
      <c r="BN42" s="49" t="s">
        <v>54</v>
      </c>
      <c r="BO42" s="12">
        <f>IFERROR(IF($B$6="W",BO22,BO23),"0")</f>
        <v>2</v>
      </c>
      <c r="BP42" s="33" t="s">
        <v>52</v>
      </c>
      <c r="BQ42" s="49">
        <f>IFERROR(IF($B$6="W",BQ22,BQ23),"0")</f>
        <v>2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0</v>
      </c>
      <c r="CB42" s="33" t="s">
        <v>52</v>
      </c>
      <c r="CC42" s="49">
        <f>IFERROR(IF($B$6="W",CC22,CC23),"0")</f>
        <v>2</v>
      </c>
      <c r="CD42" s="12" t="s">
        <v>53</v>
      </c>
      <c r="CE42" s="33">
        <f>IFERROR(IF($B$6="W",CE22,CE23),"0")</f>
        <v>0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2</v>
      </c>
      <c r="CK42" s="33">
        <f t="shared" si="179"/>
        <v>12</v>
      </c>
      <c r="CL42" s="33">
        <f t="shared" si="179"/>
        <v>0</v>
      </c>
      <c r="CM42" s="33">
        <f t="shared" si="179"/>
        <v>0</v>
      </c>
      <c r="CN42" s="33">
        <f t="shared" si="179"/>
        <v>14</v>
      </c>
      <c r="CO42" s="33">
        <f t="shared" si="179"/>
        <v>6</v>
      </c>
      <c r="CP42" s="33">
        <f t="shared" si="179"/>
        <v>8</v>
      </c>
      <c r="CQ42" s="33">
        <f t="shared" si="179"/>
        <v>3</v>
      </c>
      <c r="CR42" s="33">
        <f t="shared" si="179"/>
        <v>4</v>
      </c>
      <c r="CS42" s="33">
        <f t="shared" si="179"/>
        <v>1</v>
      </c>
      <c r="CT42" s="33">
        <f t="shared" si="179"/>
        <v>7</v>
      </c>
      <c r="CU42" s="33">
        <f t="shared" si="179"/>
        <v>0</v>
      </c>
      <c r="CV42" s="58">
        <f t="shared" si="179"/>
        <v>39.85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32.509747897465033</v>
      </c>
      <c r="EW42" s="38" t="s">
        <v>44</v>
      </c>
      <c r="EX42" s="6">
        <f t="shared" si="147"/>
        <v>2.8499999999999996</v>
      </c>
      <c r="EY42" s="6">
        <f t="shared" si="177"/>
        <v>4</v>
      </c>
      <c r="EZ42" s="6">
        <f t="shared" si="178"/>
        <v>17.467749999999999</v>
      </c>
    </row>
    <row r="43" spans="3:156" x14ac:dyDescent="0.2">
      <c r="C43" s="38" t="s">
        <v>45</v>
      </c>
      <c r="D43" s="28">
        <f t="shared" si="144"/>
        <v>42.260000000000005</v>
      </c>
      <c r="E43" s="86">
        <f t="shared" si="148"/>
        <v>16</v>
      </c>
      <c r="F43" s="33" t="s">
        <v>52</v>
      </c>
      <c r="G43" s="49">
        <f t="shared" si="149"/>
        <v>26</v>
      </c>
      <c r="H43" s="12" t="s">
        <v>53</v>
      </c>
      <c r="I43" s="33">
        <f t="shared" si="150"/>
        <v>6</v>
      </c>
      <c r="J43" s="49" t="s">
        <v>54</v>
      </c>
      <c r="K43" s="12">
        <f t="shared" si="151"/>
        <v>10</v>
      </c>
      <c r="L43" s="33" t="s">
        <v>52</v>
      </c>
      <c r="M43" s="49">
        <f t="shared" si="152"/>
        <v>14</v>
      </c>
      <c r="N43" s="12" t="s">
        <v>53</v>
      </c>
      <c r="O43" s="33">
        <f t="shared" si="153"/>
        <v>2</v>
      </c>
      <c r="P43" s="49" t="s">
        <v>54</v>
      </c>
      <c r="Q43" s="12">
        <f t="shared" si="154"/>
        <v>1</v>
      </c>
      <c r="R43" s="33" t="s">
        <v>52</v>
      </c>
      <c r="S43" s="49">
        <f t="shared" si="155"/>
        <v>1</v>
      </c>
      <c r="T43" s="12" t="s">
        <v>53</v>
      </c>
      <c r="U43" s="33">
        <f t="shared" si="156"/>
        <v>0</v>
      </c>
      <c r="V43" s="49" t="s">
        <v>54</v>
      </c>
      <c r="W43" s="12">
        <f t="shared" si="157"/>
        <v>5</v>
      </c>
      <c r="X43" s="33" t="s">
        <v>52</v>
      </c>
      <c r="Y43" s="49">
        <f t="shared" si="158"/>
        <v>11</v>
      </c>
      <c r="Z43" s="12" t="s">
        <v>53</v>
      </c>
      <c r="AA43" s="33">
        <f t="shared" si="159"/>
        <v>4</v>
      </c>
      <c r="AB43" s="49" t="s">
        <v>54</v>
      </c>
      <c r="AC43" s="12">
        <f t="shared" si="160"/>
        <v>2.8499999999999996</v>
      </c>
      <c r="AD43" s="33" t="s">
        <v>52</v>
      </c>
      <c r="AE43" s="53">
        <f t="shared" si="161"/>
        <v>4</v>
      </c>
      <c r="AF43" s="12"/>
      <c r="AG43" s="43">
        <f t="shared" si="162"/>
        <v>14</v>
      </c>
      <c r="AH43" s="33" t="s">
        <v>52</v>
      </c>
      <c r="AI43" s="49">
        <f t="shared" si="163"/>
        <v>22</v>
      </c>
      <c r="AJ43" s="12" t="s">
        <v>53</v>
      </c>
      <c r="AK43" s="33">
        <f t="shared" si="164"/>
        <v>6</v>
      </c>
      <c r="AL43" s="49" t="s">
        <v>54</v>
      </c>
      <c r="AM43" s="12">
        <f t="shared" si="165"/>
        <v>8</v>
      </c>
      <c r="AN43" s="33" t="s">
        <v>52</v>
      </c>
      <c r="AO43" s="49">
        <f t="shared" si="166"/>
        <v>12</v>
      </c>
      <c r="AP43" s="12" t="s">
        <v>53</v>
      </c>
      <c r="AQ43" s="33">
        <f t="shared" si="167"/>
        <v>2</v>
      </c>
      <c r="AR43" s="49" t="s">
        <v>54</v>
      </c>
      <c r="AS43" s="12">
        <f t="shared" si="168"/>
        <v>1</v>
      </c>
      <c r="AT43" s="33" t="s">
        <v>52</v>
      </c>
      <c r="AU43" s="49">
        <f t="shared" si="169"/>
        <v>1</v>
      </c>
      <c r="AV43" s="12" t="s">
        <v>53</v>
      </c>
      <c r="AW43" s="33">
        <f t="shared" si="170"/>
        <v>0</v>
      </c>
      <c r="AX43" s="49" t="s">
        <v>54</v>
      </c>
      <c r="AY43" s="12">
        <f t="shared" si="171"/>
        <v>5</v>
      </c>
      <c r="AZ43" s="33" t="s">
        <v>52</v>
      </c>
      <c r="BA43" s="49">
        <f t="shared" si="172"/>
        <v>9</v>
      </c>
      <c r="BB43" s="12" t="s">
        <v>53</v>
      </c>
      <c r="BC43" s="33">
        <f t="shared" si="173"/>
        <v>4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2</v>
      </c>
      <c r="BJ43" s="33" t="s">
        <v>52</v>
      </c>
      <c r="BK43" s="49">
        <f>IFERROR(IF($B$7="W",BK22,BK23),"0")</f>
        <v>4</v>
      </c>
      <c r="BL43" s="12" t="s">
        <v>53</v>
      </c>
      <c r="BM43" s="33">
        <f>IFERROR(IF($B$7="W",BM22,BM23),"0")</f>
        <v>0</v>
      </c>
      <c r="BN43" s="49" t="s">
        <v>54</v>
      </c>
      <c r="BO43" s="12">
        <f>IFERROR(IF($B$7="W",BO22,BO23),"0")</f>
        <v>2</v>
      </c>
      <c r="BP43" s="33" t="s">
        <v>52</v>
      </c>
      <c r="BQ43" s="49">
        <f>IFERROR(IF($B$7="W",BQ22,BQ23),"0")</f>
        <v>2</v>
      </c>
      <c r="BR43" s="12" t="s">
        <v>53</v>
      </c>
      <c r="BS43" s="33">
        <f>IFERROR(IF($B$7="W",BS22,BS23),"0")</f>
        <v>0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0</v>
      </c>
      <c r="CB43" s="33" t="s">
        <v>52</v>
      </c>
      <c r="CC43" s="49">
        <f>IFERROR(IF($B$7="W",CC22,CC23),"0")</f>
        <v>2</v>
      </c>
      <c r="CD43" s="12" t="s">
        <v>53</v>
      </c>
      <c r="CE43" s="33">
        <f>IFERROR(IF($B$7="W",CE22,CE23),"0")</f>
        <v>0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2</v>
      </c>
      <c r="CK43" s="33">
        <f t="shared" si="180"/>
        <v>12</v>
      </c>
      <c r="CL43" s="33">
        <f t="shared" si="180"/>
        <v>0</v>
      </c>
      <c r="CM43" s="33">
        <f t="shared" si="180"/>
        <v>0</v>
      </c>
      <c r="CN43" s="33">
        <f t="shared" si="180"/>
        <v>14</v>
      </c>
      <c r="CO43" s="33">
        <f t="shared" si="180"/>
        <v>6</v>
      </c>
      <c r="CP43" s="33">
        <f t="shared" si="180"/>
        <v>8</v>
      </c>
      <c r="CQ43" s="33">
        <f t="shared" si="180"/>
        <v>3</v>
      </c>
      <c r="CR43" s="33">
        <f t="shared" si="180"/>
        <v>4</v>
      </c>
      <c r="CS43" s="33">
        <f t="shared" si="180"/>
        <v>1</v>
      </c>
      <c r="CT43" s="33">
        <f t="shared" si="180"/>
        <v>7</v>
      </c>
      <c r="CU43" s="33">
        <f t="shared" si="180"/>
        <v>0</v>
      </c>
      <c r="CV43" s="58">
        <f t="shared" si="180"/>
        <v>39.85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32.509747897465033</v>
      </c>
      <c r="EW43" s="38" t="s">
        <v>45</v>
      </c>
      <c r="EX43" s="6">
        <f t="shared" si="147"/>
        <v>2.8499999999999996</v>
      </c>
      <c r="EY43" s="6">
        <f t="shared" si="177"/>
        <v>4</v>
      </c>
      <c r="EZ43" s="6">
        <f t="shared" si="178"/>
        <v>17.467749999999999</v>
      </c>
    </row>
    <row r="44" spans="3:156" x14ac:dyDescent="0.2">
      <c r="C44" s="38" t="s">
        <v>226</v>
      </c>
      <c r="D44" s="28">
        <f t="shared" si="144"/>
        <v>42.260000000000005</v>
      </c>
      <c r="E44" s="86">
        <f t="shared" si="148"/>
        <v>16</v>
      </c>
      <c r="F44" s="33" t="s">
        <v>52</v>
      </c>
      <c r="G44" s="49">
        <f t="shared" si="149"/>
        <v>26</v>
      </c>
      <c r="H44" s="12" t="s">
        <v>53</v>
      </c>
      <c r="I44" s="33">
        <f t="shared" si="150"/>
        <v>6</v>
      </c>
      <c r="J44" s="49" t="s">
        <v>54</v>
      </c>
      <c r="K44" s="12">
        <f t="shared" si="151"/>
        <v>10</v>
      </c>
      <c r="L44" s="33" t="s">
        <v>52</v>
      </c>
      <c r="M44" s="49">
        <f t="shared" si="152"/>
        <v>14</v>
      </c>
      <c r="N44" s="12" t="s">
        <v>53</v>
      </c>
      <c r="O44" s="33">
        <f t="shared" si="153"/>
        <v>2</v>
      </c>
      <c r="P44" s="49" t="s">
        <v>54</v>
      </c>
      <c r="Q44" s="12">
        <f t="shared" si="154"/>
        <v>1</v>
      </c>
      <c r="R44" s="33" t="s">
        <v>52</v>
      </c>
      <c r="S44" s="49">
        <f t="shared" si="155"/>
        <v>1</v>
      </c>
      <c r="T44" s="12" t="s">
        <v>53</v>
      </c>
      <c r="U44" s="33">
        <f t="shared" si="156"/>
        <v>0</v>
      </c>
      <c r="V44" s="49" t="s">
        <v>54</v>
      </c>
      <c r="W44" s="12">
        <f t="shared" si="157"/>
        <v>5</v>
      </c>
      <c r="X44" s="33" t="s">
        <v>52</v>
      </c>
      <c r="Y44" s="49">
        <f t="shared" si="158"/>
        <v>11</v>
      </c>
      <c r="Z44" s="12" t="s">
        <v>53</v>
      </c>
      <c r="AA44" s="33">
        <f t="shared" si="159"/>
        <v>4</v>
      </c>
      <c r="AB44" s="49" t="s">
        <v>54</v>
      </c>
      <c r="AC44" s="12">
        <f t="shared" si="160"/>
        <v>2.8499999999999996</v>
      </c>
      <c r="AD44" s="33" t="s">
        <v>52</v>
      </c>
      <c r="AE44" s="53">
        <f t="shared" si="161"/>
        <v>4</v>
      </c>
      <c r="AF44" s="12"/>
      <c r="AG44" s="43">
        <f t="shared" si="162"/>
        <v>14</v>
      </c>
      <c r="AH44" s="33" t="s">
        <v>52</v>
      </c>
      <c r="AI44" s="49">
        <f t="shared" si="163"/>
        <v>22</v>
      </c>
      <c r="AJ44" s="12" t="s">
        <v>53</v>
      </c>
      <c r="AK44" s="33">
        <f t="shared" si="164"/>
        <v>6</v>
      </c>
      <c r="AL44" s="49" t="s">
        <v>54</v>
      </c>
      <c r="AM44" s="12">
        <f t="shared" si="165"/>
        <v>8</v>
      </c>
      <c r="AN44" s="33" t="s">
        <v>52</v>
      </c>
      <c r="AO44" s="49">
        <f t="shared" si="166"/>
        <v>12</v>
      </c>
      <c r="AP44" s="12" t="s">
        <v>53</v>
      </c>
      <c r="AQ44" s="33">
        <f t="shared" si="167"/>
        <v>2</v>
      </c>
      <c r="AR44" s="49" t="s">
        <v>54</v>
      </c>
      <c r="AS44" s="12">
        <f t="shared" si="168"/>
        <v>1</v>
      </c>
      <c r="AT44" s="33" t="s">
        <v>52</v>
      </c>
      <c r="AU44" s="49">
        <f t="shared" si="169"/>
        <v>1</v>
      </c>
      <c r="AV44" s="12" t="s">
        <v>53</v>
      </c>
      <c r="AW44" s="33">
        <f t="shared" si="170"/>
        <v>0</v>
      </c>
      <c r="AX44" s="49" t="s">
        <v>54</v>
      </c>
      <c r="AY44" s="12">
        <f t="shared" si="171"/>
        <v>5</v>
      </c>
      <c r="AZ44" s="33" t="s">
        <v>52</v>
      </c>
      <c r="BA44" s="49">
        <f t="shared" si="172"/>
        <v>9</v>
      </c>
      <c r="BB44" s="12" t="s">
        <v>53</v>
      </c>
      <c r="BC44" s="33">
        <f t="shared" si="173"/>
        <v>4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2</v>
      </c>
      <c r="BJ44" s="33" t="s">
        <v>52</v>
      </c>
      <c r="BK44" s="49">
        <f>IFERROR(IF($B$8="W",BK22,BK23),"0")</f>
        <v>4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2</v>
      </c>
      <c r="BP44" s="33" t="s">
        <v>52</v>
      </c>
      <c r="BQ44" s="49">
        <f>IFERROR(IF($B$8="W",BQ22,BQ23),"0")</f>
        <v>2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0</v>
      </c>
      <c r="CB44" s="33" t="s">
        <v>52</v>
      </c>
      <c r="CC44" s="49">
        <f>IFERROR(IF($B$8="W",CC22,CC23),"0")</f>
        <v>2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2</v>
      </c>
      <c r="CK44" s="33">
        <f t="shared" si="181"/>
        <v>12</v>
      </c>
      <c r="CL44" s="33">
        <f t="shared" si="181"/>
        <v>0</v>
      </c>
      <c r="CM44" s="33">
        <f t="shared" si="181"/>
        <v>0</v>
      </c>
      <c r="CN44" s="33">
        <f t="shared" si="181"/>
        <v>14</v>
      </c>
      <c r="CO44" s="33">
        <f t="shared" si="181"/>
        <v>6</v>
      </c>
      <c r="CP44" s="33">
        <f t="shared" si="181"/>
        <v>8</v>
      </c>
      <c r="CQ44" s="33">
        <f t="shared" si="181"/>
        <v>3</v>
      </c>
      <c r="CR44" s="33">
        <f t="shared" si="181"/>
        <v>4</v>
      </c>
      <c r="CS44" s="33">
        <f t="shared" si="181"/>
        <v>1</v>
      </c>
      <c r="CT44" s="33">
        <f t="shared" si="181"/>
        <v>7</v>
      </c>
      <c r="CU44" s="33">
        <f t="shared" si="181"/>
        <v>0</v>
      </c>
      <c r="CV44" s="58">
        <f t="shared" si="181"/>
        <v>39.85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32.509747897465033</v>
      </c>
      <c r="EW44" s="38" t="s">
        <v>226</v>
      </c>
      <c r="EX44" s="6">
        <f t="shared" si="147"/>
        <v>2.8499999999999996</v>
      </c>
      <c r="EY44" s="6">
        <f t="shared" si="177"/>
        <v>4</v>
      </c>
      <c r="EZ44" s="6">
        <f t="shared" si="178"/>
        <v>17.467749999999999</v>
      </c>
    </row>
    <row r="45" spans="3:156" x14ac:dyDescent="0.2">
      <c r="C45" s="38" t="s">
        <v>46</v>
      </c>
      <c r="D45" s="28">
        <f t="shared" si="144"/>
        <v>42.260000000000005</v>
      </c>
      <c r="E45" s="86">
        <f t="shared" si="148"/>
        <v>11</v>
      </c>
      <c r="F45" s="33" t="s">
        <v>52</v>
      </c>
      <c r="G45" s="49">
        <f t="shared" si="149"/>
        <v>26</v>
      </c>
      <c r="H45" s="12" t="s">
        <v>53</v>
      </c>
      <c r="I45" s="33">
        <f t="shared" si="150"/>
        <v>9</v>
      </c>
      <c r="J45" s="49" t="s">
        <v>54</v>
      </c>
      <c r="K45" s="12">
        <f t="shared" si="151"/>
        <v>5</v>
      </c>
      <c r="L45" s="33" t="s">
        <v>52</v>
      </c>
      <c r="M45" s="49">
        <f t="shared" si="152"/>
        <v>7</v>
      </c>
      <c r="N45" s="12" t="s">
        <v>53</v>
      </c>
      <c r="O45" s="33">
        <f t="shared" si="153"/>
        <v>3</v>
      </c>
      <c r="P45" s="49" t="s">
        <v>54</v>
      </c>
      <c r="Q45" s="12">
        <f t="shared" si="154"/>
        <v>0</v>
      </c>
      <c r="R45" s="33" t="s">
        <v>52</v>
      </c>
      <c r="S45" s="49">
        <f t="shared" si="155"/>
        <v>0</v>
      </c>
      <c r="T45" s="12" t="s">
        <v>53</v>
      </c>
      <c r="U45" s="33">
        <f t="shared" si="156"/>
        <v>0</v>
      </c>
      <c r="V45" s="49" t="s">
        <v>54</v>
      </c>
      <c r="W45" s="12">
        <f t="shared" si="157"/>
        <v>6</v>
      </c>
      <c r="X45" s="33" t="s">
        <v>52</v>
      </c>
      <c r="Y45" s="49">
        <f t="shared" si="158"/>
        <v>19</v>
      </c>
      <c r="Z45" s="12" t="s">
        <v>53</v>
      </c>
      <c r="AA45" s="33">
        <f t="shared" si="159"/>
        <v>6</v>
      </c>
      <c r="AB45" s="49" t="s">
        <v>54</v>
      </c>
      <c r="AC45" s="12">
        <f t="shared" si="160"/>
        <v>2.4</v>
      </c>
      <c r="AD45" s="33" t="s">
        <v>52</v>
      </c>
      <c r="AE45" s="53">
        <f t="shared" si="161"/>
        <v>3</v>
      </c>
      <c r="AF45" s="12"/>
      <c r="AG45" s="43">
        <f t="shared" si="162"/>
        <v>8</v>
      </c>
      <c r="AH45" s="33" t="s">
        <v>52</v>
      </c>
      <c r="AI45" s="49">
        <f t="shared" si="163"/>
        <v>21</v>
      </c>
      <c r="AJ45" s="12" t="s">
        <v>53</v>
      </c>
      <c r="AK45" s="33">
        <f t="shared" si="164"/>
        <v>7</v>
      </c>
      <c r="AL45" s="49" t="s">
        <v>54</v>
      </c>
      <c r="AM45" s="12">
        <f t="shared" si="165"/>
        <v>3</v>
      </c>
      <c r="AN45" s="33" t="s">
        <v>52</v>
      </c>
      <c r="AO45" s="49">
        <f t="shared" si="166"/>
        <v>5</v>
      </c>
      <c r="AP45" s="12" t="s">
        <v>53</v>
      </c>
      <c r="AQ45" s="33">
        <f t="shared" si="167"/>
        <v>2</v>
      </c>
      <c r="AR45" s="49" t="s">
        <v>54</v>
      </c>
      <c r="AS45" s="12">
        <f t="shared" si="168"/>
        <v>0</v>
      </c>
      <c r="AT45" s="33" t="s">
        <v>52</v>
      </c>
      <c r="AU45" s="49">
        <f t="shared" si="169"/>
        <v>0</v>
      </c>
      <c r="AV45" s="12" t="s">
        <v>53</v>
      </c>
      <c r="AW45" s="33">
        <f t="shared" si="170"/>
        <v>0</v>
      </c>
      <c r="AX45" s="49" t="s">
        <v>54</v>
      </c>
      <c r="AY45" s="12">
        <f t="shared" si="171"/>
        <v>5</v>
      </c>
      <c r="AZ45" s="33" t="s">
        <v>52</v>
      </c>
      <c r="BA45" s="49">
        <f t="shared" si="172"/>
        <v>16</v>
      </c>
      <c r="BB45" s="12" t="s">
        <v>53</v>
      </c>
      <c r="BC45" s="33">
        <f t="shared" si="173"/>
        <v>5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3</v>
      </c>
      <c r="BJ45" s="33" t="s">
        <v>52</v>
      </c>
      <c r="BK45" s="49">
        <f>IFERROR(IF($B$9="W",BK22,BK23),"0")</f>
        <v>5</v>
      </c>
      <c r="BL45" s="12" t="s">
        <v>53</v>
      </c>
      <c r="BM45" s="33">
        <f>IFERROR(IF($B$9="W",BM22,BM23),"0")</f>
        <v>2</v>
      </c>
      <c r="BN45" s="49" t="s">
        <v>54</v>
      </c>
      <c r="BO45" s="12">
        <f>IFERROR(IF($B$9="W",BO22,BO23),"0")</f>
        <v>2</v>
      </c>
      <c r="BP45" s="33" t="s">
        <v>52</v>
      </c>
      <c r="BQ45" s="49">
        <f>IFERROR(IF($B$9="W",BQ22,BQ23),"0")</f>
        <v>2</v>
      </c>
      <c r="BR45" s="12" t="s">
        <v>53</v>
      </c>
      <c r="BS45" s="33">
        <f>IFERROR(IF($B$9="W",BS22,BS23),"0")</f>
        <v>1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1</v>
      </c>
      <c r="CB45" s="33" t="s">
        <v>52</v>
      </c>
      <c r="CC45" s="49">
        <f>IFERROR(IF($B$9="W",CC22,CC23),"0")</f>
        <v>3</v>
      </c>
      <c r="CD45" s="12" t="s">
        <v>53</v>
      </c>
      <c r="CE45" s="33">
        <f>IFERROR(IF($B$9="W",CE22,CE23),"0")</f>
        <v>1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2</v>
      </c>
      <c r="CK45" s="33">
        <f t="shared" si="182"/>
        <v>9</v>
      </c>
      <c r="CL45" s="33">
        <f t="shared" si="182"/>
        <v>0</v>
      </c>
      <c r="CM45" s="33">
        <f t="shared" si="182"/>
        <v>0</v>
      </c>
      <c r="CN45" s="33">
        <f t="shared" si="182"/>
        <v>11</v>
      </c>
      <c r="CO45" s="33">
        <f t="shared" si="182"/>
        <v>9</v>
      </c>
      <c r="CP45" s="33">
        <f t="shared" si="182"/>
        <v>12</v>
      </c>
      <c r="CQ45" s="33">
        <f t="shared" si="182"/>
        <v>4</v>
      </c>
      <c r="CR45" s="33">
        <f t="shared" si="182"/>
        <v>3</v>
      </c>
      <c r="CS45" s="33">
        <f t="shared" si="182"/>
        <v>4</v>
      </c>
      <c r="CT45" s="33">
        <f t="shared" si="182"/>
        <v>7</v>
      </c>
      <c r="CU45" s="33">
        <f t="shared" si="182"/>
        <v>2</v>
      </c>
      <c r="CV45" s="58">
        <f t="shared" si="182"/>
        <v>30.4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30.792311252170386</v>
      </c>
      <c r="EW45" s="38" t="s">
        <v>46</v>
      </c>
      <c r="EX45" s="6">
        <f t="shared" si="147"/>
        <v>2.4</v>
      </c>
      <c r="EY45" s="6">
        <f t="shared" si="177"/>
        <v>3</v>
      </c>
      <c r="EZ45" s="6">
        <f t="shared" si="178"/>
        <v>12.151999999999999</v>
      </c>
    </row>
    <row r="46" spans="3:156" x14ac:dyDescent="0.2">
      <c r="C46" s="38" t="s">
        <v>47</v>
      </c>
      <c r="D46" s="28">
        <f t="shared" si="144"/>
        <v>42.260000000000005</v>
      </c>
      <c r="E46" s="86">
        <f t="shared" si="148"/>
        <v>16</v>
      </c>
      <c r="F46" s="33" t="s">
        <v>52</v>
      </c>
      <c r="G46" s="49">
        <f t="shared" si="149"/>
        <v>26</v>
      </c>
      <c r="H46" s="12" t="s">
        <v>53</v>
      </c>
      <c r="I46" s="33">
        <f t="shared" si="150"/>
        <v>6</v>
      </c>
      <c r="J46" s="49" t="s">
        <v>54</v>
      </c>
      <c r="K46" s="12">
        <f t="shared" si="151"/>
        <v>10</v>
      </c>
      <c r="L46" s="33" t="s">
        <v>52</v>
      </c>
      <c r="M46" s="49">
        <f t="shared" si="152"/>
        <v>14</v>
      </c>
      <c r="N46" s="12" t="s">
        <v>53</v>
      </c>
      <c r="O46" s="33">
        <f t="shared" si="153"/>
        <v>2</v>
      </c>
      <c r="P46" s="49" t="s">
        <v>54</v>
      </c>
      <c r="Q46" s="12">
        <f t="shared" si="154"/>
        <v>1</v>
      </c>
      <c r="R46" s="33" t="s">
        <v>52</v>
      </c>
      <c r="S46" s="49">
        <f t="shared" si="155"/>
        <v>1</v>
      </c>
      <c r="T46" s="12" t="s">
        <v>53</v>
      </c>
      <c r="U46" s="33">
        <f t="shared" si="156"/>
        <v>0</v>
      </c>
      <c r="V46" s="49" t="s">
        <v>54</v>
      </c>
      <c r="W46" s="12">
        <f t="shared" si="157"/>
        <v>5</v>
      </c>
      <c r="X46" s="33" t="s">
        <v>52</v>
      </c>
      <c r="Y46" s="49">
        <f t="shared" si="158"/>
        <v>11</v>
      </c>
      <c r="Z46" s="12" t="s">
        <v>53</v>
      </c>
      <c r="AA46" s="33">
        <f t="shared" si="159"/>
        <v>4</v>
      </c>
      <c r="AB46" s="49" t="s">
        <v>54</v>
      </c>
      <c r="AC46" s="12">
        <f t="shared" si="160"/>
        <v>2.8499999999999996</v>
      </c>
      <c r="AD46" s="33" t="s">
        <v>52</v>
      </c>
      <c r="AE46" s="53">
        <f t="shared" si="161"/>
        <v>4</v>
      </c>
      <c r="AF46" s="12"/>
      <c r="AG46" s="43">
        <f t="shared" si="162"/>
        <v>14</v>
      </c>
      <c r="AH46" s="33" t="s">
        <v>52</v>
      </c>
      <c r="AI46" s="49">
        <f t="shared" si="163"/>
        <v>22</v>
      </c>
      <c r="AJ46" s="12" t="s">
        <v>53</v>
      </c>
      <c r="AK46" s="33">
        <f t="shared" si="164"/>
        <v>6</v>
      </c>
      <c r="AL46" s="49" t="s">
        <v>54</v>
      </c>
      <c r="AM46" s="12">
        <f t="shared" si="165"/>
        <v>8</v>
      </c>
      <c r="AN46" s="33" t="s">
        <v>52</v>
      </c>
      <c r="AO46" s="49">
        <f t="shared" si="166"/>
        <v>12</v>
      </c>
      <c r="AP46" s="12" t="s">
        <v>53</v>
      </c>
      <c r="AQ46" s="33">
        <f t="shared" si="167"/>
        <v>2</v>
      </c>
      <c r="AR46" s="49" t="s">
        <v>54</v>
      </c>
      <c r="AS46" s="12">
        <f t="shared" si="168"/>
        <v>1</v>
      </c>
      <c r="AT46" s="33" t="s">
        <v>52</v>
      </c>
      <c r="AU46" s="49">
        <f t="shared" si="169"/>
        <v>1</v>
      </c>
      <c r="AV46" s="12" t="s">
        <v>53</v>
      </c>
      <c r="AW46" s="33">
        <f t="shared" si="170"/>
        <v>0</v>
      </c>
      <c r="AX46" s="49" t="s">
        <v>54</v>
      </c>
      <c r="AY46" s="12">
        <f t="shared" si="171"/>
        <v>5</v>
      </c>
      <c r="AZ46" s="33" t="s">
        <v>52</v>
      </c>
      <c r="BA46" s="49">
        <f t="shared" si="172"/>
        <v>9</v>
      </c>
      <c r="BB46" s="12" t="s">
        <v>53</v>
      </c>
      <c r="BC46" s="33">
        <f t="shared" si="173"/>
        <v>4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2</v>
      </c>
      <c r="BJ46" s="33" t="s">
        <v>52</v>
      </c>
      <c r="BK46" s="49">
        <f>IFERROR(IF($B$10="W",BK22,BK23),"0")</f>
        <v>4</v>
      </c>
      <c r="BL46" s="12" t="s">
        <v>53</v>
      </c>
      <c r="BM46" s="33">
        <f>IFERROR(IF($B$10="W",BM22,BM23),"0")</f>
        <v>0</v>
      </c>
      <c r="BN46" s="49" t="s">
        <v>54</v>
      </c>
      <c r="BO46" s="12">
        <f>IFERROR(IF($B$10="W",BO22,BO23),"0")</f>
        <v>2</v>
      </c>
      <c r="BP46" s="33" t="s">
        <v>52</v>
      </c>
      <c r="BQ46" s="49">
        <f>IFERROR(IF($B$10="W",BQ22,BQ23),"0")</f>
        <v>2</v>
      </c>
      <c r="BR46" s="12" t="s">
        <v>53</v>
      </c>
      <c r="BS46" s="33">
        <f>IFERROR(IF($B$10="W",BS22,BS23),"0")</f>
        <v>0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0</v>
      </c>
      <c r="CB46" s="33" t="s">
        <v>52</v>
      </c>
      <c r="CC46" s="49">
        <f>IFERROR(IF($B$10="W",CC22,CC23),"0")</f>
        <v>2</v>
      </c>
      <c r="CD46" s="12" t="s">
        <v>53</v>
      </c>
      <c r="CE46" s="33">
        <f>IFERROR(IF($B$10="W",CE22,CE23),"0")</f>
        <v>0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2</v>
      </c>
      <c r="CK46" s="33">
        <f t="shared" si="183"/>
        <v>12</v>
      </c>
      <c r="CL46" s="33">
        <f t="shared" si="183"/>
        <v>0</v>
      </c>
      <c r="CM46" s="33">
        <f t="shared" si="183"/>
        <v>0</v>
      </c>
      <c r="CN46" s="33">
        <f t="shared" si="183"/>
        <v>14</v>
      </c>
      <c r="CO46" s="33">
        <f t="shared" si="183"/>
        <v>6</v>
      </c>
      <c r="CP46" s="33">
        <f t="shared" si="183"/>
        <v>8</v>
      </c>
      <c r="CQ46" s="33">
        <f t="shared" si="183"/>
        <v>3</v>
      </c>
      <c r="CR46" s="33">
        <f t="shared" si="183"/>
        <v>4</v>
      </c>
      <c r="CS46" s="33">
        <f t="shared" si="183"/>
        <v>1</v>
      </c>
      <c r="CT46" s="33">
        <f t="shared" si="183"/>
        <v>7</v>
      </c>
      <c r="CU46" s="33">
        <f t="shared" si="183"/>
        <v>0</v>
      </c>
      <c r="CV46" s="58">
        <f t="shared" si="183"/>
        <v>39.85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32.509747897465033</v>
      </c>
      <c r="EW46" s="38" t="s">
        <v>47</v>
      </c>
      <c r="EX46" s="6">
        <f t="shared" si="147"/>
        <v>2.8499999999999996</v>
      </c>
      <c r="EY46" s="6">
        <f t="shared" si="177"/>
        <v>4</v>
      </c>
      <c r="EZ46" s="6">
        <f t="shared" si="178"/>
        <v>17.467749999999999</v>
      </c>
    </row>
    <row r="47" spans="3:156" x14ac:dyDescent="0.2">
      <c r="C47" s="38" t="s">
        <v>48</v>
      </c>
      <c r="D47" s="28">
        <f t="shared" si="144"/>
        <v>42.260000000000005</v>
      </c>
      <c r="E47" s="86">
        <f t="shared" si="148"/>
        <v>11</v>
      </c>
      <c r="F47" s="33" t="s">
        <v>52</v>
      </c>
      <c r="G47" s="49">
        <f t="shared" si="149"/>
        <v>26</v>
      </c>
      <c r="H47" s="12" t="s">
        <v>53</v>
      </c>
      <c r="I47" s="33">
        <f t="shared" si="150"/>
        <v>9</v>
      </c>
      <c r="J47" s="49" t="s">
        <v>54</v>
      </c>
      <c r="K47" s="12">
        <f t="shared" si="151"/>
        <v>5</v>
      </c>
      <c r="L47" s="33" t="s">
        <v>52</v>
      </c>
      <c r="M47" s="49">
        <f t="shared" si="152"/>
        <v>7</v>
      </c>
      <c r="N47" s="12" t="s">
        <v>53</v>
      </c>
      <c r="O47" s="33">
        <f t="shared" si="153"/>
        <v>3</v>
      </c>
      <c r="P47" s="49" t="s">
        <v>54</v>
      </c>
      <c r="Q47" s="12">
        <f t="shared" si="154"/>
        <v>0</v>
      </c>
      <c r="R47" s="33" t="s">
        <v>52</v>
      </c>
      <c r="S47" s="49">
        <f t="shared" si="155"/>
        <v>0</v>
      </c>
      <c r="T47" s="12" t="s">
        <v>53</v>
      </c>
      <c r="U47" s="33">
        <f t="shared" si="156"/>
        <v>0</v>
      </c>
      <c r="V47" s="49" t="s">
        <v>54</v>
      </c>
      <c r="W47" s="12">
        <f t="shared" si="157"/>
        <v>6</v>
      </c>
      <c r="X47" s="33" t="s">
        <v>52</v>
      </c>
      <c r="Y47" s="49">
        <f t="shared" si="158"/>
        <v>19</v>
      </c>
      <c r="Z47" s="12" t="s">
        <v>53</v>
      </c>
      <c r="AA47" s="33">
        <f t="shared" si="159"/>
        <v>6</v>
      </c>
      <c r="AB47" s="49" t="s">
        <v>54</v>
      </c>
      <c r="AC47" s="12">
        <f t="shared" si="160"/>
        <v>2.4</v>
      </c>
      <c r="AD47" s="33" t="s">
        <v>52</v>
      </c>
      <c r="AE47" s="53">
        <f t="shared" si="161"/>
        <v>3</v>
      </c>
      <c r="AF47" s="12"/>
      <c r="AG47" s="43">
        <f t="shared" si="162"/>
        <v>8</v>
      </c>
      <c r="AH47" s="33" t="s">
        <v>52</v>
      </c>
      <c r="AI47" s="49">
        <f t="shared" si="163"/>
        <v>21</v>
      </c>
      <c r="AJ47" s="12" t="s">
        <v>53</v>
      </c>
      <c r="AK47" s="33">
        <f t="shared" si="164"/>
        <v>7</v>
      </c>
      <c r="AL47" s="49" t="s">
        <v>54</v>
      </c>
      <c r="AM47" s="12">
        <f t="shared" si="165"/>
        <v>3</v>
      </c>
      <c r="AN47" s="33" t="s">
        <v>52</v>
      </c>
      <c r="AO47" s="49">
        <f t="shared" si="166"/>
        <v>5</v>
      </c>
      <c r="AP47" s="12" t="s">
        <v>53</v>
      </c>
      <c r="AQ47" s="33">
        <f t="shared" si="167"/>
        <v>2</v>
      </c>
      <c r="AR47" s="49" t="s">
        <v>54</v>
      </c>
      <c r="AS47" s="12">
        <f t="shared" si="168"/>
        <v>0</v>
      </c>
      <c r="AT47" s="33" t="s">
        <v>52</v>
      </c>
      <c r="AU47" s="49">
        <f t="shared" si="169"/>
        <v>0</v>
      </c>
      <c r="AV47" s="12" t="s">
        <v>53</v>
      </c>
      <c r="AW47" s="33">
        <f t="shared" si="170"/>
        <v>0</v>
      </c>
      <c r="AX47" s="49" t="s">
        <v>54</v>
      </c>
      <c r="AY47" s="12">
        <f t="shared" si="171"/>
        <v>5</v>
      </c>
      <c r="AZ47" s="33" t="s">
        <v>52</v>
      </c>
      <c r="BA47" s="49">
        <f t="shared" si="172"/>
        <v>16</v>
      </c>
      <c r="BB47" s="12" t="s">
        <v>53</v>
      </c>
      <c r="BC47" s="33">
        <f t="shared" si="173"/>
        <v>5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3</v>
      </c>
      <c r="BJ47" s="33" t="s">
        <v>52</v>
      </c>
      <c r="BK47" s="49">
        <f>IFERROR(IF($B$11="W",BK22,BK23),"0")</f>
        <v>5</v>
      </c>
      <c r="BL47" s="12" t="s">
        <v>53</v>
      </c>
      <c r="BM47" s="33">
        <f>IFERROR(IF($B$11="W",BM22,BM23),"0")</f>
        <v>2</v>
      </c>
      <c r="BN47" s="49" t="s">
        <v>54</v>
      </c>
      <c r="BO47" s="12">
        <f>IFERROR(IF($B$11="W",BO22,BO23),"0")</f>
        <v>2</v>
      </c>
      <c r="BP47" s="33" t="s">
        <v>52</v>
      </c>
      <c r="BQ47" s="49">
        <f>IFERROR(IF($B$11="W",BQ22,BQ23),"0")</f>
        <v>2</v>
      </c>
      <c r="BR47" s="12" t="s">
        <v>53</v>
      </c>
      <c r="BS47" s="33">
        <f>IFERROR(IF($B$11="W",BS22,BS23),"0")</f>
        <v>1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1</v>
      </c>
      <c r="CB47" s="33" t="s">
        <v>52</v>
      </c>
      <c r="CC47" s="49">
        <f>IFERROR(IF($B$11="W",CC22,CC23),"0")</f>
        <v>3</v>
      </c>
      <c r="CD47" s="12" t="s">
        <v>53</v>
      </c>
      <c r="CE47" s="33">
        <f>IFERROR(IF($B$11="W",CE22,CE23),"0")</f>
        <v>1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2</v>
      </c>
      <c r="CK47" s="33">
        <f t="shared" si="184"/>
        <v>9</v>
      </c>
      <c r="CL47" s="33">
        <f t="shared" si="184"/>
        <v>0</v>
      </c>
      <c r="CM47" s="33">
        <f t="shared" si="184"/>
        <v>0</v>
      </c>
      <c r="CN47" s="33">
        <f t="shared" si="184"/>
        <v>11</v>
      </c>
      <c r="CO47" s="33">
        <f t="shared" si="184"/>
        <v>9</v>
      </c>
      <c r="CP47" s="33">
        <f t="shared" si="184"/>
        <v>12</v>
      </c>
      <c r="CQ47" s="33">
        <f t="shared" si="184"/>
        <v>4</v>
      </c>
      <c r="CR47" s="33">
        <f t="shared" si="184"/>
        <v>3</v>
      </c>
      <c r="CS47" s="33">
        <f t="shared" si="184"/>
        <v>4</v>
      </c>
      <c r="CT47" s="33">
        <f t="shared" si="184"/>
        <v>7</v>
      </c>
      <c r="CU47" s="33">
        <f t="shared" si="184"/>
        <v>2</v>
      </c>
      <c r="CV47" s="58">
        <f t="shared" si="184"/>
        <v>30.4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30.792311252170386</v>
      </c>
      <c r="EW47" s="38" t="s">
        <v>48</v>
      </c>
      <c r="EX47" s="6">
        <f t="shared" si="147"/>
        <v>2.4</v>
      </c>
      <c r="EY47" s="6">
        <f t="shared" si="177"/>
        <v>3</v>
      </c>
      <c r="EZ47" s="6">
        <f t="shared" si="178"/>
        <v>12.151999999999999</v>
      </c>
    </row>
    <row r="48" spans="3:156" x14ac:dyDescent="0.2">
      <c r="C48" s="38" t="s">
        <v>115</v>
      </c>
      <c r="D48" s="28">
        <f t="shared" si="144"/>
        <v>42.260000000000005</v>
      </c>
      <c r="E48" s="86">
        <f t="shared" si="148"/>
        <v>11</v>
      </c>
      <c r="F48" s="33" t="s">
        <v>52</v>
      </c>
      <c r="G48" s="49">
        <f t="shared" si="149"/>
        <v>26</v>
      </c>
      <c r="H48" s="12" t="s">
        <v>53</v>
      </c>
      <c r="I48" s="33">
        <f t="shared" si="150"/>
        <v>9</v>
      </c>
      <c r="J48" s="49" t="s">
        <v>54</v>
      </c>
      <c r="K48" s="12">
        <f t="shared" si="151"/>
        <v>5</v>
      </c>
      <c r="L48" s="33" t="s">
        <v>52</v>
      </c>
      <c r="M48" s="49">
        <f t="shared" si="152"/>
        <v>7</v>
      </c>
      <c r="N48" s="12" t="s">
        <v>53</v>
      </c>
      <c r="O48" s="33">
        <f t="shared" si="153"/>
        <v>3</v>
      </c>
      <c r="P48" s="49" t="s">
        <v>54</v>
      </c>
      <c r="Q48" s="12">
        <f t="shared" si="154"/>
        <v>0</v>
      </c>
      <c r="R48" s="33" t="s">
        <v>52</v>
      </c>
      <c r="S48" s="49">
        <f t="shared" si="155"/>
        <v>0</v>
      </c>
      <c r="T48" s="12" t="s">
        <v>53</v>
      </c>
      <c r="U48" s="33">
        <f t="shared" si="156"/>
        <v>0</v>
      </c>
      <c r="V48" s="49" t="s">
        <v>54</v>
      </c>
      <c r="W48" s="12">
        <f t="shared" si="157"/>
        <v>6</v>
      </c>
      <c r="X48" s="33" t="s">
        <v>52</v>
      </c>
      <c r="Y48" s="49">
        <f t="shared" si="158"/>
        <v>19</v>
      </c>
      <c r="Z48" s="12" t="s">
        <v>53</v>
      </c>
      <c r="AA48" s="33">
        <f t="shared" si="159"/>
        <v>6</v>
      </c>
      <c r="AB48" s="49" t="s">
        <v>54</v>
      </c>
      <c r="AC48" s="12">
        <f t="shared" si="160"/>
        <v>2.4</v>
      </c>
      <c r="AD48" s="33" t="s">
        <v>52</v>
      </c>
      <c r="AE48" s="53">
        <f t="shared" si="161"/>
        <v>3</v>
      </c>
      <c r="AF48" s="12"/>
      <c r="AG48" s="43">
        <f t="shared" si="162"/>
        <v>8</v>
      </c>
      <c r="AH48" s="33" t="s">
        <v>52</v>
      </c>
      <c r="AI48" s="49">
        <f t="shared" si="163"/>
        <v>21</v>
      </c>
      <c r="AJ48" s="12" t="s">
        <v>53</v>
      </c>
      <c r="AK48" s="33">
        <f t="shared" si="164"/>
        <v>7</v>
      </c>
      <c r="AL48" s="49" t="s">
        <v>54</v>
      </c>
      <c r="AM48" s="12">
        <f t="shared" si="165"/>
        <v>3</v>
      </c>
      <c r="AN48" s="33" t="s">
        <v>52</v>
      </c>
      <c r="AO48" s="49">
        <f t="shared" si="166"/>
        <v>5</v>
      </c>
      <c r="AP48" s="12" t="s">
        <v>53</v>
      </c>
      <c r="AQ48" s="33">
        <f t="shared" si="167"/>
        <v>2</v>
      </c>
      <c r="AR48" s="49" t="s">
        <v>54</v>
      </c>
      <c r="AS48" s="12">
        <f t="shared" si="168"/>
        <v>0</v>
      </c>
      <c r="AT48" s="33" t="s">
        <v>52</v>
      </c>
      <c r="AU48" s="49">
        <f t="shared" si="169"/>
        <v>0</v>
      </c>
      <c r="AV48" s="12" t="s">
        <v>53</v>
      </c>
      <c r="AW48" s="33">
        <f t="shared" si="170"/>
        <v>0</v>
      </c>
      <c r="AX48" s="49" t="s">
        <v>54</v>
      </c>
      <c r="AY48" s="12">
        <f t="shared" si="171"/>
        <v>5</v>
      </c>
      <c r="AZ48" s="33" t="s">
        <v>52</v>
      </c>
      <c r="BA48" s="49">
        <f t="shared" si="172"/>
        <v>16</v>
      </c>
      <c r="BB48" s="12" t="s">
        <v>53</v>
      </c>
      <c r="BC48" s="33">
        <f t="shared" si="173"/>
        <v>5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3</v>
      </c>
      <c r="BJ48" s="33" t="s">
        <v>52</v>
      </c>
      <c r="BK48" s="49">
        <f>IFERROR(IF($B$12="W",BK22,BK23),"0")</f>
        <v>5</v>
      </c>
      <c r="BL48" s="12" t="s">
        <v>53</v>
      </c>
      <c r="BM48" s="33">
        <f>IFERROR(IF($B$12="W",BM22,BM23),"0")</f>
        <v>2</v>
      </c>
      <c r="BN48" s="49" t="s">
        <v>54</v>
      </c>
      <c r="BO48" s="12">
        <f>IFERROR(IF($B$12="W",BO22,BO23),"0")</f>
        <v>2</v>
      </c>
      <c r="BP48" s="33" t="s">
        <v>52</v>
      </c>
      <c r="BQ48" s="49">
        <f>IFERROR(IF($B$12="W",BQ22,BQ23),"0")</f>
        <v>2</v>
      </c>
      <c r="BR48" s="12" t="s">
        <v>53</v>
      </c>
      <c r="BS48" s="33">
        <f>IFERROR(IF($B$12="W",BS22,BS23),"0")</f>
        <v>1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1</v>
      </c>
      <c r="CB48" s="33" t="s">
        <v>52</v>
      </c>
      <c r="CC48" s="49">
        <f>IFERROR(IF($B$12="W",CC22,CC23),"0")</f>
        <v>3</v>
      </c>
      <c r="CD48" s="12" t="s">
        <v>53</v>
      </c>
      <c r="CE48" s="33">
        <f>IFERROR(IF($B$12="W",CE22,CE23),"0")</f>
        <v>1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2</v>
      </c>
      <c r="CK48" s="33">
        <f t="shared" si="185"/>
        <v>9</v>
      </c>
      <c r="CL48" s="33">
        <f t="shared" si="185"/>
        <v>0</v>
      </c>
      <c r="CM48" s="33">
        <f t="shared" si="185"/>
        <v>0</v>
      </c>
      <c r="CN48" s="33">
        <f t="shared" si="185"/>
        <v>11</v>
      </c>
      <c r="CO48" s="33">
        <f t="shared" si="185"/>
        <v>9</v>
      </c>
      <c r="CP48" s="33">
        <f t="shared" si="185"/>
        <v>12</v>
      </c>
      <c r="CQ48" s="33">
        <f t="shared" si="185"/>
        <v>4</v>
      </c>
      <c r="CR48" s="33">
        <f t="shared" si="185"/>
        <v>3</v>
      </c>
      <c r="CS48" s="33">
        <f t="shared" si="185"/>
        <v>4</v>
      </c>
      <c r="CT48" s="33">
        <f t="shared" si="185"/>
        <v>7</v>
      </c>
      <c r="CU48" s="33">
        <f t="shared" si="185"/>
        <v>2</v>
      </c>
      <c r="CV48" s="58">
        <f t="shared" si="185"/>
        <v>30.4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30.792311252170386</v>
      </c>
      <c r="EW48" s="38" t="s">
        <v>115</v>
      </c>
      <c r="EX48" s="6">
        <f t="shared" si="147"/>
        <v>2.4</v>
      </c>
      <c r="EY48" s="6">
        <f t="shared" si="177"/>
        <v>3</v>
      </c>
      <c r="EZ48" s="6">
        <f t="shared" si="178"/>
        <v>12.151999999999999</v>
      </c>
    </row>
    <row r="49" spans="3:156" x14ac:dyDescent="0.2">
      <c r="C49" s="38" t="s">
        <v>227</v>
      </c>
      <c r="D49" s="28">
        <f t="shared" si="144"/>
        <v>42.260000000000005</v>
      </c>
      <c r="E49" s="86">
        <f t="shared" si="148"/>
        <v>11</v>
      </c>
      <c r="F49" s="33" t="s">
        <v>52</v>
      </c>
      <c r="G49" s="49">
        <f t="shared" si="149"/>
        <v>26</v>
      </c>
      <c r="H49" s="12" t="s">
        <v>53</v>
      </c>
      <c r="I49" s="33">
        <f t="shared" si="150"/>
        <v>9</v>
      </c>
      <c r="J49" s="49" t="s">
        <v>54</v>
      </c>
      <c r="K49" s="12">
        <f t="shared" si="151"/>
        <v>5</v>
      </c>
      <c r="L49" s="33" t="s">
        <v>52</v>
      </c>
      <c r="M49" s="49">
        <f t="shared" si="152"/>
        <v>7</v>
      </c>
      <c r="N49" s="12" t="s">
        <v>53</v>
      </c>
      <c r="O49" s="33">
        <f t="shared" si="153"/>
        <v>3</v>
      </c>
      <c r="P49" s="49" t="s">
        <v>54</v>
      </c>
      <c r="Q49" s="12">
        <f t="shared" si="154"/>
        <v>0</v>
      </c>
      <c r="R49" s="33" t="s">
        <v>52</v>
      </c>
      <c r="S49" s="49">
        <f t="shared" si="155"/>
        <v>0</v>
      </c>
      <c r="T49" s="12" t="s">
        <v>53</v>
      </c>
      <c r="U49" s="33">
        <f t="shared" si="156"/>
        <v>0</v>
      </c>
      <c r="V49" s="49" t="s">
        <v>54</v>
      </c>
      <c r="W49" s="12">
        <f t="shared" si="157"/>
        <v>6</v>
      </c>
      <c r="X49" s="33" t="s">
        <v>52</v>
      </c>
      <c r="Y49" s="49">
        <f t="shared" si="158"/>
        <v>19</v>
      </c>
      <c r="Z49" s="12" t="s">
        <v>53</v>
      </c>
      <c r="AA49" s="33">
        <f t="shared" si="159"/>
        <v>6</v>
      </c>
      <c r="AB49" s="49" t="s">
        <v>54</v>
      </c>
      <c r="AC49" s="12">
        <f t="shared" si="160"/>
        <v>2.4</v>
      </c>
      <c r="AD49" s="33" t="s">
        <v>52</v>
      </c>
      <c r="AE49" s="53">
        <f t="shared" si="161"/>
        <v>3</v>
      </c>
      <c r="AF49" s="12"/>
      <c r="AG49" s="43">
        <f t="shared" si="162"/>
        <v>8</v>
      </c>
      <c r="AH49" s="33" t="s">
        <v>52</v>
      </c>
      <c r="AI49" s="49">
        <f t="shared" si="163"/>
        <v>21</v>
      </c>
      <c r="AJ49" s="12" t="s">
        <v>53</v>
      </c>
      <c r="AK49" s="33">
        <f t="shared" si="164"/>
        <v>7</v>
      </c>
      <c r="AL49" s="49" t="s">
        <v>54</v>
      </c>
      <c r="AM49" s="12">
        <f t="shared" si="165"/>
        <v>3</v>
      </c>
      <c r="AN49" s="33" t="s">
        <v>52</v>
      </c>
      <c r="AO49" s="49">
        <f t="shared" si="166"/>
        <v>5</v>
      </c>
      <c r="AP49" s="12" t="s">
        <v>53</v>
      </c>
      <c r="AQ49" s="33">
        <f t="shared" si="167"/>
        <v>2</v>
      </c>
      <c r="AR49" s="49" t="s">
        <v>54</v>
      </c>
      <c r="AS49" s="12">
        <f t="shared" si="168"/>
        <v>0</v>
      </c>
      <c r="AT49" s="33" t="s">
        <v>52</v>
      </c>
      <c r="AU49" s="49">
        <f t="shared" si="169"/>
        <v>0</v>
      </c>
      <c r="AV49" s="12" t="s">
        <v>53</v>
      </c>
      <c r="AW49" s="33">
        <f t="shared" si="170"/>
        <v>0</v>
      </c>
      <c r="AX49" s="49" t="s">
        <v>54</v>
      </c>
      <c r="AY49" s="12">
        <f t="shared" si="171"/>
        <v>5</v>
      </c>
      <c r="AZ49" s="33" t="s">
        <v>52</v>
      </c>
      <c r="BA49" s="49">
        <f t="shared" si="172"/>
        <v>16</v>
      </c>
      <c r="BB49" s="12" t="s">
        <v>53</v>
      </c>
      <c r="BC49" s="33">
        <f t="shared" si="173"/>
        <v>5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3</v>
      </c>
      <c r="BJ49" s="33" t="s">
        <v>52</v>
      </c>
      <c r="BK49" s="49">
        <f>IFERROR(IF($B$13="W",BK22,BK23),"0")</f>
        <v>5</v>
      </c>
      <c r="BL49" s="12" t="s">
        <v>53</v>
      </c>
      <c r="BM49" s="33">
        <f>IFERROR(IF($B$13="W",BM22,BM23),"0")</f>
        <v>2</v>
      </c>
      <c r="BN49" s="49" t="s">
        <v>54</v>
      </c>
      <c r="BO49" s="12">
        <f>IFERROR(IF($B$13="W",BO22,BO23),"0")</f>
        <v>2</v>
      </c>
      <c r="BP49" s="33" t="s">
        <v>52</v>
      </c>
      <c r="BQ49" s="49">
        <f>IFERROR(IF($B$13="W",BQ22,BQ23),"0")</f>
        <v>2</v>
      </c>
      <c r="BR49" s="12" t="s">
        <v>53</v>
      </c>
      <c r="BS49" s="33">
        <f>IFERROR(IF($B$13="W",BS22,BS23),"0")</f>
        <v>1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1</v>
      </c>
      <c r="CB49" s="33" t="s">
        <v>52</v>
      </c>
      <c r="CC49" s="49">
        <f>IFERROR(IF($B$13="W",CC22,CC23),"0")</f>
        <v>3</v>
      </c>
      <c r="CD49" s="12" t="s">
        <v>53</v>
      </c>
      <c r="CE49" s="33">
        <f>IFERROR(IF($B$13="W",CE22,CE23),"0")</f>
        <v>1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2</v>
      </c>
      <c r="CK49" s="33">
        <f t="shared" si="186"/>
        <v>9</v>
      </c>
      <c r="CL49" s="33">
        <f t="shared" si="186"/>
        <v>0</v>
      </c>
      <c r="CM49" s="33">
        <f t="shared" si="186"/>
        <v>0</v>
      </c>
      <c r="CN49" s="33">
        <f t="shared" si="186"/>
        <v>11</v>
      </c>
      <c r="CO49" s="33">
        <f t="shared" si="186"/>
        <v>9</v>
      </c>
      <c r="CP49" s="33">
        <f t="shared" si="186"/>
        <v>12</v>
      </c>
      <c r="CQ49" s="33">
        <f t="shared" si="186"/>
        <v>4</v>
      </c>
      <c r="CR49" s="33">
        <f t="shared" si="186"/>
        <v>3</v>
      </c>
      <c r="CS49" s="33">
        <f t="shared" si="186"/>
        <v>4</v>
      </c>
      <c r="CT49" s="33">
        <f t="shared" si="186"/>
        <v>7</v>
      </c>
      <c r="CU49" s="33">
        <f t="shared" si="186"/>
        <v>2</v>
      </c>
      <c r="CV49" s="58">
        <f t="shared" si="186"/>
        <v>30.4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30.792311252170386</v>
      </c>
      <c r="EW49" s="38" t="s">
        <v>227</v>
      </c>
      <c r="EX49" s="6">
        <f t="shared" si="147"/>
        <v>2.4</v>
      </c>
      <c r="EY49" s="6">
        <f t="shared" si="177"/>
        <v>3</v>
      </c>
      <c r="EZ49" s="6">
        <f t="shared" si="178"/>
        <v>12.151999999999999</v>
      </c>
    </row>
    <row r="50" spans="3:156" x14ac:dyDescent="0.2">
      <c r="C50" s="38" t="s">
        <v>228</v>
      </c>
      <c r="D50" s="28">
        <f t="shared" si="144"/>
        <v>42.260000000000005</v>
      </c>
      <c r="E50" s="86">
        <f t="shared" si="148"/>
        <v>11</v>
      </c>
      <c r="F50" s="33" t="s">
        <v>52</v>
      </c>
      <c r="G50" s="49">
        <f t="shared" si="149"/>
        <v>26</v>
      </c>
      <c r="H50" s="12" t="s">
        <v>53</v>
      </c>
      <c r="I50" s="33">
        <f t="shared" si="150"/>
        <v>9</v>
      </c>
      <c r="J50" s="49" t="s">
        <v>54</v>
      </c>
      <c r="K50" s="12">
        <f t="shared" si="151"/>
        <v>5</v>
      </c>
      <c r="L50" s="33" t="s">
        <v>52</v>
      </c>
      <c r="M50" s="49">
        <f t="shared" si="152"/>
        <v>7</v>
      </c>
      <c r="N50" s="12" t="s">
        <v>53</v>
      </c>
      <c r="O50" s="33">
        <f t="shared" si="153"/>
        <v>3</v>
      </c>
      <c r="P50" s="49" t="s">
        <v>54</v>
      </c>
      <c r="Q50" s="12">
        <f t="shared" si="154"/>
        <v>0</v>
      </c>
      <c r="R50" s="33" t="s">
        <v>52</v>
      </c>
      <c r="S50" s="49">
        <f t="shared" si="155"/>
        <v>0</v>
      </c>
      <c r="T50" s="12" t="s">
        <v>53</v>
      </c>
      <c r="U50" s="33">
        <f t="shared" si="156"/>
        <v>0</v>
      </c>
      <c r="V50" s="49" t="s">
        <v>54</v>
      </c>
      <c r="W50" s="12">
        <f t="shared" si="157"/>
        <v>6</v>
      </c>
      <c r="X50" s="33" t="s">
        <v>52</v>
      </c>
      <c r="Y50" s="49">
        <f t="shared" si="158"/>
        <v>19</v>
      </c>
      <c r="Z50" s="12" t="s">
        <v>53</v>
      </c>
      <c r="AA50" s="33">
        <f t="shared" si="159"/>
        <v>6</v>
      </c>
      <c r="AB50" s="49" t="s">
        <v>54</v>
      </c>
      <c r="AC50" s="12">
        <f t="shared" si="160"/>
        <v>2.4</v>
      </c>
      <c r="AD50" s="33" t="s">
        <v>52</v>
      </c>
      <c r="AE50" s="53">
        <f t="shared" si="161"/>
        <v>3</v>
      </c>
      <c r="AF50" s="12"/>
      <c r="AG50" s="43">
        <f t="shared" si="162"/>
        <v>8</v>
      </c>
      <c r="AH50" s="33" t="s">
        <v>52</v>
      </c>
      <c r="AI50" s="49">
        <f t="shared" si="163"/>
        <v>21</v>
      </c>
      <c r="AJ50" s="12" t="s">
        <v>53</v>
      </c>
      <c r="AK50" s="33">
        <f t="shared" si="164"/>
        <v>7</v>
      </c>
      <c r="AL50" s="49" t="s">
        <v>54</v>
      </c>
      <c r="AM50" s="12">
        <f t="shared" si="165"/>
        <v>3</v>
      </c>
      <c r="AN50" s="33" t="s">
        <v>52</v>
      </c>
      <c r="AO50" s="49">
        <f t="shared" si="166"/>
        <v>5</v>
      </c>
      <c r="AP50" s="12" t="s">
        <v>53</v>
      </c>
      <c r="AQ50" s="33">
        <f t="shared" si="167"/>
        <v>2</v>
      </c>
      <c r="AR50" s="49" t="s">
        <v>54</v>
      </c>
      <c r="AS50" s="12">
        <f t="shared" si="168"/>
        <v>0</v>
      </c>
      <c r="AT50" s="33" t="s">
        <v>52</v>
      </c>
      <c r="AU50" s="49">
        <f t="shared" si="169"/>
        <v>0</v>
      </c>
      <c r="AV50" s="12" t="s">
        <v>53</v>
      </c>
      <c r="AW50" s="33">
        <f t="shared" si="170"/>
        <v>0</v>
      </c>
      <c r="AX50" s="49" t="s">
        <v>54</v>
      </c>
      <c r="AY50" s="12">
        <f t="shared" si="171"/>
        <v>5</v>
      </c>
      <c r="AZ50" s="33" t="s">
        <v>52</v>
      </c>
      <c r="BA50" s="49">
        <f t="shared" si="172"/>
        <v>16</v>
      </c>
      <c r="BB50" s="12" t="s">
        <v>53</v>
      </c>
      <c r="BC50" s="33">
        <f t="shared" si="173"/>
        <v>5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3</v>
      </c>
      <c r="BJ50" s="12" t="str">
        <f t="shared" ref="BJ50:CI50" si="187">IFERROR(IF($B$14="W",BJ22,BJ23),"0")</f>
        <v>-</v>
      </c>
      <c r="BK50" s="49">
        <f t="shared" si="187"/>
        <v>5</v>
      </c>
      <c r="BL50" s="12" t="str">
        <f t="shared" si="187"/>
        <v>(</v>
      </c>
      <c r="BM50" s="33">
        <f t="shared" si="187"/>
        <v>2</v>
      </c>
      <c r="BN50" s="49" t="str">
        <f t="shared" si="187"/>
        <v>)</v>
      </c>
      <c r="BO50" s="12">
        <f t="shared" si="187"/>
        <v>2</v>
      </c>
      <c r="BP50" s="12" t="str">
        <f t="shared" si="187"/>
        <v>-</v>
      </c>
      <c r="BQ50" s="49">
        <f t="shared" si="187"/>
        <v>2</v>
      </c>
      <c r="BR50" s="12" t="str">
        <f t="shared" si="187"/>
        <v>(</v>
      </c>
      <c r="BS50" s="33">
        <f t="shared" si="187"/>
        <v>1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0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1</v>
      </c>
      <c r="CB50" s="12" t="str">
        <f t="shared" si="187"/>
        <v>-</v>
      </c>
      <c r="CC50" s="49">
        <f t="shared" si="187"/>
        <v>3</v>
      </c>
      <c r="CD50" s="12" t="str">
        <f t="shared" si="187"/>
        <v>(</v>
      </c>
      <c r="CE50" s="33">
        <f t="shared" si="187"/>
        <v>1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2</v>
      </c>
      <c r="CK50" s="33">
        <f t="shared" ref="CK50:CV50" si="188">IFERROR(IF($B$14="W",CK22,CK23),"0")</f>
        <v>9</v>
      </c>
      <c r="CL50" s="33">
        <f t="shared" si="188"/>
        <v>0</v>
      </c>
      <c r="CM50" s="33">
        <f t="shared" si="188"/>
        <v>0</v>
      </c>
      <c r="CN50" s="33">
        <f t="shared" si="188"/>
        <v>11</v>
      </c>
      <c r="CO50" s="33">
        <f t="shared" si="188"/>
        <v>9</v>
      </c>
      <c r="CP50" s="33">
        <f t="shared" si="188"/>
        <v>12</v>
      </c>
      <c r="CQ50" s="33">
        <f t="shared" si="188"/>
        <v>4</v>
      </c>
      <c r="CR50" s="33">
        <f t="shared" si="188"/>
        <v>3</v>
      </c>
      <c r="CS50" s="33">
        <f t="shared" si="188"/>
        <v>4</v>
      </c>
      <c r="CT50" s="33">
        <f t="shared" si="188"/>
        <v>7</v>
      </c>
      <c r="CU50" s="33">
        <f t="shared" si="188"/>
        <v>2</v>
      </c>
      <c r="CV50" s="33">
        <f t="shared" si="188"/>
        <v>30.4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30.792311252170386</v>
      </c>
      <c r="EW50" s="38" t="s">
        <v>228</v>
      </c>
      <c r="EX50" s="6">
        <f t="shared" si="147"/>
        <v>2.4</v>
      </c>
      <c r="EY50" s="6">
        <f t="shared" si="177"/>
        <v>3</v>
      </c>
      <c r="EZ50" s="6">
        <f t="shared" si="178"/>
        <v>12.151999999999999</v>
      </c>
    </row>
    <row r="51" spans="3:156" x14ac:dyDescent="0.2">
      <c r="C51" s="38" t="s">
        <v>229</v>
      </c>
      <c r="D51" s="28">
        <f t="shared" si="144"/>
        <v>42.260000000000005</v>
      </c>
      <c r="E51" s="86">
        <f t="shared" si="148"/>
        <v>16</v>
      </c>
      <c r="F51" s="33" t="s">
        <v>52</v>
      </c>
      <c r="G51" s="49">
        <f t="shared" si="149"/>
        <v>26</v>
      </c>
      <c r="H51" s="12" t="s">
        <v>53</v>
      </c>
      <c r="I51" s="33">
        <f t="shared" si="150"/>
        <v>6</v>
      </c>
      <c r="J51" s="49" t="s">
        <v>54</v>
      </c>
      <c r="K51" s="12">
        <f t="shared" si="151"/>
        <v>10</v>
      </c>
      <c r="L51" s="33" t="s">
        <v>52</v>
      </c>
      <c r="M51" s="49">
        <f t="shared" si="152"/>
        <v>14</v>
      </c>
      <c r="N51" s="12" t="s">
        <v>53</v>
      </c>
      <c r="O51" s="33">
        <f t="shared" si="153"/>
        <v>2</v>
      </c>
      <c r="P51" s="49" t="s">
        <v>54</v>
      </c>
      <c r="Q51" s="12">
        <f t="shared" si="154"/>
        <v>1</v>
      </c>
      <c r="R51" s="33" t="s">
        <v>52</v>
      </c>
      <c r="S51" s="49">
        <f t="shared" si="155"/>
        <v>1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5</v>
      </c>
      <c r="X51" s="33" t="s">
        <v>52</v>
      </c>
      <c r="Y51" s="49">
        <f t="shared" si="158"/>
        <v>11</v>
      </c>
      <c r="Z51" s="12" t="s">
        <v>53</v>
      </c>
      <c r="AA51" s="33">
        <f t="shared" si="159"/>
        <v>4</v>
      </c>
      <c r="AB51" s="49" t="s">
        <v>54</v>
      </c>
      <c r="AC51" s="12">
        <f t="shared" si="160"/>
        <v>2.8499999999999996</v>
      </c>
      <c r="AD51" s="33" t="s">
        <v>52</v>
      </c>
      <c r="AE51" s="53">
        <f t="shared" si="161"/>
        <v>4</v>
      </c>
      <c r="AF51" s="12"/>
      <c r="AG51" s="43">
        <f t="shared" si="162"/>
        <v>14</v>
      </c>
      <c r="AH51" s="33" t="s">
        <v>52</v>
      </c>
      <c r="AI51" s="49">
        <f t="shared" si="163"/>
        <v>22</v>
      </c>
      <c r="AJ51" s="12" t="s">
        <v>53</v>
      </c>
      <c r="AK51" s="33">
        <f t="shared" si="164"/>
        <v>6</v>
      </c>
      <c r="AL51" s="49" t="s">
        <v>54</v>
      </c>
      <c r="AM51" s="12">
        <f t="shared" si="165"/>
        <v>8</v>
      </c>
      <c r="AN51" s="33" t="s">
        <v>52</v>
      </c>
      <c r="AO51" s="49">
        <f t="shared" si="166"/>
        <v>12</v>
      </c>
      <c r="AP51" s="12" t="s">
        <v>53</v>
      </c>
      <c r="AQ51" s="33">
        <f t="shared" si="167"/>
        <v>2</v>
      </c>
      <c r="AR51" s="49" t="s">
        <v>54</v>
      </c>
      <c r="AS51" s="12">
        <f t="shared" si="168"/>
        <v>1</v>
      </c>
      <c r="AT51" s="33" t="s">
        <v>52</v>
      </c>
      <c r="AU51" s="49">
        <f t="shared" si="169"/>
        <v>1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5</v>
      </c>
      <c r="AZ51" s="33" t="s">
        <v>52</v>
      </c>
      <c r="BA51" s="49">
        <f t="shared" si="172"/>
        <v>9</v>
      </c>
      <c r="BB51" s="12" t="s">
        <v>53</v>
      </c>
      <c r="BC51" s="33">
        <f t="shared" si="173"/>
        <v>4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2</v>
      </c>
      <c r="BJ51" s="12" t="str">
        <f t="shared" ref="BJ51:CI51" si="189">IFERROR(IF($B$15="W",BJ22,BJ23),"0")</f>
        <v>-</v>
      </c>
      <c r="BK51" s="49">
        <f t="shared" si="189"/>
        <v>4</v>
      </c>
      <c r="BL51" s="12" t="str">
        <f t="shared" si="189"/>
        <v>(</v>
      </c>
      <c r="BM51" s="33">
        <f t="shared" si="189"/>
        <v>0</v>
      </c>
      <c r="BN51" s="49" t="str">
        <f t="shared" si="189"/>
        <v>)</v>
      </c>
      <c r="BO51" s="12">
        <f t="shared" si="189"/>
        <v>2</v>
      </c>
      <c r="BP51" s="12" t="str">
        <f t="shared" si="189"/>
        <v>-</v>
      </c>
      <c r="BQ51" s="49">
        <f t="shared" si="189"/>
        <v>2</v>
      </c>
      <c r="BR51" s="12" t="str">
        <f t="shared" si="189"/>
        <v>(</v>
      </c>
      <c r="BS51" s="33">
        <f t="shared" si="189"/>
        <v>0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0</v>
      </c>
      <c r="CB51" s="12" t="str">
        <f t="shared" si="189"/>
        <v>-</v>
      </c>
      <c r="CC51" s="49">
        <f t="shared" si="189"/>
        <v>2</v>
      </c>
      <c r="CD51" s="12" t="str">
        <f t="shared" si="189"/>
        <v>(</v>
      </c>
      <c r="CE51" s="33">
        <f t="shared" si="189"/>
        <v>0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2</v>
      </c>
      <c r="CK51" s="33">
        <f t="shared" ref="CK51:CV51" si="190">IFERROR(IF($B$15="W",CK22,CK23),"0")</f>
        <v>12</v>
      </c>
      <c r="CL51" s="33">
        <f t="shared" si="190"/>
        <v>0</v>
      </c>
      <c r="CM51" s="33">
        <f t="shared" si="190"/>
        <v>0</v>
      </c>
      <c r="CN51" s="33">
        <f t="shared" si="190"/>
        <v>14</v>
      </c>
      <c r="CO51" s="33">
        <f t="shared" si="190"/>
        <v>6</v>
      </c>
      <c r="CP51" s="33">
        <f t="shared" si="190"/>
        <v>8</v>
      </c>
      <c r="CQ51" s="33">
        <f t="shared" si="190"/>
        <v>3</v>
      </c>
      <c r="CR51" s="33">
        <f t="shared" si="190"/>
        <v>4</v>
      </c>
      <c r="CS51" s="33">
        <f t="shared" si="190"/>
        <v>1</v>
      </c>
      <c r="CT51" s="33">
        <f t="shared" si="190"/>
        <v>7</v>
      </c>
      <c r="CU51" s="33">
        <f t="shared" si="190"/>
        <v>0</v>
      </c>
      <c r="CV51" s="33">
        <f t="shared" si="190"/>
        <v>39.85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32.509747897465033</v>
      </c>
      <c r="EW51" s="38" t="s">
        <v>229</v>
      </c>
      <c r="EX51" s="6">
        <f t="shared" si="147"/>
        <v>2.8499999999999996</v>
      </c>
      <c r="EY51" s="6">
        <f t="shared" si="177"/>
        <v>4</v>
      </c>
      <c r="EZ51" s="6">
        <f t="shared" si="178"/>
        <v>17.467749999999999</v>
      </c>
    </row>
    <row r="52" spans="3:156" x14ac:dyDescent="0.2">
      <c r="C52" s="38" t="s">
        <v>113</v>
      </c>
      <c r="D52" s="28">
        <f t="shared" si="144"/>
        <v>42.260000000000005</v>
      </c>
      <c r="E52" s="86">
        <f t="shared" si="148"/>
        <v>16</v>
      </c>
      <c r="F52" s="33" t="s">
        <v>52</v>
      </c>
      <c r="G52" s="49">
        <f t="shared" si="149"/>
        <v>26</v>
      </c>
      <c r="H52" s="12" t="s">
        <v>53</v>
      </c>
      <c r="I52" s="33">
        <f t="shared" si="150"/>
        <v>6</v>
      </c>
      <c r="J52" s="49" t="s">
        <v>54</v>
      </c>
      <c r="K52" s="12">
        <f t="shared" si="151"/>
        <v>10</v>
      </c>
      <c r="L52" s="33" t="s">
        <v>52</v>
      </c>
      <c r="M52" s="49">
        <f t="shared" si="152"/>
        <v>14</v>
      </c>
      <c r="N52" s="12" t="s">
        <v>53</v>
      </c>
      <c r="O52" s="33">
        <f t="shared" si="153"/>
        <v>2</v>
      </c>
      <c r="P52" s="49" t="s">
        <v>54</v>
      </c>
      <c r="Q52" s="12">
        <f t="shared" si="154"/>
        <v>1</v>
      </c>
      <c r="R52" s="33" t="s">
        <v>52</v>
      </c>
      <c r="S52" s="49">
        <f t="shared" si="155"/>
        <v>1</v>
      </c>
      <c r="T52" s="12" t="s">
        <v>53</v>
      </c>
      <c r="U52" s="33">
        <f t="shared" si="156"/>
        <v>0</v>
      </c>
      <c r="V52" s="49" t="s">
        <v>54</v>
      </c>
      <c r="W52" s="12">
        <f t="shared" si="157"/>
        <v>5</v>
      </c>
      <c r="X52" s="33" t="s">
        <v>52</v>
      </c>
      <c r="Y52" s="49">
        <f t="shared" si="158"/>
        <v>11</v>
      </c>
      <c r="Z52" s="12" t="s">
        <v>53</v>
      </c>
      <c r="AA52" s="33">
        <f t="shared" si="159"/>
        <v>4</v>
      </c>
      <c r="AB52" s="49" t="s">
        <v>54</v>
      </c>
      <c r="AC52" s="12">
        <f t="shared" si="160"/>
        <v>2.8499999999999996</v>
      </c>
      <c r="AD52" s="33" t="s">
        <v>52</v>
      </c>
      <c r="AE52" s="53">
        <f t="shared" si="161"/>
        <v>4</v>
      </c>
      <c r="AF52" s="12"/>
      <c r="AG52" s="43">
        <f t="shared" si="162"/>
        <v>14</v>
      </c>
      <c r="AH52" s="33" t="s">
        <v>52</v>
      </c>
      <c r="AI52" s="49">
        <f t="shared" si="163"/>
        <v>22</v>
      </c>
      <c r="AJ52" s="12" t="s">
        <v>53</v>
      </c>
      <c r="AK52" s="33">
        <f t="shared" si="164"/>
        <v>6</v>
      </c>
      <c r="AL52" s="49" t="s">
        <v>54</v>
      </c>
      <c r="AM52" s="12">
        <f t="shared" si="165"/>
        <v>8</v>
      </c>
      <c r="AN52" s="33" t="s">
        <v>52</v>
      </c>
      <c r="AO52" s="49">
        <f t="shared" si="166"/>
        <v>12</v>
      </c>
      <c r="AP52" s="12" t="s">
        <v>53</v>
      </c>
      <c r="AQ52" s="33">
        <f t="shared" si="167"/>
        <v>2</v>
      </c>
      <c r="AR52" s="49" t="s">
        <v>54</v>
      </c>
      <c r="AS52" s="12">
        <f t="shared" si="168"/>
        <v>1</v>
      </c>
      <c r="AT52" s="33" t="s">
        <v>52</v>
      </c>
      <c r="AU52" s="49">
        <f t="shared" si="169"/>
        <v>1</v>
      </c>
      <c r="AV52" s="12" t="s">
        <v>53</v>
      </c>
      <c r="AW52" s="33">
        <f t="shared" si="170"/>
        <v>0</v>
      </c>
      <c r="AX52" s="49" t="s">
        <v>54</v>
      </c>
      <c r="AY52" s="12">
        <f t="shared" si="171"/>
        <v>5</v>
      </c>
      <c r="AZ52" s="33" t="s">
        <v>52</v>
      </c>
      <c r="BA52" s="49">
        <f t="shared" si="172"/>
        <v>9</v>
      </c>
      <c r="BB52" s="12" t="s">
        <v>53</v>
      </c>
      <c r="BC52" s="33">
        <f t="shared" si="173"/>
        <v>4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2</v>
      </c>
      <c r="BJ52" s="12" t="str">
        <f t="shared" ref="BJ52:CI52" si="191">IFERROR(IF($B$16="W",BJ22,BJ23),"0")</f>
        <v>-</v>
      </c>
      <c r="BK52" s="49">
        <f t="shared" si="191"/>
        <v>4</v>
      </c>
      <c r="BL52" s="12" t="str">
        <f t="shared" si="191"/>
        <v>(</v>
      </c>
      <c r="BM52" s="33">
        <f t="shared" si="191"/>
        <v>0</v>
      </c>
      <c r="BN52" s="49" t="str">
        <f t="shared" si="191"/>
        <v>)</v>
      </c>
      <c r="BO52" s="12">
        <f t="shared" si="191"/>
        <v>2</v>
      </c>
      <c r="BP52" s="12" t="str">
        <f t="shared" si="191"/>
        <v>-</v>
      </c>
      <c r="BQ52" s="49">
        <f t="shared" si="191"/>
        <v>2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0</v>
      </c>
      <c r="CB52" s="12" t="str">
        <f t="shared" si="191"/>
        <v>-</v>
      </c>
      <c r="CC52" s="49">
        <f t="shared" si="191"/>
        <v>2</v>
      </c>
      <c r="CD52" s="12" t="str">
        <f t="shared" si="191"/>
        <v>(</v>
      </c>
      <c r="CE52" s="33">
        <f t="shared" si="191"/>
        <v>0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2</v>
      </c>
      <c r="CK52" s="33">
        <f t="shared" ref="CK52:CV52" si="192">IFERROR(IF($B$16="W",CK22,CK23),"0")</f>
        <v>12</v>
      </c>
      <c r="CL52" s="33">
        <f t="shared" si="192"/>
        <v>0</v>
      </c>
      <c r="CM52" s="33">
        <f t="shared" si="192"/>
        <v>0</v>
      </c>
      <c r="CN52" s="33">
        <f t="shared" si="192"/>
        <v>14</v>
      </c>
      <c r="CO52" s="33">
        <f t="shared" si="192"/>
        <v>6</v>
      </c>
      <c r="CP52" s="33">
        <f t="shared" si="192"/>
        <v>8</v>
      </c>
      <c r="CQ52" s="33">
        <f t="shared" si="192"/>
        <v>3</v>
      </c>
      <c r="CR52" s="33">
        <f t="shared" si="192"/>
        <v>4</v>
      </c>
      <c r="CS52" s="33">
        <f t="shared" si="192"/>
        <v>1</v>
      </c>
      <c r="CT52" s="33">
        <f t="shared" si="192"/>
        <v>7</v>
      </c>
      <c r="CU52" s="33">
        <f t="shared" si="192"/>
        <v>0</v>
      </c>
      <c r="CV52" s="33">
        <f t="shared" si="192"/>
        <v>39.85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32.509747897465033</v>
      </c>
      <c r="EW52" s="38" t="s">
        <v>113</v>
      </c>
      <c r="EX52" s="6">
        <f t="shared" si="147"/>
        <v>2.8499999999999996</v>
      </c>
      <c r="EY52" s="6">
        <f t="shared" si="177"/>
        <v>4</v>
      </c>
      <c r="EZ52" s="6">
        <f t="shared" si="178"/>
        <v>17.467749999999999</v>
      </c>
    </row>
    <row r="53" spans="3:156" x14ac:dyDescent="0.2">
      <c r="C53" s="38" t="s">
        <v>49</v>
      </c>
      <c r="D53" s="28">
        <f t="shared" si="144"/>
        <v>42.260000000000005</v>
      </c>
      <c r="E53" s="86">
        <f t="shared" si="148"/>
        <v>11</v>
      </c>
      <c r="F53" s="33" t="s">
        <v>52</v>
      </c>
      <c r="G53" s="49">
        <f t="shared" si="149"/>
        <v>26</v>
      </c>
      <c r="H53" s="12" t="s">
        <v>53</v>
      </c>
      <c r="I53" s="33">
        <f t="shared" si="150"/>
        <v>9</v>
      </c>
      <c r="J53" s="49" t="s">
        <v>54</v>
      </c>
      <c r="K53" s="12">
        <f t="shared" si="151"/>
        <v>5</v>
      </c>
      <c r="L53" s="33" t="s">
        <v>52</v>
      </c>
      <c r="M53" s="49">
        <f t="shared" si="152"/>
        <v>7</v>
      </c>
      <c r="N53" s="12" t="s">
        <v>53</v>
      </c>
      <c r="O53" s="33">
        <f t="shared" si="153"/>
        <v>3</v>
      </c>
      <c r="P53" s="49" t="s">
        <v>54</v>
      </c>
      <c r="Q53" s="12">
        <f t="shared" si="154"/>
        <v>0</v>
      </c>
      <c r="R53" s="33" t="s">
        <v>52</v>
      </c>
      <c r="S53" s="49">
        <f t="shared" si="155"/>
        <v>0</v>
      </c>
      <c r="T53" s="12" t="s">
        <v>53</v>
      </c>
      <c r="U53" s="33">
        <f t="shared" si="156"/>
        <v>0</v>
      </c>
      <c r="V53" s="49" t="s">
        <v>54</v>
      </c>
      <c r="W53" s="12">
        <f t="shared" si="157"/>
        <v>6</v>
      </c>
      <c r="X53" s="33" t="s">
        <v>52</v>
      </c>
      <c r="Y53" s="49">
        <f t="shared" si="158"/>
        <v>19</v>
      </c>
      <c r="Z53" s="12" t="s">
        <v>53</v>
      </c>
      <c r="AA53" s="33">
        <f t="shared" si="159"/>
        <v>6</v>
      </c>
      <c r="AB53" s="49" t="s">
        <v>54</v>
      </c>
      <c r="AC53" s="12">
        <f t="shared" si="160"/>
        <v>2.4</v>
      </c>
      <c r="AD53" s="33" t="s">
        <v>52</v>
      </c>
      <c r="AE53" s="53">
        <f t="shared" si="161"/>
        <v>3</v>
      </c>
      <c r="AF53" s="12"/>
      <c r="AG53" s="43">
        <f t="shared" si="162"/>
        <v>8</v>
      </c>
      <c r="AH53" s="33" t="s">
        <v>52</v>
      </c>
      <c r="AI53" s="49">
        <f t="shared" si="163"/>
        <v>21</v>
      </c>
      <c r="AJ53" s="12" t="s">
        <v>53</v>
      </c>
      <c r="AK53" s="33">
        <f t="shared" si="164"/>
        <v>7</v>
      </c>
      <c r="AL53" s="49" t="s">
        <v>54</v>
      </c>
      <c r="AM53" s="12">
        <f t="shared" si="165"/>
        <v>3</v>
      </c>
      <c r="AN53" s="33" t="s">
        <v>52</v>
      </c>
      <c r="AO53" s="49">
        <f t="shared" si="166"/>
        <v>5</v>
      </c>
      <c r="AP53" s="12" t="s">
        <v>53</v>
      </c>
      <c r="AQ53" s="33">
        <f t="shared" si="167"/>
        <v>2</v>
      </c>
      <c r="AR53" s="49" t="s">
        <v>54</v>
      </c>
      <c r="AS53" s="12">
        <f t="shared" si="168"/>
        <v>0</v>
      </c>
      <c r="AT53" s="33" t="s">
        <v>52</v>
      </c>
      <c r="AU53" s="49">
        <f t="shared" si="169"/>
        <v>0</v>
      </c>
      <c r="AV53" s="12" t="s">
        <v>53</v>
      </c>
      <c r="AW53" s="33">
        <f t="shared" si="170"/>
        <v>0</v>
      </c>
      <c r="AX53" s="49" t="s">
        <v>54</v>
      </c>
      <c r="AY53" s="12">
        <f t="shared" si="171"/>
        <v>5</v>
      </c>
      <c r="AZ53" s="33" t="s">
        <v>52</v>
      </c>
      <c r="BA53" s="49">
        <f t="shared" si="172"/>
        <v>16</v>
      </c>
      <c r="BB53" s="12" t="s">
        <v>53</v>
      </c>
      <c r="BC53" s="33">
        <f t="shared" si="173"/>
        <v>5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3</v>
      </c>
      <c r="BJ53" s="12" t="str">
        <f t="shared" ref="BJ53:CI53" si="193">IFERROR(IF($B$17="W",BJ22,BJ23),"0")</f>
        <v>-</v>
      </c>
      <c r="BK53" s="49">
        <f t="shared" si="193"/>
        <v>5</v>
      </c>
      <c r="BL53" s="12" t="str">
        <f t="shared" si="193"/>
        <v>(</v>
      </c>
      <c r="BM53" s="33">
        <f t="shared" si="193"/>
        <v>2</v>
      </c>
      <c r="BN53" s="49" t="str">
        <f t="shared" si="193"/>
        <v>)</v>
      </c>
      <c r="BO53" s="12">
        <f t="shared" si="193"/>
        <v>2</v>
      </c>
      <c r="BP53" s="12" t="str">
        <f t="shared" si="193"/>
        <v>-</v>
      </c>
      <c r="BQ53" s="49">
        <f t="shared" si="193"/>
        <v>2</v>
      </c>
      <c r="BR53" s="12" t="str">
        <f t="shared" si="193"/>
        <v>(</v>
      </c>
      <c r="BS53" s="33">
        <f t="shared" si="193"/>
        <v>1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1</v>
      </c>
      <c r="CB53" s="12" t="str">
        <f t="shared" si="193"/>
        <v>-</v>
      </c>
      <c r="CC53" s="49">
        <f t="shared" si="193"/>
        <v>3</v>
      </c>
      <c r="CD53" s="12" t="str">
        <f t="shared" si="193"/>
        <v>(</v>
      </c>
      <c r="CE53" s="33">
        <f t="shared" si="193"/>
        <v>1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2</v>
      </c>
      <c r="CK53" s="33">
        <f t="shared" ref="CK53:CV53" si="194">IFERROR(IF($B$17="W",CK22,CK23),"0")</f>
        <v>9</v>
      </c>
      <c r="CL53" s="33">
        <f t="shared" si="194"/>
        <v>0</v>
      </c>
      <c r="CM53" s="33">
        <f t="shared" si="194"/>
        <v>0</v>
      </c>
      <c r="CN53" s="33">
        <f t="shared" si="194"/>
        <v>11</v>
      </c>
      <c r="CO53" s="33">
        <f t="shared" si="194"/>
        <v>9</v>
      </c>
      <c r="CP53" s="33">
        <f t="shared" si="194"/>
        <v>12</v>
      </c>
      <c r="CQ53" s="33">
        <f t="shared" si="194"/>
        <v>4</v>
      </c>
      <c r="CR53" s="33">
        <f t="shared" si="194"/>
        <v>3</v>
      </c>
      <c r="CS53" s="33">
        <f t="shared" si="194"/>
        <v>4</v>
      </c>
      <c r="CT53" s="33">
        <f t="shared" si="194"/>
        <v>7</v>
      </c>
      <c r="CU53" s="33">
        <f t="shared" si="194"/>
        <v>2</v>
      </c>
      <c r="CV53" s="33">
        <f t="shared" si="194"/>
        <v>30.4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30.792311252170386</v>
      </c>
      <c r="EW53" s="38" t="s">
        <v>49</v>
      </c>
      <c r="EX53" s="6">
        <f t="shared" si="147"/>
        <v>2.4</v>
      </c>
      <c r="EY53" s="6">
        <f t="shared" si="177"/>
        <v>3</v>
      </c>
      <c r="EZ53" s="6">
        <f t="shared" si="178"/>
        <v>12.151999999999999</v>
      </c>
    </row>
    <row r="54" spans="3:156" ht="17" thickBot="1" x14ac:dyDescent="0.25">
      <c r="C54" s="38" t="s">
        <v>230</v>
      </c>
      <c r="D54" s="28">
        <f t="shared" si="144"/>
        <v>42.260000000000005</v>
      </c>
      <c r="E54" s="87">
        <f t="shared" si="148"/>
        <v>16</v>
      </c>
      <c r="F54" s="55" t="s">
        <v>52</v>
      </c>
      <c r="G54" s="54">
        <f t="shared" si="149"/>
        <v>26</v>
      </c>
      <c r="H54" s="45" t="s">
        <v>53</v>
      </c>
      <c r="I54" s="55">
        <f t="shared" si="150"/>
        <v>6</v>
      </c>
      <c r="J54" s="54" t="s">
        <v>54</v>
      </c>
      <c r="K54" s="45">
        <f t="shared" si="151"/>
        <v>10</v>
      </c>
      <c r="L54" s="55" t="s">
        <v>52</v>
      </c>
      <c r="M54" s="54">
        <f t="shared" si="152"/>
        <v>14</v>
      </c>
      <c r="N54" s="45" t="s">
        <v>53</v>
      </c>
      <c r="O54" s="55">
        <f t="shared" si="153"/>
        <v>2</v>
      </c>
      <c r="P54" s="54" t="s">
        <v>54</v>
      </c>
      <c r="Q54" s="45">
        <f t="shared" si="154"/>
        <v>1</v>
      </c>
      <c r="R54" s="55" t="s">
        <v>52</v>
      </c>
      <c r="S54" s="54">
        <f t="shared" si="155"/>
        <v>1</v>
      </c>
      <c r="T54" s="45" t="s">
        <v>53</v>
      </c>
      <c r="U54" s="55">
        <f t="shared" si="156"/>
        <v>0</v>
      </c>
      <c r="V54" s="54" t="s">
        <v>54</v>
      </c>
      <c r="W54" s="45">
        <f t="shared" si="157"/>
        <v>5</v>
      </c>
      <c r="X54" s="55" t="s">
        <v>52</v>
      </c>
      <c r="Y54" s="54">
        <f t="shared" si="158"/>
        <v>11</v>
      </c>
      <c r="Z54" s="45" t="s">
        <v>53</v>
      </c>
      <c r="AA54" s="55">
        <f t="shared" si="159"/>
        <v>4</v>
      </c>
      <c r="AB54" s="54" t="s">
        <v>54</v>
      </c>
      <c r="AC54" s="45">
        <f t="shared" si="160"/>
        <v>2.8499999999999996</v>
      </c>
      <c r="AD54" s="55" t="s">
        <v>52</v>
      </c>
      <c r="AE54" s="56">
        <f t="shared" si="161"/>
        <v>4</v>
      </c>
      <c r="AF54" s="1"/>
      <c r="AG54" s="44">
        <f t="shared" si="162"/>
        <v>14</v>
      </c>
      <c r="AH54" s="55" t="s">
        <v>52</v>
      </c>
      <c r="AI54" s="54">
        <f t="shared" si="163"/>
        <v>22</v>
      </c>
      <c r="AJ54" s="45" t="s">
        <v>53</v>
      </c>
      <c r="AK54" s="55">
        <f t="shared" si="164"/>
        <v>6</v>
      </c>
      <c r="AL54" s="54" t="s">
        <v>54</v>
      </c>
      <c r="AM54" s="45">
        <f t="shared" si="165"/>
        <v>8</v>
      </c>
      <c r="AN54" s="55" t="s">
        <v>52</v>
      </c>
      <c r="AO54" s="54">
        <f t="shared" si="166"/>
        <v>12</v>
      </c>
      <c r="AP54" s="45" t="s">
        <v>53</v>
      </c>
      <c r="AQ54" s="55">
        <f t="shared" si="167"/>
        <v>2</v>
      </c>
      <c r="AR54" s="54" t="s">
        <v>54</v>
      </c>
      <c r="AS54" s="45">
        <f t="shared" si="168"/>
        <v>1</v>
      </c>
      <c r="AT54" s="55" t="s">
        <v>52</v>
      </c>
      <c r="AU54" s="54">
        <f t="shared" si="169"/>
        <v>1</v>
      </c>
      <c r="AV54" s="45" t="s">
        <v>53</v>
      </c>
      <c r="AW54" s="55">
        <f t="shared" si="170"/>
        <v>0</v>
      </c>
      <c r="AX54" s="54" t="s">
        <v>54</v>
      </c>
      <c r="AY54" s="45">
        <f t="shared" si="171"/>
        <v>5</v>
      </c>
      <c r="AZ54" s="55" t="s">
        <v>52</v>
      </c>
      <c r="BA54" s="54">
        <f t="shared" si="172"/>
        <v>9</v>
      </c>
      <c r="BB54" s="45" t="s">
        <v>53</v>
      </c>
      <c r="BC54" s="55">
        <f t="shared" si="173"/>
        <v>4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2</v>
      </c>
      <c r="BJ54" s="45" t="str">
        <f t="shared" ref="BJ54:CV54" si="195">IFERROR(IF($B$18="W",BJ22,BJ23),"0")</f>
        <v>-</v>
      </c>
      <c r="BK54" s="54">
        <f t="shared" si="195"/>
        <v>4</v>
      </c>
      <c r="BL54" s="45" t="str">
        <f t="shared" si="195"/>
        <v>(</v>
      </c>
      <c r="BM54" s="55">
        <f t="shared" si="195"/>
        <v>0</v>
      </c>
      <c r="BN54" s="54" t="str">
        <f t="shared" si="195"/>
        <v>)</v>
      </c>
      <c r="BO54" s="45">
        <f t="shared" si="195"/>
        <v>2</v>
      </c>
      <c r="BP54" s="45" t="str">
        <f t="shared" si="195"/>
        <v>-</v>
      </c>
      <c r="BQ54" s="54">
        <f t="shared" si="195"/>
        <v>2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0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0</v>
      </c>
      <c r="CB54" s="45" t="str">
        <f t="shared" si="195"/>
        <v>-</v>
      </c>
      <c r="CC54" s="54">
        <f t="shared" si="195"/>
        <v>2</v>
      </c>
      <c r="CD54" s="45" t="str">
        <f t="shared" si="195"/>
        <v>(</v>
      </c>
      <c r="CE54" s="55">
        <f t="shared" si="195"/>
        <v>0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2</v>
      </c>
      <c r="CK54" s="33">
        <f t="shared" si="195"/>
        <v>12</v>
      </c>
      <c r="CL54" s="33">
        <f t="shared" si="195"/>
        <v>0</v>
      </c>
      <c r="CM54" s="33">
        <f>IFERROR(IF($B$18="W",CM22,CM23),"0")</f>
        <v>0</v>
      </c>
      <c r="CN54" s="33">
        <f t="shared" si="195"/>
        <v>14</v>
      </c>
      <c r="CO54" s="33">
        <f t="shared" si="195"/>
        <v>6</v>
      </c>
      <c r="CP54" s="33">
        <f t="shared" si="195"/>
        <v>8</v>
      </c>
      <c r="CQ54" s="33">
        <f t="shared" si="195"/>
        <v>3</v>
      </c>
      <c r="CR54" s="33">
        <f t="shared" si="195"/>
        <v>4</v>
      </c>
      <c r="CS54" s="33">
        <f t="shared" si="195"/>
        <v>1</v>
      </c>
      <c r="CT54" s="33">
        <f t="shared" si="195"/>
        <v>7</v>
      </c>
      <c r="CU54" s="33">
        <f t="shared" si="195"/>
        <v>0</v>
      </c>
      <c r="CV54" s="33">
        <f t="shared" si="195"/>
        <v>39.85</v>
      </c>
      <c r="CW54" s="33"/>
      <c r="CX54" s="1"/>
      <c r="CY54" s="1"/>
      <c r="CZ54" s="1"/>
      <c r="EF54" s="38" t="s">
        <v>230</v>
      </c>
      <c r="EG54" s="6">
        <f t="shared" si="146"/>
        <v>32.509747897465033</v>
      </c>
      <c r="EW54" s="38" t="s">
        <v>230</v>
      </c>
      <c r="EX54" s="6">
        <f t="shared" si="147"/>
        <v>2.8499999999999996</v>
      </c>
      <c r="EY54" s="6">
        <f t="shared" si="177"/>
        <v>4</v>
      </c>
      <c r="EZ54" s="6">
        <f t="shared" si="178"/>
        <v>17.467749999999999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429"/>
      <c r="J57" s="51"/>
      <c r="K57" s="48"/>
      <c r="M57" s="51"/>
      <c r="N57" s="48"/>
      <c r="O57" s="429"/>
      <c r="P57" s="51"/>
      <c r="Q57" s="48"/>
      <c r="S57" s="51"/>
      <c r="T57" s="48"/>
      <c r="U57" s="429"/>
      <c r="V57" s="51"/>
      <c r="W57" s="48"/>
      <c r="Y57" s="51"/>
      <c r="Z57" s="48"/>
      <c r="AA57" s="429"/>
      <c r="AB57" s="51"/>
      <c r="AC57" s="48"/>
      <c r="AE57" s="51"/>
      <c r="AG57" s="48"/>
      <c r="AI57" s="51"/>
      <c r="AJ57" s="48"/>
      <c r="AK57" s="429"/>
      <c r="AL57" s="51"/>
      <c r="AM57" s="48"/>
      <c r="AO57" s="51"/>
      <c r="AP57" s="48"/>
      <c r="AQ57" s="429"/>
      <c r="AR57" s="51"/>
      <c r="AS57" s="48"/>
      <c r="AU57" s="51"/>
      <c r="AV57" s="48"/>
      <c r="AW57" s="429"/>
      <c r="AX57" s="51"/>
      <c r="AY57" s="48"/>
      <c r="BA57" s="51"/>
      <c r="BB57" s="48"/>
      <c r="BC57" s="429"/>
      <c r="BD57" s="51"/>
      <c r="BE57" s="48"/>
      <c r="BG57" s="51"/>
      <c r="BH57" s="51"/>
      <c r="BI57" s="48"/>
      <c r="BK57" s="51"/>
      <c r="BL57" s="48"/>
      <c r="BM57" s="429"/>
      <c r="BN57" s="51"/>
      <c r="BO57" s="48"/>
      <c r="BQ57" s="51"/>
      <c r="BR57" s="48"/>
      <c r="BS57" s="429"/>
      <c r="BT57" s="51"/>
      <c r="BU57" s="48"/>
      <c r="BW57" s="51"/>
      <c r="BX57" s="48"/>
      <c r="BY57" s="429"/>
      <c r="BZ57" s="51"/>
      <c r="CA57" s="48"/>
      <c r="CC57" s="51"/>
      <c r="CD57" s="48"/>
      <c r="CE57" s="429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429"/>
      <c r="J58" s="51"/>
      <c r="K58" s="48"/>
      <c r="M58" s="51"/>
      <c r="N58" s="48"/>
      <c r="O58" s="429"/>
      <c r="P58" s="51"/>
      <c r="Q58" s="48"/>
      <c r="S58" s="51"/>
      <c r="T58" s="48"/>
      <c r="U58" s="429"/>
      <c r="V58" s="51"/>
      <c r="W58" s="48"/>
      <c r="Y58" s="51"/>
      <c r="Z58" s="48"/>
      <c r="AA58" s="429"/>
      <c r="AB58" s="51"/>
      <c r="AC58" s="48"/>
      <c r="AE58" s="51"/>
      <c r="AG58" s="48"/>
      <c r="AI58" s="51"/>
      <c r="AJ58" s="48"/>
      <c r="AK58" s="429"/>
      <c r="AL58" s="51"/>
      <c r="AM58" s="48"/>
      <c r="AO58" s="51"/>
      <c r="AP58" s="48"/>
      <c r="AQ58" s="429"/>
      <c r="AR58" s="51"/>
      <c r="AS58" s="48"/>
      <c r="AU58" s="51"/>
      <c r="AV58" s="48"/>
      <c r="AW58" s="429"/>
      <c r="AX58" s="51"/>
      <c r="AY58" s="48"/>
      <c r="BA58" s="51"/>
      <c r="BB58" s="48"/>
      <c r="BC58" s="429"/>
      <c r="BD58" s="51"/>
      <c r="BE58" s="48"/>
      <c r="BG58" s="51"/>
      <c r="BH58" s="51"/>
      <c r="BI58" s="48"/>
      <c r="BK58" s="51"/>
      <c r="BL58" s="48"/>
      <c r="BM58" s="429"/>
      <c r="BN58" s="51"/>
      <c r="BO58" s="48"/>
      <c r="BQ58" s="51"/>
      <c r="BR58" s="48"/>
      <c r="BS58" s="429"/>
      <c r="BT58" s="51"/>
      <c r="BU58" s="48"/>
      <c r="BW58" s="51"/>
      <c r="BX58" s="48"/>
      <c r="BY58" s="429"/>
      <c r="BZ58" s="51"/>
      <c r="CA58" s="48"/>
      <c r="CC58" s="51"/>
      <c r="CD58" s="48"/>
      <c r="CE58" s="429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429"/>
      <c r="DE62" s="429"/>
      <c r="DF62" s="429"/>
      <c r="DG62" s="429"/>
      <c r="DH62" s="23"/>
      <c r="DI62" s="429"/>
      <c r="DJ62" s="429"/>
      <c r="DK62" s="429"/>
      <c r="DL62" s="429"/>
      <c r="DM62" s="429"/>
      <c r="DN62" s="429"/>
      <c r="DO62" s="429"/>
      <c r="DP62" s="429"/>
      <c r="DQ62" s="429"/>
      <c r="DR62" s="429"/>
      <c r="DS62" s="429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429"/>
      <c r="DE63" s="429"/>
      <c r="DF63" s="429"/>
      <c r="DG63" s="429"/>
      <c r="DH63" s="23"/>
      <c r="DI63" s="429"/>
      <c r="DJ63" s="429"/>
      <c r="DK63" s="429"/>
      <c r="DL63" s="429"/>
      <c r="DM63" s="429"/>
      <c r="DN63" s="429"/>
      <c r="DO63" s="429"/>
      <c r="DP63" s="429"/>
      <c r="DQ63" s="429"/>
      <c r="DR63" s="429"/>
      <c r="DS63" s="429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429"/>
      <c r="DE64" s="429"/>
      <c r="DF64" s="429"/>
      <c r="DG64" s="429"/>
      <c r="DH64" s="23"/>
      <c r="DI64" s="429"/>
      <c r="DJ64" s="429"/>
      <c r="DK64" s="429"/>
      <c r="DL64" s="429"/>
      <c r="DM64" s="429"/>
      <c r="DN64" s="429"/>
      <c r="DO64" s="429"/>
      <c r="DP64" s="429"/>
      <c r="DQ64" s="429"/>
      <c r="DR64" s="429"/>
      <c r="DS64" s="429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429"/>
      <c r="DE65" s="429"/>
      <c r="DF65" s="429"/>
      <c r="DG65" s="429"/>
      <c r="DH65" s="23"/>
      <c r="DI65" s="429"/>
      <c r="DJ65" s="429"/>
      <c r="DK65" s="429"/>
      <c r="DL65" s="429"/>
      <c r="DM65" s="429"/>
      <c r="DN65" s="429"/>
      <c r="DO65" s="429"/>
      <c r="DP65" s="429"/>
      <c r="DQ65" s="429"/>
      <c r="DR65" s="429"/>
      <c r="DS65" s="429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429"/>
      <c r="DE66" s="429"/>
      <c r="DF66" s="429"/>
      <c r="DG66" s="429"/>
      <c r="DH66" s="23"/>
      <c r="DI66" s="429"/>
      <c r="DJ66" s="429"/>
      <c r="DK66" s="429"/>
      <c r="DL66" s="429"/>
      <c r="DM66" s="429"/>
      <c r="DN66" s="429"/>
      <c r="DO66" s="429"/>
      <c r="DP66" s="429"/>
      <c r="DQ66" s="429"/>
      <c r="DR66" s="429"/>
      <c r="DS66" s="429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429"/>
      <c r="DE67" s="429"/>
      <c r="DF67" s="429"/>
      <c r="DG67" s="429"/>
      <c r="DH67" s="23"/>
      <c r="DI67" s="429"/>
      <c r="DJ67" s="429"/>
      <c r="DK67" s="429"/>
      <c r="DL67" s="429"/>
      <c r="DM67" s="429"/>
      <c r="DN67" s="429"/>
      <c r="DO67" s="429"/>
      <c r="DP67" s="429"/>
      <c r="DQ67" s="429"/>
      <c r="DR67" s="429"/>
      <c r="DS67" s="429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429"/>
      <c r="DE68" s="429"/>
      <c r="DF68" s="429"/>
      <c r="DG68" s="429"/>
      <c r="DH68" s="23"/>
      <c r="DI68" s="429"/>
      <c r="DJ68" s="429"/>
      <c r="DK68" s="429"/>
      <c r="DL68" s="429"/>
      <c r="DM68" s="429"/>
      <c r="DN68" s="429"/>
      <c r="DO68" s="429"/>
      <c r="DP68" s="429"/>
      <c r="DQ68" s="429"/>
      <c r="DR68" s="429"/>
      <c r="DS68" s="429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429"/>
      <c r="DE69" s="429"/>
      <c r="DF69" s="429"/>
      <c r="DG69" s="429"/>
      <c r="DH69" s="23"/>
      <c r="DI69" s="429"/>
      <c r="DJ69" s="429"/>
      <c r="DK69" s="429"/>
      <c r="DL69" s="429"/>
      <c r="DM69" s="429"/>
      <c r="DN69" s="429"/>
      <c r="DO69" s="429"/>
      <c r="DP69" s="429"/>
      <c r="DQ69" s="429"/>
      <c r="DR69" s="429"/>
      <c r="DS69" s="429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429"/>
      <c r="DE70" s="429"/>
      <c r="DF70" s="429"/>
      <c r="DG70" s="429"/>
      <c r="DH70" s="23"/>
      <c r="DI70" s="429"/>
      <c r="DJ70" s="429"/>
      <c r="DK70" s="429"/>
      <c r="DL70" s="429"/>
      <c r="DM70" s="429"/>
      <c r="DN70" s="429"/>
      <c r="DO70" s="429"/>
      <c r="DP70" s="429"/>
      <c r="DQ70" s="429"/>
      <c r="DR70" s="429"/>
      <c r="DS70" s="429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429"/>
      <c r="DE71" s="429"/>
      <c r="DF71" s="429"/>
      <c r="DG71" s="429"/>
      <c r="DH71" s="23"/>
      <c r="DI71" s="429"/>
      <c r="DJ71" s="429"/>
      <c r="DK71" s="429"/>
      <c r="DL71" s="429"/>
      <c r="DM71" s="429"/>
      <c r="DN71" s="429"/>
      <c r="DO71" s="429"/>
      <c r="DP71" s="429"/>
      <c r="DQ71" s="429"/>
      <c r="DR71" s="429"/>
      <c r="DS71" s="429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29"/>
      <c r="DE72" s="429"/>
      <c r="DF72" s="429"/>
      <c r="DG72" s="429"/>
      <c r="DH72" s="23"/>
      <c r="DI72" s="429"/>
      <c r="DJ72" s="429"/>
      <c r="DK72" s="429"/>
      <c r="DL72" s="429"/>
      <c r="DM72" s="429"/>
      <c r="DN72" s="429"/>
      <c r="DO72" s="429"/>
      <c r="DP72" s="429"/>
      <c r="DQ72" s="429"/>
      <c r="DR72" s="429"/>
      <c r="DS72" s="429"/>
    </row>
    <row r="73" spans="3:123" x14ac:dyDescent="0.2">
      <c r="CJ73" s="429"/>
      <c r="CK73" s="429"/>
      <c r="CL73" s="429"/>
      <c r="CM73" s="429"/>
      <c r="CN73" s="429"/>
      <c r="CO73" s="429"/>
      <c r="CP73" s="429"/>
      <c r="CQ73" s="429"/>
      <c r="CR73" s="429"/>
      <c r="CS73" s="22"/>
      <c r="CT73" s="429"/>
      <c r="CU73" s="429"/>
      <c r="CV73" s="429"/>
      <c r="CW73" s="429"/>
      <c r="CX73" s="429"/>
      <c r="CY73" s="429"/>
      <c r="CZ73" s="429"/>
      <c r="DA73" s="429"/>
      <c r="DB73" s="429"/>
      <c r="DC73" s="429"/>
      <c r="DD73" s="429"/>
      <c r="DE73" s="429"/>
      <c r="DF73" s="429"/>
      <c r="DG73" s="429"/>
      <c r="DH73" s="429"/>
      <c r="DI73" s="429"/>
      <c r="DJ73" s="429"/>
      <c r="DK73" s="429"/>
      <c r="DL73" s="429"/>
      <c r="DM73" s="429"/>
      <c r="DN73" s="429"/>
      <c r="DO73" s="429"/>
      <c r="DP73" s="429"/>
      <c r="DQ73" s="429"/>
      <c r="DR73" s="429"/>
      <c r="DS73" s="429"/>
    </row>
  </sheetData>
  <dataConsolidate/>
  <mergeCells count="26">
    <mergeCell ref="C2:D2"/>
    <mergeCell ref="E2:AE2"/>
    <mergeCell ref="AG2:BG2"/>
    <mergeCell ref="BI2:CI2"/>
    <mergeCell ref="CJ2:CN2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Y29:CZ29"/>
    <mergeCell ref="BE3:BG3"/>
    <mergeCell ref="BI3:BN3"/>
    <mergeCell ref="BO3:BT3"/>
    <mergeCell ref="BU3:BZ3"/>
    <mergeCell ref="CA3:CF3"/>
    <mergeCell ref="CG3:C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ABC0-3C8D-D441-968E-8FE205468726}">
  <sheetPr codeName="Sheet69"/>
  <dimension ref="A1:GO73"/>
  <sheetViews>
    <sheetView showRuler="0" zoomScale="136" zoomScaleNormal="136" workbookViewId="0">
      <pane xSplit="3" topLeftCell="DW1" activePane="topRight" state="frozen"/>
      <selection pane="topRight" activeCell="EB21" sqref="EB21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2.6640625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hidden="1" customWidth="1" outlineLevel="1"/>
    <col min="33" max="33" width="3.33203125" hidden="1" customWidth="1" outlineLevel="1"/>
    <col min="34" max="34" width="1.33203125" hidden="1" customWidth="1" outlineLevel="1"/>
    <col min="35" max="35" width="3.33203125" hidden="1" customWidth="1" outlineLevel="1"/>
    <col min="36" max="36" width="1.6640625" hidden="1" customWidth="1" outlineLevel="1"/>
    <col min="37" max="37" width="3" style="472" hidden="1" customWidth="1" outlineLevel="1"/>
    <col min="38" max="38" width="3" hidden="1" customWidth="1" outlineLevel="1"/>
    <col min="39" max="39" width="3.33203125" hidden="1" customWidth="1" outlineLevel="1"/>
    <col min="40" max="40" width="1.33203125" hidden="1" customWidth="1" outlineLevel="1"/>
    <col min="41" max="41" width="2.6640625" hidden="1" customWidth="1" outlineLevel="1"/>
    <col min="42" max="42" width="1.6640625" hidden="1" customWidth="1" outlineLevel="1"/>
    <col min="43" max="43" width="2" hidden="1" customWidth="1" outlineLevel="1"/>
    <col min="44" max="45" width="3.33203125" hidden="1" customWidth="1" outlineLevel="1"/>
    <col min="46" max="46" width="1.33203125" hidden="1" customWidth="1" outlineLevel="1"/>
    <col min="47" max="47" width="2.6640625" hidden="1" customWidth="1" outlineLevel="1"/>
    <col min="48" max="48" width="1.6640625" hidden="1" customWidth="1" outlineLevel="1"/>
    <col min="49" max="49" width="2.33203125" hidden="1" customWidth="1" outlineLevel="1"/>
    <col min="50" max="50" width="3.83203125" hidden="1" customWidth="1" outlineLevel="1"/>
    <col min="51" max="51" width="3.33203125" hidden="1" customWidth="1" outlineLevel="1"/>
    <col min="52" max="52" width="1.33203125" hidden="1" customWidth="1" outlineLevel="1"/>
    <col min="53" max="53" width="3.33203125" hidden="1" customWidth="1" outlineLevel="1"/>
    <col min="54" max="54" width="1.6640625" hidden="1" customWidth="1" outlineLevel="1"/>
    <col min="55" max="55" width="2.1640625" hidden="1" customWidth="1" outlineLevel="1"/>
    <col min="56" max="56" width="3.83203125" hidden="1" customWidth="1" outlineLevel="1"/>
    <col min="57" max="57" width="3.33203125" hidden="1" customWidth="1" outlineLevel="1"/>
    <col min="58" max="58" width="1.33203125" hidden="1" customWidth="1" outlineLevel="1"/>
    <col min="59" max="59" width="3.6640625" hidden="1" customWidth="1" outlineLevel="1"/>
    <col min="60" max="60" width="2.5" hidden="1" customWidth="1" outlineLevel="1"/>
    <col min="61" max="61" width="3.33203125" hidden="1" customWidth="1" outlineLevel="1"/>
    <col min="62" max="62" width="1.33203125" hidden="1" customWidth="1" outlineLevel="1"/>
    <col min="63" max="63" width="2.83203125" hidden="1" customWidth="1" outlineLevel="1"/>
    <col min="64" max="64" width="1.6640625" hidden="1" customWidth="1" outlineLevel="1"/>
    <col min="65" max="65" width="2.1640625" hidden="1" customWidth="1" outlineLevel="1"/>
    <col min="66" max="66" width="2.33203125" hidden="1" customWidth="1" outlineLevel="1"/>
    <col min="67" max="67" width="3.33203125" hidden="1" customWidth="1" outlineLevel="1"/>
    <col min="68" max="68" width="1.33203125" hidden="1" customWidth="1" outlineLevel="1"/>
    <col min="69" max="69" width="2.6640625" hidden="1" customWidth="1" outlineLevel="1"/>
    <col min="70" max="70" width="1.6640625" hidden="1" customWidth="1" outlineLevel="1"/>
    <col min="71" max="71" width="2.1640625" hidden="1" customWidth="1" outlineLevel="1"/>
    <col min="72" max="72" width="2.83203125" hidden="1" customWidth="1" outlineLevel="1"/>
    <col min="73" max="73" width="3.33203125" hidden="1" customWidth="1" outlineLevel="1"/>
    <col min="74" max="74" width="1.33203125" hidden="1" customWidth="1" outlineLevel="1"/>
    <col min="75" max="75" width="2.6640625" hidden="1" customWidth="1" outlineLevel="1"/>
    <col min="76" max="76" width="1.6640625" hidden="1" customWidth="1" outlineLevel="1"/>
    <col min="77" max="77" width="2" hidden="1" customWidth="1" outlineLevel="1"/>
    <col min="78" max="78" width="3.83203125" hidden="1" customWidth="1" outlineLevel="1"/>
    <col min="79" max="79" width="3.33203125" hidden="1" customWidth="1" outlineLevel="1"/>
    <col min="80" max="80" width="1.33203125" hidden="1" customWidth="1" outlineLevel="1"/>
    <col min="81" max="81" width="2.6640625" hidden="1" customWidth="1" outlineLevel="1"/>
    <col min="82" max="82" width="1.6640625" hidden="1" customWidth="1" outlineLevel="1"/>
    <col min="83" max="83" width="2.5" hidden="1" customWidth="1" outlineLevel="1"/>
    <col min="84" max="84" width="3.83203125" hidden="1" customWidth="1" outlineLevel="1"/>
    <col min="85" max="85" width="3.33203125" hidden="1" customWidth="1" outlineLevel="1"/>
    <col min="86" max="86" width="1.33203125" hidden="1" customWidth="1" outlineLevel="1"/>
    <col min="87" max="87" width="3.6640625" hidden="1" customWidth="1" outlineLevel="1"/>
    <col min="88" max="88" width="4.6640625" customWidth="1" collapsed="1"/>
    <col min="89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40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68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69"/>
      <c r="CX2" s="139"/>
      <c r="CY2" s="139"/>
      <c r="CZ2" s="139"/>
      <c r="DA2" s="139"/>
      <c r="DB2" s="469" t="s">
        <v>68</v>
      </c>
      <c r="DC2" s="469"/>
      <c r="DD2" s="346"/>
      <c r="DE2" s="346"/>
      <c r="DH2" s="346"/>
      <c r="DI2" s="346"/>
      <c r="DT2" s="472"/>
      <c r="DU2" s="472"/>
      <c r="DV2" s="472"/>
      <c r="DW2" s="472"/>
      <c r="DX2" s="472"/>
      <c r="DY2" s="472"/>
      <c r="DZ2" s="472"/>
      <c r="EA2" s="472"/>
      <c r="EB2" s="472"/>
      <c r="EC2" s="472"/>
      <c r="ED2" s="472"/>
      <c r="EE2" s="472"/>
      <c r="EF2" s="472"/>
      <c r="EG2" s="472"/>
      <c r="EH2" s="472"/>
      <c r="EI2" s="472"/>
      <c r="EJ2" s="472"/>
      <c r="EK2" s="472"/>
      <c r="EV2" s="472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69"/>
      <c r="GO2" s="472"/>
    </row>
    <row r="3" spans="1:197" ht="20" thickBot="1" x14ac:dyDescent="0.3">
      <c r="A3" s="139"/>
      <c r="B3" s="139"/>
      <c r="C3" s="112" t="s">
        <v>0</v>
      </c>
      <c r="D3" s="467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67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67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67" t="s">
        <v>57</v>
      </c>
      <c r="CK3" s="467" t="s">
        <v>58</v>
      </c>
      <c r="CL3" s="467" t="s">
        <v>247</v>
      </c>
      <c r="CM3" s="467" t="s">
        <v>248</v>
      </c>
      <c r="CN3" s="467" t="s">
        <v>59</v>
      </c>
      <c r="CO3" s="174" t="s">
        <v>61</v>
      </c>
      <c r="CP3" s="467" t="s">
        <v>221</v>
      </c>
      <c r="CQ3" s="174" t="s">
        <v>62</v>
      </c>
      <c r="CR3" s="467" t="s">
        <v>63</v>
      </c>
      <c r="CS3" s="467" t="s">
        <v>64</v>
      </c>
      <c r="CT3" s="467" t="s">
        <v>1</v>
      </c>
      <c r="CU3" s="467" t="s">
        <v>65</v>
      </c>
      <c r="CV3" s="467" t="s">
        <v>66</v>
      </c>
      <c r="CW3" s="467" t="s">
        <v>180</v>
      </c>
      <c r="CX3" s="467" t="s">
        <v>105</v>
      </c>
      <c r="CY3" s="467" t="s">
        <v>28</v>
      </c>
      <c r="CZ3" s="467" t="s">
        <v>100</v>
      </c>
      <c r="DA3" s="467" t="s">
        <v>36</v>
      </c>
      <c r="DB3" s="467" t="s">
        <v>67</v>
      </c>
      <c r="DC3" s="467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67" t="s">
        <v>38</v>
      </c>
      <c r="FG3" s="548" t="s">
        <v>39</v>
      </c>
      <c r="FH3" s="549"/>
      <c r="FI3" s="549"/>
      <c r="FJ3" s="471" t="s">
        <v>102</v>
      </c>
      <c r="FK3" s="550" t="s">
        <v>103</v>
      </c>
      <c r="FL3" s="550"/>
      <c r="FM3" s="550"/>
      <c r="FN3" s="471" t="s">
        <v>102</v>
      </c>
      <c r="FO3" s="549" t="s">
        <v>41</v>
      </c>
      <c r="FP3" s="549"/>
      <c r="FQ3" s="549"/>
      <c r="FR3" s="189" t="s">
        <v>102</v>
      </c>
      <c r="FS3" s="467" t="s">
        <v>57</v>
      </c>
      <c r="FT3" s="467" t="s">
        <v>58</v>
      </c>
      <c r="FU3" s="467" t="s">
        <v>59</v>
      </c>
      <c r="FV3" s="174" t="s">
        <v>61</v>
      </c>
      <c r="FW3" s="467" t="s">
        <v>98</v>
      </c>
      <c r="FX3" s="467" t="s">
        <v>62</v>
      </c>
      <c r="FY3" s="467" t="s">
        <v>63</v>
      </c>
      <c r="FZ3" s="467" t="s">
        <v>64</v>
      </c>
      <c r="GA3" s="467" t="s">
        <v>1</v>
      </c>
      <c r="GB3" s="467" t="s">
        <v>65</v>
      </c>
      <c r="GC3" s="174" t="s">
        <v>66</v>
      </c>
      <c r="GD3" s="199" t="s">
        <v>105</v>
      </c>
      <c r="GE3" s="467" t="s">
        <v>28</v>
      </c>
      <c r="GF3" s="467" t="s">
        <v>100</v>
      </c>
      <c r="GG3" s="173" t="s">
        <v>36</v>
      </c>
      <c r="GH3" s="467"/>
      <c r="GJ3" s="470" t="s">
        <v>106</v>
      </c>
      <c r="GK3" s="471" t="s">
        <v>107</v>
      </c>
      <c r="GL3" s="16" t="s">
        <v>108</v>
      </c>
      <c r="GM3" s="16" t="s">
        <v>109</v>
      </c>
      <c r="GN3" s="471" t="s">
        <v>110</v>
      </c>
      <c r="GO3" s="214" t="s">
        <v>111</v>
      </c>
    </row>
    <row r="4" spans="1:197" x14ac:dyDescent="0.2">
      <c r="A4" s="139"/>
      <c r="B4" s="430" t="s">
        <v>117</v>
      </c>
      <c r="C4" s="431" t="s">
        <v>205</v>
      </c>
      <c r="D4" s="483">
        <v>10.83</v>
      </c>
      <c r="E4" s="114">
        <f t="shared" ref="E4:E18" si="0">IFERROR(AG4+BI4,"0")</f>
        <v>0</v>
      </c>
      <c r="F4" s="468" t="s">
        <v>52</v>
      </c>
      <c r="G4" s="115">
        <f t="shared" ref="G4:G18" si="1">IFERROR(AI4+BK4,"0")</f>
        <v>3</v>
      </c>
      <c r="H4" s="116" t="s">
        <v>53</v>
      </c>
      <c r="I4" s="468">
        <f>IFERROR(AK4+BM4,"0")</f>
        <v>0</v>
      </c>
      <c r="J4" s="115" t="s">
        <v>54</v>
      </c>
      <c r="K4" s="116">
        <f t="shared" ref="K4:K18" si="2">IFERROR(AM4+BO4,"0")</f>
        <v>0</v>
      </c>
      <c r="L4" s="468" t="s">
        <v>52</v>
      </c>
      <c r="M4" s="115">
        <f t="shared" ref="M4:M18" si="3">IFERROR(AO4+BQ4,"0")</f>
        <v>0</v>
      </c>
      <c r="N4" s="116" t="s">
        <v>53</v>
      </c>
      <c r="O4" s="468">
        <f t="shared" ref="O4:O18" si="4">IFERROR(AQ4+BS4,"0")</f>
        <v>0</v>
      </c>
      <c r="P4" s="115" t="s">
        <v>54</v>
      </c>
      <c r="Q4" s="116">
        <f t="shared" ref="Q4:Q18" si="5">IFERROR(AS4+BU4,"0")</f>
        <v>0</v>
      </c>
      <c r="R4" s="468" t="s">
        <v>52</v>
      </c>
      <c r="S4" s="115">
        <f>IFERROR(AU4+BW4,"0")</f>
        <v>1</v>
      </c>
      <c r="T4" s="116" t="s">
        <v>53</v>
      </c>
      <c r="U4" s="468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468" t="s">
        <v>52</v>
      </c>
      <c r="Y4" s="115">
        <f t="shared" ref="Y4:Y18" si="8">IFERROR(BA4+CC4,"0")</f>
        <v>2</v>
      </c>
      <c r="Z4" s="116" t="s">
        <v>53</v>
      </c>
      <c r="AA4" s="468">
        <f t="shared" ref="AA4:AA18" si="9">IFERROR(BC4+CE4,"0")</f>
        <v>0</v>
      </c>
      <c r="AB4" s="115" t="s">
        <v>54</v>
      </c>
      <c r="AC4" s="116">
        <f>IFERROR((AE4*EZ4),"0")</f>
        <v>1.4</v>
      </c>
      <c r="AD4" s="468" t="s">
        <v>52</v>
      </c>
      <c r="AE4" s="117">
        <f>IFERROR((CR4*1),"0")</f>
        <v>2</v>
      </c>
      <c r="AF4" s="469"/>
      <c r="AG4" s="114">
        <f>IFERROR(AM4+AS4+AY4,"0")</f>
        <v>0</v>
      </c>
      <c r="AH4" s="468" t="s">
        <v>52</v>
      </c>
      <c r="AI4" s="115">
        <f t="shared" ref="AI4:AI18" si="10">IFERROR(AO4+AU4+BA4,"0")</f>
        <v>3</v>
      </c>
      <c r="AJ4" s="116" t="s">
        <v>53</v>
      </c>
      <c r="AK4" s="468">
        <f t="shared" ref="AK4:AK18" si="11">IFERROR(AQ4+AW4+BC4,"0")</f>
        <v>0</v>
      </c>
      <c r="AL4" s="115" t="s">
        <v>54</v>
      </c>
      <c r="AM4" s="246">
        <v>0</v>
      </c>
      <c r="AN4" s="244" t="s">
        <v>52</v>
      </c>
      <c r="AO4" s="245">
        <v>0</v>
      </c>
      <c r="AP4" s="246" t="s">
        <v>53</v>
      </c>
      <c r="AQ4" s="244">
        <v>0</v>
      </c>
      <c r="AR4" s="245" t="s">
        <v>54</v>
      </c>
      <c r="AS4" s="246">
        <v>0</v>
      </c>
      <c r="AT4" s="244" t="s">
        <v>52</v>
      </c>
      <c r="AU4" s="245">
        <v>1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2</v>
      </c>
      <c r="BB4" s="246" t="s">
        <v>53</v>
      </c>
      <c r="BC4" s="244">
        <v>0</v>
      </c>
      <c r="BD4" s="245" t="s">
        <v>54</v>
      </c>
      <c r="BE4" s="116">
        <v>0</v>
      </c>
      <c r="BF4" s="468" t="s">
        <v>52</v>
      </c>
      <c r="BG4" s="117">
        <v>0</v>
      </c>
      <c r="BH4" s="115"/>
      <c r="BI4" s="114">
        <f t="shared" ref="BI4:BI18" si="12">IFERROR(BO4+BU4+CA4,"0")</f>
        <v>0</v>
      </c>
      <c r="BJ4" s="468" t="s">
        <v>52</v>
      </c>
      <c r="BK4" s="115">
        <f>IFERROR(BQ4+BW4+CC4,"0")</f>
        <v>0</v>
      </c>
      <c r="BL4" s="116" t="s">
        <v>53</v>
      </c>
      <c r="BM4" s="468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0</v>
      </c>
      <c r="CD4" s="246" t="s">
        <v>53</v>
      </c>
      <c r="CE4" s="244">
        <v>0</v>
      </c>
      <c r="CF4" s="245" t="s">
        <v>54</v>
      </c>
      <c r="CG4" s="116">
        <v>0</v>
      </c>
      <c r="CH4" s="468" t="s">
        <v>52</v>
      </c>
      <c r="CI4" s="117">
        <v>0</v>
      </c>
      <c r="CJ4" s="140">
        <v>0</v>
      </c>
      <c r="CK4" s="148">
        <f>CL4+CM4</f>
        <v>1</v>
      </c>
      <c r="CL4" s="148">
        <v>0</v>
      </c>
      <c r="CM4" s="148">
        <v>1</v>
      </c>
      <c r="CN4" s="148">
        <f>IFERROR(CJ4+CK4,"0")</f>
        <v>1</v>
      </c>
      <c r="CO4" s="175">
        <v>0</v>
      </c>
      <c r="CP4" s="140">
        <v>0</v>
      </c>
      <c r="CQ4" s="175">
        <v>0</v>
      </c>
      <c r="CR4" s="148">
        <v>2</v>
      </c>
      <c r="CS4" s="148">
        <v>1</v>
      </c>
      <c r="CT4" s="140">
        <v>1</v>
      </c>
      <c r="CU4" s="140">
        <v>0</v>
      </c>
      <c r="CV4" s="148">
        <f>IFERROR((W4*3)+((E4-W4)*2)+EX4,"0")</f>
        <v>1.4</v>
      </c>
      <c r="CW4" s="140"/>
      <c r="CX4" s="164">
        <f>IFERROR(100*(EH4/EG4),"0")</f>
        <v>31.906172176432236</v>
      </c>
      <c r="CY4" s="147">
        <f t="shared" ref="CY4:CY18" si="14">IFERROR(DU4/EG4,"0")</f>
        <v>0.16591209531744763</v>
      </c>
      <c r="CZ4" s="165">
        <f t="shared" ref="CZ4:CZ18" si="15">IFERROR((EG4/(EG25*DD4)),"0")</f>
        <v>0.23668141832088355</v>
      </c>
      <c r="DA4" s="164">
        <f t="shared" ref="DA4:DA18" si="16">IFERROR(ES4+0.2*(100*ET4*(1-ER4)-ES4),"0")</f>
        <v>202.77213264293752</v>
      </c>
      <c r="DB4" s="141"/>
      <c r="DC4" s="141"/>
      <c r="DD4" s="77">
        <f>IFERROR(D4/($D$21/10),"0")</f>
        <v>0.88408163265306128</v>
      </c>
      <c r="DE4" s="37">
        <f>IFERROR(E4/G4,"0")</f>
        <v>0</v>
      </c>
      <c r="DF4" s="37">
        <f>IFERROR(W4/Y4,"0")</f>
        <v>0</v>
      </c>
      <c r="DG4" s="37">
        <f>IFERROR(((E4-W4)+1.5*W4)/G4,"0")</f>
        <v>0</v>
      </c>
      <c r="DH4" s="37">
        <f t="shared" ref="DH4:DH18" si="17">IFERROR(CJ4/(DD4*(CJ25+CK40)),"0")</f>
        <v>0</v>
      </c>
      <c r="DI4" s="37">
        <f t="shared" ref="DI4:DI18" si="18">IFERROR(CK4/(DD4*(CK25+CJ40)),"0")</f>
        <v>0.10282884244103081</v>
      </c>
      <c r="DJ4" s="37">
        <f t="shared" ref="DJ4:DJ18" si="19">IFERROR(CU4/(DD4*(M40)),"0")</f>
        <v>0</v>
      </c>
      <c r="DK4" s="37">
        <f t="shared" ref="DK4:DK18" si="20">IFERROR(CS4/(DD4*EG25),"0")</f>
        <v>5.6889336345105845E-2</v>
      </c>
      <c r="DL4" s="37">
        <f t="shared" ref="DL4:DL18" si="21">IFERROR(CO4/(DD4*(E25-E4)),"0")</f>
        <v>0</v>
      </c>
      <c r="DM4" s="37">
        <f t="shared" ref="DM4:DM18" si="22">IFERROR((CO4+CP4)/(DD4*EG25),"0")</f>
        <v>0</v>
      </c>
      <c r="DN4" s="37">
        <f>IFERROR(CT4/EG4,"0")</f>
        <v>0.24036249549585459</v>
      </c>
      <c r="DO4" s="37">
        <f>IFERROR(CO4/CT4,"0")</f>
        <v>0</v>
      </c>
      <c r="DP4" s="66">
        <f>IFERROR((40/D4)*CQ4,"0")</f>
        <v>0</v>
      </c>
      <c r="DQ4" s="78">
        <f>IFERROR((40/D4)*CR4,"0")</f>
        <v>7.3868882733148657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-4.5553647276084961</v>
      </c>
      <c r="DU4" s="18">
        <f>IFERROR((DV4+DX4+DY4)*(1-(CJ25/EZ25)*EA4*EC4)+ED4,"0")</f>
        <v>0.6902578331747643</v>
      </c>
      <c r="DV4" s="13">
        <f>IFERROR(E4*(1-0.5*((CV4-EX4)/(2*G4))*DW4),"0")</f>
        <v>0</v>
      </c>
      <c r="DW4" s="14">
        <f>IFERROR(((D4/(D25/5))*(1.14*((CO25-CO4)/E25)))+((((CO25/D25)*D4*5-CO4)/((E25/D25)*D4*5-E4))*(1-(D4/(D25/5)))),"0")</f>
        <v>0</v>
      </c>
      <c r="DX4" s="14">
        <f>IFERROR(0.5*(((CV25-EX25)-(CV4-EX4))/(2*(G25-G4)))*CO4,"0")</f>
        <v>0</v>
      </c>
      <c r="DY4" s="14">
        <f>IFERROR((1-(1-(EX4/EY4))^2)*0.4*EY4,"0")</f>
        <v>0.72799999999999998</v>
      </c>
      <c r="DZ4" s="15">
        <f t="shared" ref="DZ4:DZ20" si="23">IFERROR(E25+(1-(1-(EX25/EY25))^2)*EY25*0.4,"0")</f>
        <v>3.1036666666666668</v>
      </c>
      <c r="EA4" s="14">
        <f>IFERROR(((1-EB4)*EC4)/((1-EB4)*EC4+EB4*(1-EC4)),"0")</f>
        <v>0.40092411645854731</v>
      </c>
      <c r="EB4" s="14">
        <f t="shared" ref="EB4:EB20" si="24">IFERROR(CJ25/(CJ25+(CN40-CJ40)),"0")</f>
        <v>0.1875</v>
      </c>
      <c r="EC4" s="14">
        <f t="shared" ref="EC4:EC20" si="25">IFERROR(DZ4/((G25+(EY25*0.4))+CT25),"0")</f>
        <v>0.13377873563218393</v>
      </c>
      <c r="ED4" s="14">
        <f>IFERROR(CJ4*EA4*EC4,"0")</f>
        <v>0</v>
      </c>
      <c r="EE4" s="19">
        <f>IFERROR((G4-E4)*(1-1.07*EB4),"0")</f>
        <v>2.3981249999999998</v>
      </c>
      <c r="EF4" s="67">
        <f>IFERROR(((1-(EX4/EY4))^2)*0.4*EY4,"0")</f>
        <v>7.2000000000000022E-2</v>
      </c>
      <c r="EG4" s="74">
        <f>IFERROR(DU4+EE4+EF4+CT4,"0")</f>
        <v>4.1603828331747641</v>
      </c>
      <c r="EH4" s="27">
        <f>IFERROR((EI4+EJ4+EX4)*(1-(CJ25/DZ4)*EA4*EC4)+EK4,"0")</f>
        <v>1.3274189099514697</v>
      </c>
      <c r="EI4" s="25">
        <f>IFERROR(2*((E4)+(0.5*W4))*(1-0.5*((CV4-EX4)/(2*(G4)))*DW4),"0")</f>
        <v>0</v>
      </c>
      <c r="EJ4" s="25">
        <f>IFERROR(2*((E25-E4+0.5*(W25-W4))/(E25-E4))*0.5*(((CV25-EX25)-(CV4-EX4))/(2*(G25-G4)))*CO4,"0")</f>
        <v>0</v>
      </c>
      <c r="EK4" s="26">
        <f t="shared" ref="EK4:EK20" si="26">IFERROR(CJ4*EA4*EC4*(CV25/(E25+(1-(1-(EX25/EY25))^2)*0.4*EY25)),"0")</f>
        <v>0</v>
      </c>
      <c r="EL4" s="29">
        <f>IFERROR((EN4*(1-EM4))/(EN4*(1-EM4)+(1-EN4)*EM4),"0")</f>
        <v>0.94786729857819907</v>
      </c>
      <c r="EM4" s="30">
        <f t="shared" ref="EM4:EM20" si="27">IFERROR(CJ40/(CJ40+CK25),"0")</f>
        <v>9.0909090909090912E-2</v>
      </c>
      <c r="EN4" s="30">
        <f t="shared" ref="EN4:EN20" si="28">IFERROR(E40/G40,"0")</f>
        <v>0.64516129032258063</v>
      </c>
      <c r="EO4" s="31">
        <f>IFERROR(CS4+CU4*EL4*(1-1.07*EM4)+CK4*(1-EL4),"0")</f>
        <v>1.0521327014218009</v>
      </c>
      <c r="EP4" s="31">
        <f t="shared" ref="EP4:EP20" si="29">IFERROR((((G40-E40-CU25)/D25)*EL4*(1-1.07*EM4)+((CT40-CS25)/D25))*D4+(CQ4/CQ25)*0.4*EY40*(1-(EX40/EY40))^2,"0")</f>
        <v>2.194701228358642</v>
      </c>
      <c r="EQ4" s="31">
        <f>IFERROR(EO4+EP4,"0")</f>
        <v>3.2468339297804429</v>
      </c>
      <c r="ER4" s="93">
        <f t="shared" ref="ER4:ER20" si="30">IFERROR((EQ4*D40)/(EG25*D4),"0")</f>
        <v>0.92355113743990713</v>
      </c>
      <c r="ES4" s="109">
        <f t="shared" ref="ES4:ES20" si="31">IFERROR(100*(CV40/EG25),"0")</f>
        <v>249.21082000160771</v>
      </c>
      <c r="ET4" s="32">
        <f t="shared" ref="ET4:ET20" si="32">IFERROR(CV40/(E40+(1-(1-(EX40/EY40))^2)*EY40*0.4),"0")</f>
        <v>2.225982524577153</v>
      </c>
      <c r="EV4" s="275"/>
      <c r="EW4" s="276"/>
      <c r="EX4" s="37">
        <f>AC4</f>
        <v>1.4</v>
      </c>
      <c r="EY4" s="72">
        <f>AE4</f>
        <v>2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3">D4</f>
        <v>10.83</v>
      </c>
      <c r="FG4" s="182">
        <f t="shared" si="33"/>
        <v>0</v>
      </c>
      <c r="FH4" s="183" t="s">
        <v>52</v>
      </c>
      <c r="FI4" s="184">
        <f>G4</f>
        <v>3</v>
      </c>
      <c r="FJ4" s="193">
        <f>IFERROR(FG4/FI4,"0")</f>
        <v>0</v>
      </c>
      <c r="FK4" s="185">
        <f t="shared" ref="FK4:FK18" si="34">W4</f>
        <v>0</v>
      </c>
      <c r="FL4" s="183" t="s">
        <v>52</v>
      </c>
      <c r="FM4" s="186">
        <f t="shared" ref="FM4:FM18" si="35">Y4</f>
        <v>2</v>
      </c>
      <c r="FN4" s="193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6">CJ4</f>
        <v>0</v>
      </c>
      <c r="FT4" s="179">
        <f t="shared" si="36"/>
        <v>1</v>
      </c>
      <c r="FU4" s="179">
        <f t="shared" ref="FU4:GC19" si="37">CN4</f>
        <v>1</v>
      </c>
      <c r="FV4" s="187">
        <f t="shared" si="37"/>
        <v>0</v>
      </c>
      <c r="FW4" s="179">
        <f t="shared" si="37"/>
        <v>0</v>
      </c>
      <c r="FX4" s="179">
        <f t="shared" si="37"/>
        <v>0</v>
      </c>
      <c r="FY4" s="179">
        <f t="shared" si="37"/>
        <v>2</v>
      </c>
      <c r="FZ4" s="179">
        <f t="shared" si="37"/>
        <v>1</v>
      </c>
      <c r="GA4" s="179">
        <f t="shared" si="37"/>
        <v>1</v>
      </c>
      <c r="GB4" s="179">
        <f t="shared" si="37"/>
        <v>0</v>
      </c>
      <c r="GC4" s="187">
        <f t="shared" si="37"/>
        <v>1.4</v>
      </c>
      <c r="GD4" s="203">
        <f>CX4</f>
        <v>31.906172176432236</v>
      </c>
      <c r="GE4" s="179">
        <f>CY4</f>
        <v>0.16591209531744763</v>
      </c>
      <c r="GF4" s="179">
        <f>CZ4</f>
        <v>0.23668141832088355</v>
      </c>
      <c r="GG4" s="258">
        <f>DA4</f>
        <v>202.77213264293752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0.94786729857819907</v>
      </c>
      <c r="GN4" s="24">
        <f>GK4+(GL4/10)+(GJ4*GM4*(1-(CJ26/(CJ26+CK25))))+(CK4*(1-GM4))</f>
        <v>5.2132701421800931E-2</v>
      </c>
      <c r="GO4" s="213">
        <f>GN4/(DD4*EG26)</f>
        <v>1.5138060935175996E-3</v>
      </c>
    </row>
    <row r="5" spans="1:197" x14ac:dyDescent="0.2">
      <c r="A5" s="139"/>
      <c r="B5" s="89" t="s">
        <v>82</v>
      </c>
      <c r="C5" s="41" t="s">
        <v>206</v>
      </c>
      <c r="D5" s="483">
        <v>1.08</v>
      </c>
      <c r="E5" s="114">
        <f t="shared" si="0"/>
        <v>0</v>
      </c>
      <c r="F5" s="468" t="s">
        <v>52</v>
      </c>
      <c r="G5" s="115">
        <f t="shared" si="1"/>
        <v>0</v>
      </c>
      <c r="H5" s="116" t="s">
        <v>53</v>
      </c>
      <c r="I5" s="468">
        <f t="shared" ref="I5:I18" si="38">IFERROR(AK5+BM5,"0")</f>
        <v>0</v>
      </c>
      <c r="J5" s="115" t="s">
        <v>54</v>
      </c>
      <c r="K5" s="116">
        <f t="shared" si="2"/>
        <v>0</v>
      </c>
      <c r="L5" s="468" t="s">
        <v>52</v>
      </c>
      <c r="M5" s="115">
        <f t="shared" si="3"/>
        <v>0</v>
      </c>
      <c r="N5" s="116" t="s">
        <v>53</v>
      </c>
      <c r="O5" s="468">
        <f t="shared" si="4"/>
        <v>0</v>
      </c>
      <c r="P5" s="115" t="s">
        <v>54</v>
      </c>
      <c r="Q5" s="116">
        <f t="shared" si="5"/>
        <v>0</v>
      </c>
      <c r="R5" s="468" t="s">
        <v>52</v>
      </c>
      <c r="S5" s="115">
        <f t="shared" ref="S5:S18" si="39">IFERROR(AU5+BW5,"0")</f>
        <v>0</v>
      </c>
      <c r="T5" s="116" t="s">
        <v>53</v>
      </c>
      <c r="U5" s="468">
        <f t="shared" si="6"/>
        <v>0</v>
      </c>
      <c r="V5" s="115" t="s">
        <v>54</v>
      </c>
      <c r="W5" s="116">
        <f t="shared" si="7"/>
        <v>0</v>
      </c>
      <c r="X5" s="468" t="s">
        <v>52</v>
      </c>
      <c r="Y5" s="115">
        <f t="shared" si="8"/>
        <v>0</v>
      </c>
      <c r="Z5" s="116" t="s">
        <v>53</v>
      </c>
      <c r="AA5" s="468">
        <f t="shared" si="9"/>
        <v>0</v>
      </c>
      <c r="AB5" s="115" t="s">
        <v>54</v>
      </c>
      <c r="AC5" s="116">
        <f t="shared" ref="AC5:AC18" si="40">IFERROR((AE5*EZ5),"0")</f>
        <v>0</v>
      </c>
      <c r="AD5" s="468" t="s">
        <v>52</v>
      </c>
      <c r="AE5" s="117">
        <f t="shared" ref="AE5:AE18" si="41">IFERROR((CR5*1),"0")</f>
        <v>0</v>
      </c>
      <c r="AF5" s="469"/>
      <c r="AG5" s="114">
        <f t="shared" ref="AG5:AG17" si="42">IFERROR(AM5+AS5+AY5,"0")</f>
        <v>0</v>
      </c>
      <c r="AH5" s="468" t="s">
        <v>52</v>
      </c>
      <c r="AI5" s="115">
        <f t="shared" si="10"/>
        <v>0</v>
      </c>
      <c r="AJ5" s="116" t="s">
        <v>53</v>
      </c>
      <c r="AK5" s="468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0</v>
      </c>
      <c r="BB5" s="246" t="s">
        <v>53</v>
      </c>
      <c r="BC5" s="244">
        <v>0</v>
      </c>
      <c r="BD5" s="245" t="s">
        <v>54</v>
      </c>
      <c r="BE5" s="116">
        <v>0</v>
      </c>
      <c r="BF5" s="468" t="s">
        <v>52</v>
      </c>
      <c r="BG5" s="117">
        <v>0</v>
      </c>
      <c r="BH5" s="115"/>
      <c r="BI5" s="114">
        <f t="shared" si="12"/>
        <v>0</v>
      </c>
      <c r="BJ5" s="468" t="s">
        <v>52</v>
      </c>
      <c r="BK5" s="115">
        <f t="shared" ref="BK5:BK18" si="43">IFERROR(BQ5+BW5+CC5,"0")</f>
        <v>0</v>
      </c>
      <c r="BL5" s="116" t="s">
        <v>53</v>
      </c>
      <c r="BM5" s="468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68" t="s">
        <v>52</v>
      </c>
      <c r="CI5" s="117">
        <v>0</v>
      </c>
      <c r="CJ5" s="148">
        <v>0</v>
      </c>
      <c r="CK5" s="148">
        <f t="shared" ref="CK5:CK18" si="44">CL5+CM5</f>
        <v>0</v>
      </c>
      <c r="CL5" s="148">
        <v>0</v>
      </c>
      <c r="CM5" s="148">
        <v>0</v>
      </c>
      <c r="CN5" s="148">
        <f t="shared" ref="CN5:CN20" si="45">IFERROR(CJ5+CK5,"0")</f>
        <v>0</v>
      </c>
      <c r="CO5" s="175">
        <v>0</v>
      </c>
      <c r="CP5" s="140">
        <v>0</v>
      </c>
      <c r="CQ5" s="175">
        <v>1</v>
      </c>
      <c r="CR5" s="148">
        <v>0</v>
      </c>
      <c r="CS5" s="148">
        <v>0</v>
      </c>
      <c r="CT5" s="140">
        <v>0</v>
      </c>
      <c r="CU5" s="140">
        <v>0</v>
      </c>
      <c r="CV5" s="148">
        <f t="shared" ref="CV5:CV18" si="46">IFERROR((W5*3)+((E5-W5)*2)+EX5,"0")</f>
        <v>0</v>
      </c>
      <c r="CW5" s="140"/>
      <c r="CX5" s="164" t="str">
        <f t="shared" ref="CX5:CX18" si="47">IFERROR(100*(EH5/EG5),"0")</f>
        <v>0</v>
      </c>
      <c r="CY5" s="147" t="str">
        <f t="shared" si="14"/>
        <v>0</v>
      </c>
      <c r="CZ5" s="165">
        <f t="shared" si="15"/>
        <v>0</v>
      </c>
      <c r="DA5" s="164">
        <f t="shared" si="16"/>
        <v>44.087300054218872</v>
      </c>
      <c r="DB5" s="141"/>
      <c r="DC5" s="141"/>
      <c r="DD5" s="77">
        <f t="shared" ref="DD5:DD18" si="48">IFERROR(D5/($D$21/10),"0")</f>
        <v>8.8163265306122451E-2</v>
      </c>
      <c r="DE5" s="37" t="str">
        <f t="shared" ref="DE5:DE18" si="49">IFERROR(E5/G5,"0")</f>
        <v>0</v>
      </c>
      <c r="DF5" s="37" t="str">
        <f t="shared" ref="DF5:DF18" si="50">IFERROR(W5/Y5,"0")</f>
        <v>0</v>
      </c>
      <c r="DG5" s="37" t="str">
        <f t="shared" ref="DG5:DG18" si="51">IFERROR(((E5-W5)+1.5*W5)/G5,"0")</f>
        <v>0</v>
      </c>
      <c r="DH5" s="37">
        <f t="shared" si="17"/>
        <v>0</v>
      </c>
      <c r="DI5" s="37">
        <f t="shared" si="18"/>
        <v>0</v>
      </c>
      <c r="DJ5" s="37">
        <f t="shared" si="19"/>
        <v>0</v>
      </c>
      <c r="DK5" s="37">
        <f t="shared" si="20"/>
        <v>0</v>
      </c>
      <c r="DL5" s="37">
        <f t="shared" si="21"/>
        <v>0</v>
      </c>
      <c r="DM5" s="37">
        <f t="shared" si="22"/>
        <v>0</v>
      </c>
      <c r="DN5" s="37" t="str">
        <f t="shared" ref="DN5:DN18" si="52">IFERROR(CT5/EG5,"0")</f>
        <v>0</v>
      </c>
      <c r="DO5" s="37" t="str">
        <f t="shared" ref="DO5:DO18" si="53">IFERROR(CO5/CT5,"0")</f>
        <v>0</v>
      </c>
      <c r="DP5" s="66">
        <f t="shared" ref="DP5:DP18" si="54">IFERROR((40/D5)*CQ5,"0")</f>
        <v>37.037037037037038</v>
      </c>
      <c r="DQ5" s="78">
        <f t="shared" ref="DQ5:DQ18" si="55">IFERROR((40/D5)*CR5,"0")</f>
        <v>0</v>
      </c>
      <c r="DR5" s="6"/>
      <c r="DS5" s="36"/>
      <c r="DT5" s="75">
        <f t="shared" ref="DT5:DT18" si="56">IFERROR(((E5*85.91)+(CS5*53.897)+(W5*51.757)+(EX5*46.845)+(CU5*39.19)+(CJ5*39.19)+(CO5*34.677)+(CK5*14.707)-(CQ5*17.174)-((EY5-EX5)*20.091)-((G5-E5)*39.19)-(CT5*53.897))*(1/D5),"0")</f>
        <v>-15.90185185185185</v>
      </c>
      <c r="DU5" s="18">
        <f t="shared" ref="DU5:DU20" si="57">IFERROR((DV5+DX5+DY5)*(1-(CJ26/EZ26)*EA5*EC5)+ED5,"0")</f>
        <v>0</v>
      </c>
      <c r="DV5" s="13" t="str">
        <f>IFERROR(E5*(1-0.5*((CV5-EX5)/(2*G5))*DW5),"0")</f>
        <v>0</v>
      </c>
      <c r="DW5" s="14">
        <f t="shared" ref="DW5:DW20" si="58">IFERROR(((D5/(D26/5))*(1.14*((CO26-CO5)/E26)))+((((CO26/D26)*D5*5-CO5)/((E26/D26)*D5*5-E5))*(1-(D5/(D26/5)))),"0")</f>
        <v>0.50617142857142861</v>
      </c>
      <c r="DX5" s="14">
        <f t="shared" ref="DX5:DX20" si="59">IFERROR(0.5*(((CV26-EX26)-(CV5-EX5))/(2*(G26-G5)))*CO5,"0")</f>
        <v>0</v>
      </c>
      <c r="DY5" s="14" t="str">
        <f t="shared" ref="DY5:DY20" si="60">IFERROR((1-(1-(EX5/EY5))^2)*0.4*EY5,"0")</f>
        <v>0</v>
      </c>
      <c r="DZ5" s="15">
        <f t="shared" si="23"/>
        <v>22.259833333333333</v>
      </c>
      <c r="EA5" s="14">
        <f t="shared" ref="EA5:EA20" si="61">IFERROR(((1-EB5)*EC5)/((1-EB5)*EC5+EB5*(1-EC5)),"0")</f>
        <v>0.92850473884392093</v>
      </c>
      <c r="EB5" s="14">
        <f t="shared" si="24"/>
        <v>9.0909090909090912E-2</v>
      </c>
      <c r="EC5" s="14">
        <f t="shared" si="25"/>
        <v>0.56497038917089681</v>
      </c>
      <c r="ED5" s="14">
        <f t="shared" ref="ED5:ED20" si="62">IFERROR(CJ5*EA5*EC5,"0")</f>
        <v>0</v>
      </c>
      <c r="EE5" s="19">
        <f t="shared" ref="EE5:EE18" si="63">IFERROR((G5-E5)*(1-1.07*EB5),"0")</f>
        <v>0</v>
      </c>
      <c r="EF5" s="67" t="str">
        <f t="shared" ref="EF5:EF20" si="64">IFERROR(((1-(EX5/EY5))^2)*0.4*EY5,"0")</f>
        <v>0</v>
      </c>
      <c r="EG5" s="74">
        <f t="shared" ref="EG5:EG18" si="65">IFERROR(DU5+EE5+EF5+CT5,"0")</f>
        <v>0</v>
      </c>
      <c r="EH5" s="27">
        <f t="shared" ref="EH5:EH20" si="66">IFERROR((EI5+EJ5+EX5)*(1-(CJ26/DZ5)*EA5*EC5)+EK5,"0")</f>
        <v>0</v>
      </c>
      <c r="EI5" s="25" t="str">
        <f t="shared" ref="EI5:EI20" si="67">IFERROR(2*((E5)+(0.5*W5))*(1-0.5*((CV5-EX5)/(2*(G5)))*DW5),"0")</f>
        <v>0</v>
      </c>
      <c r="EJ5" s="25">
        <f t="shared" ref="EJ5:EJ20" si="68">IFERROR(2*((E26-E5+0.5*(W26-W5))/(E26-E5))*0.5*(((CV26-EX26)-(CV5-EX5))/(2*(G26-G5)))*CO5,"0")</f>
        <v>0</v>
      </c>
      <c r="EK5" s="26">
        <f t="shared" si="26"/>
        <v>0</v>
      </c>
      <c r="EL5" s="29">
        <f t="shared" ref="EL5:EL20" si="69">IFERROR((EN5*(1-EM5))/(EN5*(1-EM5)+(1-EN5)*EM5),"0")</f>
        <v>0.35135135135135137</v>
      </c>
      <c r="EM5" s="30">
        <f t="shared" si="27"/>
        <v>0.1875</v>
      </c>
      <c r="EN5" s="30">
        <f t="shared" si="28"/>
        <v>0.1111111111111111</v>
      </c>
      <c r="EO5" s="31">
        <f t="shared" ref="EO5:EO20" si="70">IFERROR(CS5+CU5*EL5*(1-1.07*EM5)+CK5*(1-EL5),"0")</f>
        <v>0</v>
      </c>
      <c r="EP5" s="31">
        <f t="shared" si="29"/>
        <v>0.14166141447570021</v>
      </c>
      <c r="EQ5" s="31">
        <f t="shared" ref="EQ5:EQ20" si="71">IFERROR(EO5+EP5,"0")</f>
        <v>0.14166141447570021</v>
      </c>
      <c r="ER5" s="93">
        <f t="shared" si="30"/>
        <v>0.20624636286870365</v>
      </c>
      <c r="ES5" s="109">
        <f t="shared" si="31"/>
        <v>15.78801400270963</v>
      </c>
      <c r="ET5" s="32">
        <f t="shared" si="32"/>
        <v>1.9815272258618839</v>
      </c>
      <c r="EV5" s="277"/>
      <c r="EW5" s="278"/>
      <c r="EX5" s="37">
        <f>AC5</f>
        <v>0</v>
      </c>
      <c r="EY5" s="72">
        <f t="shared" ref="EY5:EY16" si="72">AE5</f>
        <v>0</v>
      </c>
      <c r="EZ5" s="7">
        <v>0.75</v>
      </c>
      <c r="FB5" s="41"/>
      <c r="FC5" s="139"/>
      <c r="FD5" s="472" t="s">
        <v>82</v>
      </c>
      <c r="FE5" s="41" t="s">
        <v>234</v>
      </c>
      <c r="FF5" s="147">
        <f t="shared" si="33"/>
        <v>1.08</v>
      </c>
      <c r="FG5" s="144">
        <f t="shared" si="33"/>
        <v>0</v>
      </c>
      <c r="FH5" s="468" t="s">
        <v>52</v>
      </c>
      <c r="FI5" s="145">
        <f t="shared" ref="FI5:FI23" si="73">G5</f>
        <v>0</v>
      </c>
      <c r="FJ5" s="194" t="str">
        <f t="shared" ref="FJ5:FJ23" si="74">IFERROR(FG5/FI5,"0")</f>
        <v>0</v>
      </c>
      <c r="FK5" s="110">
        <f t="shared" si="34"/>
        <v>0</v>
      </c>
      <c r="FL5" s="468" t="s">
        <v>52</v>
      </c>
      <c r="FM5" s="168">
        <f t="shared" si="35"/>
        <v>0</v>
      </c>
      <c r="FN5" s="194" t="str">
        <f t="shared" ref="FN5:FN23" si="75">IFERROR(FK5/FM5,"0")</f>
        <v>0</v>
      </c>
      <c r="FO5" s="262">
        <f t="shared" ref="FO5:FO18" si="76">EV5</f>
        <v>0</v>
      </c>
      <c r="FP5" s="468" t="s">
        <v>52</v>
      </c>
      <c r="FQ5" s="274">
        <f t="shared" ref="FQ5:FQ17" si="77">EW5</f>
        <v>0</v>
      </c>
      <c r="FR5" s="197" t="str">
        <f t="shared" ref="FR5:FR23" si="78">IFERROR(FO5/FQ5,"0")</f>
        <v>0</v>
      </c>
      <c r="FS5" s="140">
        <f t="shared" si="36"/>
        <v>0</v>
      </c>
      <c r="FT5" s="140">
        <f t="shared" si="36"/>
        <v>0</v>
      </c>
      <c r="FU5" s="140">
        <f t="shared" si="37"/>
        <v>0</v>
      </c>
      <c r="FV5" s="175">
        <f t="shared" si="37"/>
        <v>0</v>
      </c>
      <c r="FW5" s="140">
        <f t="shared" si="37"/>
        <v>0</v>
      </c>
      <c r="FX5" s="140">
        <f t="shared" si="37"/>
        <v>1</v>
      </c>
      <c r="FY5" s="140">
        <f t="shared" si="37"/>
        <v>0</v>
      </c>
      <c r="FZ5" s="140">
        <f t="shared" si="37"/>
        <v>0</v>
      </c>
      <c r="GA5" s="140">
        <f t="shared" si="37"/>
        <v>0</v>
      </c>
      <c r="GB5" s="140">
        <f t="shared" si="37"/>
        <v>0</v>
      </c>
      <c r="GC5" s="175">
        <f t="shared" si="37"/>
        <v>0</v>
      </c>
      <c r="GD5" s="202" t="str">
        <f t="shared" ref="GD5:GG18" si="79">CX5</f>
        <v>0</v>
      </c>
      <c r="GE5" s="140" t="str">
        <f t="shared" si="79"/>
        <v>0</v>
      </c>
      <c r="GF5" s="140">
        <f t="shared" si="79"/>
        <v>0</v>
      </c>
      <c r="GG5" s="259">
        <f t="shared" si="79"/>
        <v>44.087300054218872</v>
      </c>
      <c r="GH5" s="140"/>
      <c r="GJ5" s="82"/>
      <c r="GK5" s="24"/>
      <c r="GL5" s="185">
        <f>(CQ5/CQ27)*(EY28-EX28)</f>
        <v>0.28333333333333333</v>
      </c>
      <c r="GM5" s="185">
        <f>((E28/G28)*(1-(CJ28/(CJ28+CK27))))/((E28/G28)*(1-(CJ28/(CJ28+CK27)))+((1-(E28/G28)))*(CJ28/(CJ28+CK27)))</f>
        <v>0.35135135135135137</v>
      </c>
      <c r="GN5" s="24">
        <f>GK5+(GL5/10)+(GJ5*GM5*(1-(CJ28/(CJ28+CK27))))+(CK5*(1-GM5))</f>
        <v>2.8333333333333332E-2</v>
      </c>
      <c r="GO5" s="213">
        <f>GN5/(DD5*EG28)</f>
        <v>1.6163419312496045E-2</v>
      </c>
    </row>
    <row r="6" spans="1:197" x14ac:dyDescent="0.2">
      <c r="A6" s="139"/>
      <c r="B6" s="327" t="s">
        <v>82</v>
      </c>
      <c r="C6" s="291" t="s">
        <v>207</v>
      </c>
      <c r="D6" s="483">
        <v>0</v>
      </c>
      <c r="E6" s="114">
        <f t="shared" si="0"/>
        <v>0</v>
      </c>
      <c r="F6" s="468" t="s">
        <v>52</v>
      </c>
      <c r="G6" s="115">
        <f t="shared" si="1"/>
        <v>0</v>
      </c>
      <c r="H6" s="116" t="s">
        <v>53</v>
      </c>
      <c r="I6" s="468">
        <f t="shared" si="38"/>
        <v>0</v>
      </c>
      <c r="J6" s="115" t="s">
        <v>54</v>
      </c>
      <c r="K6" s="116">
        <f t="shared" si="2"/>
        <v>0</v>
      </c>
      <c r="L6" s="468" t="s">
        <v>52</v>
      </c>
      <c r="M6" s="115">
        <f t="shared" si="3"/>
        <v>0</v>
      </c>
      <c r="N6" s="116" t="s">
        <v>53</v>
      </c>
      <c r="O6" s="468">
        <f t="shared" si="4"/>
        <v>0</v>
      </c>
      <c r="P6" s="115" t="s">
        <v>54</v>
      </c>
      <c r="Q6" s="116">
        <f t="shared" si="5"/>
        <v>0</v>
      </c>
      <c r="R6" s="468" t="s">
        <v>52</v>
      </c>
      <c r="S6" s="115">
        <f t="shared" si="39"/>
        <v>0</v>
      </c>
      <c r="T6" s="116" t="s">
        <v>53</v>
      </c>
      <c r="U6" s="468">
        <f t="shared" si="6"/>
        <v>0</v>
      </c>
      <c r="V6" s="115" t="s">
        <v>54</v>
      </c>
      <c r="W6" s="116">
        <f t="shared" si="7"/>
        <v>0</v>
      </c>
      <c r="X6" s="468" t="s">
        <v>52</v>
      </c>
      <c r="Y6" s="115">
        <f t="shared" si="8"/>
        <v>0</v>
      </c>
      <c r="Z6" s="116" t="s">
        <v>53</v>
      </c>
      <c r="AA6" s="468">
        <f t="shared" si="9"/>
        <v>0</v>
      </c>
      <c r="AB6" s="115" t="s">
        <v>54</v>
      </c>
      <c r="AC6" s="116">
        <f t="shared" si="40"/>
        <v>0</v>
      </c>
      <c r="AD6" s="468" t="s">
        <v>52</v>
      </c>
      <c r="AE6" s="117">
        <f t="shared" si="41"/>
        <v>0</v>
      </c>
      <c r="AF6" s="469"/>
      <c r="AG6" s="114">
        <f t="shared" si="42"/>
        <v>0</v>
      </c>
      <c r="AH6" s="468" t="s">
        <v>52</v>
      </c>
      <c r="AI6" s="115">
        <f t="shared" si="10"/>
        <v>0</v>
      </c>
      <c r="AJ6" s="116" t="s">
        <v>53</v>
      </c>
      <c r="AK6" s="468">
        <f t="shared" si="11"/>
        <v>0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468" t="s">
        <v>52</v>
      </c>
      <c r="BG6" s="117">
        <v>0</v>
      </c>
      <c r="BH6" s="115"/>
      <c r="BI6" s="114">
        <f t="shared" si="12"/>
        <v>0</v>
      </c>
      <c r="BJ6" s="468" t="s">
        <v>52</v>
      </c>
      <c r="BK6" s="115">
        <f t="shared" si="43"/>
        <v>0</v>
      </c>
      <c r="BL6" s="116" t="s">
        <v>53</v>
      </c>
      <c r="BM6" s="468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68" t="s">
        <v>52</v>
      </c>
      <c r="CI6" s="117">
        <v>0</v>
      </c>
      <c r="CJ6" s="140">
        <v>0</v>
      </c>
      <c r="CK6" s="148">
        <f t="shared" si="44"/>
        <v>0</v>
      </c>
      <c r="CL6" s="148">
        <v>0</v>
      </c>
      <c r="CM6" s="148">
        <v>0</v>
      </c>
      <c r="CN6" s="148">
        <f t="shared" si="45"/>
        <v>0</v>
      </c>
      <c r="CO6" s="175">
        <v>0</v>
      </c>
      <c r="CP6" s="140">
        <v>0</v>
      </c>
      <c r="CQ6" s="175">
        <v>0</v>
      </c>
      <c r="CR6" s="148">
        <v>0</v>
      </c>
      <c r="CS6" s="148">
        <v>0</v>
      </c>
      <c r="CT6" s="140">
        <v>0</v>
      </c>
      <c r="CU6" s="140">
        <v>0</v>
      </c>
      <c r="CV6" s="148">
        <f t="shared" si="46"/>
        <v>0</v>
      </c>
      <c r="CW6" s="140"/>
      <c r="CX6" s="164" t="str">
        <f t="shared" si="47"/>
        <v>0</v>
      </c>
      <c r="CY6" s="147" t="str">
        <f t="shared" si="14"/>
        <v>0</v>
      </c>
      <c r="CZ6" s="165" t="str">
        <f t="shared" si="15"/>
        <v>0</v>
      </c>
      <c r="DA6" s="164">
        <f t="shared" si="16"/>
        <v>52.260955719405388</v>
      </c>
      <c r="DB6" s="141"/>
      <c r="DC6" s="141"/>
      <c r="DD6" s="77">
        <f t="shared" si="48"/>
        <v>0</v>
      </c>
      <c r="DE6" s="37" t="str">
        <f t="shared" si="49"/>
        <v>0</v>
      </c>
      <c r="DF6" s="37" t="str">
        <f t="shared" si="50"/>
        <v>0</v>
      </c>
      <c r="DG6" s="37" t="str">
        <f t="shared" si="51"/>
        <v>0</v>
      </c>
      <c r="DH6" s="37" t="str">
        <f t="shared" si="17"/>
        <v>0</v>
      </c>
      <c r="DI6" s="37" t="str">
        <f t="shared" si="18"/>
        <v>0</v>
      </c>
      <c r="DJ6" s="37" t="str">
        <f t="shared" si="19"/>
        <v>0</v>
      </c>
      <c r="DK6" s="37" t="str">
        <f t="shared" si="20"/>
        <v>0</v>
      </c>
      <c r="DL6" s="37" t="str">
        <f t="shared" si="21"/>
        <v>0</v>
      </c>
      <c r="DM6" s="37" t="str">
        <f t="shared" si="22"/>
        <v>0</v>
      </c>
      <c r="DN6" s="37" t="str">
        <f t="shared" si="52"/>
        <v>0</v>
      </c>
      <c r="DO6" s="37" t="str">
        <f t="shared" si="53"/>
        <v>0</v>
      </c>
      <c r="DP6" s="66" t="str">
        <f t="shared" si="54"/>
        <v>0</v>
      </c>
      <c r="DQ6" s="78" t="str">
        <f t="shared" si="55"/>
        <v>0</v>
      </c>
      <c r="DR6" s="6"/>
      <c r="DS6" s="36"/>
      <c r="DT6" s="75" t="str">
        <f t="shared" si="56"/>
        <v>0</v>
      </c>
      <c r="DU6" s="18">
        <f t="shared" si="57"/>
        <v>0</v>
      </c>
      <c r="DV6" s="13" t="str">
        <f t="shared" ref="DV6:DV20" si="80">IFERROR(E6*(1-0.5*((CV6-EX6)/(2*G6))*DW6),"0")</f>
        <v>0</v>
      </c>
      <c r="DW6" s="14" t="str">
        <f t="shared" si="58"/>
        <v>0</v>
      </c>
      <c r="DX6" s="14">
        <f t="shared" si="59"/>
        <v>0</v>
      </c>
      <c r="DY6" s="14" t="str">
        <f t="shared" si="60"/>
        <v>0</v>
      </c>
      <c r="DZ6" s="15">
        <f t="shared" si="23"/>
        <v>22.259833333333333</v>
      </c>
      <c r="EA6" s="14">
        <f t="shared" si="61"/>
        <v>0.92850473884392093</v>
      </c>
      <c r="EB6" s="14">
        <f t="shared" si="24"/>
        <v>9.0909090909090912E-2</v>
      </c>
      <c r="EC6" s="14">
        <f t="shared" si="25"/>
        <v>0.56497038917089681</v>
      </c>
      <c r="ED6" s="14">
        <f t="shared" si="62"/>
        <v>0</v>
      </c>
      <c r="EE6" s="19">
        <f t="shared" si="63"/>
        <v>0</v>
      </c>
      <c r="EF6" s="67" t="str">
        <f t="shared" si="64"/>
        <v>0</v>
      </c>
      <c r="EG6" s="74">
        <f t="shared" si="65"/>
        <v>0</v>
      </c>
      <c r="EH6" s="27">
        <f t="shared" si="66"/>
        <v>0</v>
      </c>
      <c r="EI6" s="25" t="str">
        <f t="shared" si="67"/>
        <v>0</v>
      </c>
      <c r="EJ6" s="25">
        <f t="shared" si="68"/>
        <v>0</v>
      </c>
      <c r="EK6" s="26">
        <f t="shared" si="26"/>
        <v>0</v>
      </c>
      <c r="EL6" s="29">
        <f t="shared" si="69"/>
        <v>0.35135135135135137</v>
      </c>
      <c r="EM6" s="30">
        <f t="shared" si="27"/>
        <v>0.1875</v>
      </c>
      <c r="EN6" s="30">
        <f t="shared" si="28"/>
        <v>0.1111111111111111</v>
      </c>
      <c r="EO6" s="31">
        <f t="shared" si="70"/>
        <v>0</v>
      </c>
      <c r="EP6" s="31">
        <f t="shared" si="29"/>
        <v>0</v>
      </c>
      <c r="EQ6" s="31">
        <f t="shared" si="71"/>
        <v>0</v>
      </c>
      <c r="ER6" s="93" t="str">
        <f t="shared" si="30"/>
        <v>0</v>
      </c>
      <c r="ES6" s="109">
        <f t="shared" si="31"/>
        <v>15.78801400270963</v>
      </c>
      <c r="ET6" s="32">
        <f t="shared" si="32"/>
        <v>1.9815272258618839</v>
      </c>
      <c r="EV6" s="277"/>
      <c r="EW6" s="278"/>
      <c r="EX6" s="37">
        <f t="shared" ref="EX6:EX16" si="81">AC6</f>
        <v>0</v>
      </c>
      <c r="EY6" s="72">
        <f t="shared" si="72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3"/>
        <v>0</v>
      </c>
      <c r="FG6" s="182">
        <f t="shared" si="33"/>
        <v>0</v>
      </c>
      <c r="FH6" s="183" t="s">
        <v>52</v>
      </c>
      <c r="FI6" s="184">
        <f t="shared" si="73"/>
        <v>0</v>
      </c>
      <c r="FJ6" s="193" t="str">
        <f t="shared" si="74"/>
        <v>0</v>
      </c>
      <c r="FK6" s="185">
        <f t="shared" si="34"/>
        <v>0</v>
      </c>
      <c r="FL6" s="183" t="s">
        <v>52</v>
      </c>
      <c r="FM6" s="186">
        <f t="shared" si="35"/>
        <v>0</v>
      </c>
      <c r="FN6" s="193" t="str">
        <f t="shared" si="75"/>
        <v>0</v>
      </c>
      <c r="FO6" s="261">
        <f t="shared" si="76"/>
        <v>0</v>
      </c>
      <c r="FP6" s="183" t="s">
        <v>52</v>
      </c>
      <c r="FQ6" s="268">
        <f t="shared" si="77"/>
        <v>0</v>
      </c>
      <c r="FR6" s="196" t="str">
        <f t="shared" si="78"/>
        <v>0</v>
      </c>
      <c r="FS6" s="179">
        <f t="shared" si="36"/>
        <v>0</v>
      </c>
      <c r="FT6" s="179">
        <f t="shared" si="36"/>
        <v>0</v>
      </c>
      <c r="FU6" s="179">
        <f t="shared" si="37"/>
        <v>0</v>
      </c>
      <c r="FV6" s="187">
        <f t="shared" si="37"/>
        <v>0</v>
      </c>
      <c r="FW6" s="179">
        <f t="shared" si="37"/>
        <v>0</v>
      </c>
      <c r="FX6" s="179">
        <f t="shared" si="37"/>
        <v>0</v>
      </c>
      <c r="FY6" s="179">
        <f t="shared" si="37"/>
        <v>0</v>
      </c>
      <c r="FZ6" s="179">
        <f t="shared" si="37"/>
        <v>0</v>
      </c>
      <c r="GA6" s="179">
        <f t="shared" si="37"/>
        <v>0</v>
      </c>
      <c r="GB6" s="179">
        <f t="shared" si="37"/>
        <v>0</v>
      </c>
      <c r="GC6" s="187">
        <f t="shared" si="37"/>
        <v>0</v>
      </c>
      <c r="GD6" s="203" t="str">
        <f t="shared" si="79"/>
        <v>0</v>
      </c>
      <c r="GE6" s="179" t="str">
        <f t="shared" si="79"/>
        <v>0</v>
      </c>
      <c r="GF6" s="179" t="str">
        <f t="shared" si="79"/>
        <v>0</v>
      </c>
      <c r="GG6" s="258">
        <f t="shared" si="79"/>
        <v>52.260955719405388</v>
      </c>
      <c r="GH6" s="179"/>
      <c r="GJ6" s="82"/>
      <c r="GK6" s="24"/>
      <c r="GL6" s="185">
        <f>(CQ6/CQ29)*(EY30-EX30)</f>
        <v>0</v>
      </c>
      <c r="GM6" s="185">
        <f>((E30/G30)*(1-(CJ30/(CJ30+CK29))))/((E30/G30)*(1-(CJ30/(CJ30+CK29)))+((1-(E30/G30)))*(CJ30/(CJ30+CK29)))</f>
        <v>0.94786729857819907</v>
      </c>
      <c r="GN6" s="24">
        <f>GK6+(GL6/10)+(GJ6*GM6*(1-(CJ30/(CJ30+CK29))))+(CK6*(1-GM6))</f>
        <v>0</v>
      </c>
      <c r="GO6" s="213" t="e">
        <f>GN6/(DD6*EG30)</f>
        <v>#DIV/0!</v>
      </c>
    </row>
    <row r="7" spans="1:197" x14ac:dyDescent="0.2">
      <c r="A7" s="139"/>
      <c r="B7" s="430" t="s">
        <v>117</v>
      </c>
      <c r="C7" s="431" t="s">
        <v>175</v>
      </c>
      <c r="D7" s="483">
        <v>8.85</v>
      </c>
      <c r="E7" s="114">
        <f t="shared" si="0"/>
        <v>0</v>
      </c>
      <c r="F7" s="468" t="s">
        <v>52</v>
      </c>
      <c r="G7" s="115">
        <f t="shared" si="1"/>
        <v>2</v>
      </c>
      <c r="H7" s="116" t="s">
        <v>53</v>
      </c>
      <c r="I7" s="468">
        <f t="shared" si="38"/>
        <v>0</v>
      </c>
      <c r="J7" s="115" t="s">
        <v>54</v>
      </c>
      <c r="K7" s="116">
        <f t="shared" si="2"/>
        <v>0</v>
      </c>
      <c r="L7" s="468" t="s">
        <v>52</v>
      </c>
      <c r="M7" s="115">
        <f t="shared" si="3"/>
        <v>0</v>
      </c>
      <c r="N7" s="116" t="s">
        <v>53</v>
      </c>
      <c r="O7" s="468">
        <f t="shared" si="4"/>
        <v>0</v>
      </c>
      <c r="P7" s="115" t="s">
        <v>54</v>
      </c>
      <c r="Q7" s="116">
        <f t="shared" si="5"/>
        <v>0</v>
      </c>
      <c r="R7" s="468" t="s">
        <v>52</v>
      </c>
      <c r="S7" s="115">
        <f t="shared" si="39"/>
        <v>0</v>
      </c>
      <c r="T7" s="116" t="s">
        <v>53</v>
      </c>
      <c r="U7" s="468">
        <f t="shared" si="6"/>
        <v>0</v>
      </c>
      <c r="V7" s="115" t="s">
        <v>54</v>
      </c>
      <c r="W7" s="116">
        <f t="shared" si="7"/>
        <v>0</v>
      </c>
      <c r="X7" s="468" t="s">
        <v>52</v>
      </c>
      <c r="Y7" s="115">
        <f t="shared" si="8"/>
        <v>2</v>
      </c>
      <c r="Z7" s="116" t="s">
        <v>53</v>
      </c>
      <c r="AA7" s="468">
        <f t="shared" si="9"/>
        <v>0</v>
      </c>
      <c r="AB7" s="115" t="s">
        <v>54</v>
      </c>
      <c r="AC7" s="116">
        <f t="shared" si="40"/>
        <v>0</v>
      </c>
      <c r="AD7" s="468" t="s">
        <v>52</v>
      </c>
      <c r="AE7" s="117">
        <f t="shared" si="41"/>
        <v>0</v>
      </c>
      <c r="AF7" s="469"/>
      <c r="AG7" s="114">
        <f>IFERROR(AM7+AS7+AY7,"0")</f>
        <v>0</v>
      </c>
      <c r="AH7" s="468" t="s">
        <v>52</v>
      </c>
      <c r="AI7" s="115">
        <f t="shared" si="10"/>
        <v>1</v>
      </c>
      <c r="AJ7" s="116" t="s">
        <v>53</v>
      </c>
      <c r="AK7" s="468">
        <f t="shared" si="11"/>
        <v>0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0</v>
      </c>
      <c r="AZ7" s="244" t="s">
        <v>52</v>
      </c>
      <c r="BA7" s="245">
        <v>1</v>
      </c>
      <c r="BB7" s="246" t="s">
        <v>53</v>
      </c>
      <c r="BC7" s="244">
        <v>0</v>
      </c>
      <c r="BD7" s="245" t="s">
        <v>54</v>
      </c>
      <c r="BE7" s="116">
        <v>0</v>
      </c>
      <c r="BF7" s="468" t="s">
        <v>52</v>
      </c>
      <c r="BG7" s="117">
        <v>0</v>
      </c>
      <c r="BH7" s="115"/>
      <c r="BI7" s="114">
        <f>IFERROR(BO7+BU7+CA7,"0")</f>
        <v>0</v>
      </c>
      <c r="BJ7" s="468" t="s">
        <v>52</v>
      </c>
      <c r="BK7" s="115">
        <f t="shared" si="43"/>
        <v>1</v>
      </c>
      <c r="BL7" s="116" t="s">
        <v>53</v>
      </c>
      <c r="BM7" s="468">
        <f t="shared" si="13"/>
        <v>0</v>
      </c>
      <c r="BN7" s="115" t="s">
        <v>54</v>
      </c>
      <c r="BO7" s="246">
        <v>0</v>
      </c>
      <c r="BP7" s="244" t="s">
        <v>52</v>
      </c>
      <c r="BQ7" s="245">
        <v>0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1</v>
      </c>
      <c r="CD7" s="246" t="s">
        <v>53</v>
      </c>
      <c r="CE7" s="244">
        <v>0</v>
      </c>
      <c r="CF7" s="245" t="s">
        <v>54</v>
      </c>
      <c r="CG7" s="116">
        <v>0</v>
      </c>
      <c r="CH7" s="468" t="s">
        <v>52</v>
      </c>
      <c r="CI7" s="117">
        <v>0</v>
      </c>
      <c r="CJ7" s="140">
        <v>0</v>
      </c>
      <c r="CK7" s="148">
        <f t="shared" si="44"/>
        <v>1</v>
      </c>
      <c r="CL7" s="148">
        <v>0</v>
      </c>
      <c r="CM7" s="148">
        <v>1</v>
      </c>
      <c r="CN7" s="148">
        <f t="shared" si="45"/>
        <v>1</v>
      </c>
      <c r="CO7" s="175">
        <v>0</v>
      </c>
      <c r="CP7" s="140">
        <v>0</v>
      </c>
      <c r="CQ7" s="175">
        <v>0</v>
      </c>
      <c r="CR7" s="148">
        <v>0</v>
      </c>
      <c r="CS7" s="148">
        <v>0</v>
      </c>
      <c r="CT7" s="140">
        <v>0</v>
      </c>
      <c r="CU7" s="140">
        <v>0</v>
      </c>
      <c r="CV7" s="148">
        <f t="shared" si="46"/>
        <v>0</v>
      </c>
      <c r="CW7" s="140"/>
      <c r="CX7" s="164">
        <f t="shared" si="47"/>
        <v>0</v>
      </c>
      <c r="CY7" s="147">
        <f t="shared" si="14"/>
        <v>0</v>
      </c>
      <c r="CZ7" s="165">
        <f t="shared" si="15"/>
        <v>0.11130037071155054</v>
      </c>
      <c r="DA7" s="164">
        <f t="shared" si="16"/>
        <v>215.28789804393452</v>
      </c>
      <c r="DB7" s="141"/>
      <c r="DC7" s="141"/>
      <c r="DD7" s="77">
        <f t="shared" si="48"/>
        <v>0.72244897959183674</v>
      </c>
      <c r="DE7" s="37">
        <f t="shared" si="49"/>
        <v>0</v>
      </c>
      <c r="DF7" s="37">
        <f t="shared" si="50"/>
        <v>0</v>
      </c>
      <c r="DG7" s="37">
        <f t="shared" si="51"/>
        <v>0</v>
      </c>
      <c r="DH7" s="37">
        <f t="shared" si="17"/>
        <v>0</v>
      </c>
      <c r="DI7" s="37">
        <f t="shared" si="18"/>
        <v>0.12583461736004109</v>
      </c>
      <c r="DJ7" s="37">
        <f t="shared" si="19"/>
        <v>0</v>
      </c>
      <c r="DK7" s="37">
        <f t="shared" si="20"/>
        <v>0</v>
      </c>
      <c r="DL7" s="37">
        <f t="shared" si="21"/>
        <v>0</v>
      </c>
      <c r="DM7" s="37">
        <f t="shared" si="22"/>
        <v>0</v>
      </c>
      <c r="DN7" s="37">
        <f t="shared" si="52"/>
        <v>0</v>
      </c>
      <c r="DO7" s="37" t="str">
        <f t="shared" si="53"/>
        <v>0</v>
      </c>
      <c r="DP7" s="66">
        <f t="shared" si="54"/>
        <v>0</v>
      </c>
      <c r="DQ7" s="78">
        <f t="shared" si="55"/>
        <v>0</v>
      </c>
      <c r="DR7" s="6"/>
      <c r="DS7" s="36"/>
      <c r="DT7" s="75">
        <f t="shared" si="56"/>
        <v>-7.1946892655367227</v>
      </c>
      <c r="DU7" s="18">
        <f t="shared" si="57"/>
        <v>0</v>
      </c>
      <c r="DV7" s="13">
        <f t="shared" si="80"/>
        <v>0</v>
      </c>
      <c r="DW7" s="14">
        <f t="shared" si="58"/>
        <v>0</v>
      </c>
      <c r="DX7" s="14">
        <f t="shared" si="59"/>
        <v>0</v>
      </c>
      <c r="DY7" s="14" t="str">
        <f t="shared" si="60"/>
        <v>0</v>
      </c>
      <c r="DZ7" s="15">
        <f t="shared" si="23"/>
        <v>3.1036666666666668</v>
      </c>
      <c r="EA7" s="14">
        <f t="shared" si="61"/>
        <v>0.40092411645854731</v>
      </c>
      <c r="EB7" s="14">
        <f t="shared" si="24"/>
        <v>0.1875</v>
      </c>
      <c r="EC7" s="14">
        <f t="shared" si="25"/>
        <v>0.13377873563218393</v>
      </c>
      <c r="ED7" s="14">
        <f t="shared" si="62"/>
        <v>0</v>
      </c>
      <c r="EE7" s="19">
        <f t="shared" si="63"/>
        <v>1.5987499999999999</v>
      </c>
      <c r="EF7" s="67" t="str">
        <f t="shared" si="64"/>
        <v>0</v>
      </c>
      <c r="EG7" s="74">
        <f t="shared" si="65"/>
        <v>1.5987499999999999</v>
      </c>
      <c r="EH7" s="27">
        <f t="shared" si="66"/>
        <v>0</v>
      </c>
      <c r="EI7" s="25">
        <f t="shared" si="67"/>
        <v>0</v>
      </c>
      <c r="EJ7" s="25">
        <f t="shared" si="68"/>
        <v>0</v>
      </c>
      <c r="EK7" s="26">
        <f t="shared" si="26"/>
        <v>0</v>
      </c>
      <c r="EL7" s="29">
        <f t="shared" si="69"/>
        <v>0.94786729857819907</v>
      </c>
      <c r="EM7" s="30">
        <f t="shared" si="27"/>
        <v>9.0909090909090912E-2</v>
      </c>
      <c r="EN7" s="30">
        <f t="shared" si="28"/>
        <v>0.64516129032258063</v>
      </c>
      <c r="EO7" s="31">
        <f t="shared" si="70"/>
        <v>5.2132701421800931E-2</v>
      </c>
      <c r="EP7" s="31">
        <f t="shared" si="29"/>
        <v>1.7934539123706355</v>
      </c>
      <c r="EQ7" s="31">
        <f t="shared" si="71"/>
        <v>1.8455866137924364</v>
      </c>
      <c r="ER7" s="93">
        <f t="shared" si="30"/>
        <v>0.64242212445777458</v>
      </c>
      <c r="ES7" s="109">
        <f t="shared" si="31"/>
        <v>249.21082000160771</v>
      </c>
      <c r="ET7" s="32">
        <f t="shared" si="32"/>
        <v>2.225982524577153</v>
      </c>
      <c r="EV7" s="277"/>
      <c r="EW7" s="278"/>
      <c r="EX7" s="37">
        <f t="shared" si="81"/>
        <v>0</v>
      </c>
      <c r="EY7" s="72">
        <f t="shared" si="72"/>
        <v>0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3"/>
        <v>8.85</v>
      </c>
      <c r="FG7" s="144">
        <f t="shared" si="33"/>
        <v>0</v>
      </c>
      <c r="FH7" s="468" t="s">
        <v>52</v>
      </c>
      <c r="FI7" s="145">
        <f t="shared" si="73"/>
        <v>2</v>
      </c>
      <c r="FJ7" s="194">
        <f t="shared" si="74"/>
        <v>0</v>
      </c>
      <c r="FK7" s="110">
        <f t="shared" si="34"/>
        <v>0</v>
      </c>
      <c r="FL7" s="468" t="s">
        <v>52</v>
      </c>
      <c r="FM7" s="168">
        <f t="shared" si="35"/>
        <v>2</v>
      </c>
      <c r="FN7" s="194">
        <f t="shared" si="75"/>
        <v>0</v>
      </c>
      <c r="FO7" s="262">
        <f t="shared" si="76"/>
        <v>0</v>
      </c>
      <c r="FP7" s="468" t="s">
        <v>52</v>
      </c>
      <c r="FQ7" s="274">
        <f t="shared" si="77"/>
        <v>0</v>
      </c>
      <c r="FR7" s="197" t="str">
        <f t="shared" si="78"/>
        <v>0</v>
      </c>
      <c r="FS7" s="140">
        <f t="shared" si="36"/>
        <v>0</v>
      </c>
      <c r="FT7" s="140">
        <f t="shared" si="36"/>
        <v>1</v>
      </c>
      <c r="FU7" s="140">
        <f t="shared" si="37"/>
        <v>1</v>
      </c>
      <c r="FV7" s="175">
        <f t="shared" si="37"/>
        <v>0</v>
      </c>
      <c r="FW7" s="140">
        <f t="shared" si="37"/>
        <v>0</v>
      </c>
      <c r="FX7" s="140">
        <f t="shared" si="37"/>
        <v>0</v>
      </c>
      <c r="FY7" s="140">
        <f t="shared" si="37"/>
        <v>0</v>
      </c>
      <c r="FZ7" s="140">
        <f t="shared" si="37"/>
        <v>0</v>
      </c>
      <c r="GA7" s="140">
        <f t="shared" si="37"/>
        <v>0</v>
      </c>
      <c r="GB7" s="140">
        <f t="shared" si="37"/>
        <v>0</v>
      </c>
      <c r="GC7" s="175">
        <f t="shared" si="37"/>
        <v>0</v>
      </c>
      <c r="GD7" s="202">
        <f t="shared" si="79"/>
        <v>0</v>
      </c>
      <c r="GE7" s="140">
        <f t="shared" si="79"/>
        <v>0</v>
      </c>
      <c r="GF7" s="140">
        <f t="shared" si="79"/>
        <v>0.11130037071155054</v>
      </c>
      <c r="GG7" s="259">
        <f t="shared" si="79"/>
        <v>215.28789804393452</v>
      </c>
      <c r="GH7" s="140"/>
      <c r="GJ7" s="82"/>
      <c r="GK7" s="24"/>
      <c r="GL7" s="185">
        <f>(CQ7/CQ31)*(EY32-EX32)</f>
        <v>0</v>
      </c>
      <c r="GM7" s="185">
        <f>((E32/G32)*(1-(CJ32/(CJ32+CK31))))/((E32/G32)*(1-(CJ32/(CJ32+CK31)))+((1-(E32/G32)))*(CJ32/(CJ32+CK31)))</f>
        <v>0.94786729857819907</v>
      </c>
      <c r="GN7" s="24">
        <f>GK7+(GL7/10)+(GJ7*GM7*(1-(CJ32/(CJ32+CK31))))+(CK7*(1-GM7))</f>
        <v>5.2132701421800931E-2</v>
      </c>
      <c r="GO7" s="213">
        <f>GN7/(DD7*EG32)</f>
        <v>1.8524881347791644E-3</v>
      </c>
    </row>
    <row r="8" spans="1:197" x14ac:dyDescent="0.2">
      <c r="A8" s="139"/>
      <c r="B8" s="430" t="s">
        <v>117</v>
      </c>
      <c r="C8" s="431" t="s">
        <v>208</v>
      </c>
      <c r="D8" s="483">
        <v>10.82</v>
      </c>
      <c r="E8" s="114">
        <f t="shared" si="0"/>
        <v>2</v>
      </c>
      <c r="F8" s="468" t="s">
        <v>52</v>
      </c>
      <c r="G8" s="115">
        <f t="shared" si="1"/>
        <v>7</v>
      </c>
      <c r="H8" s="116" t="s">
        <v>53</v>
      </c>
      <c r="I8" s="468">
        <f t="shared" si="38"/>
        <v>0</v>
      </c>
      <c r="J8" s="115" t="s">
        <v>54</v>
      </c>
      <c r="K8" s="116">
        <f t="shared" si="2"/>
        <v>1</v>
      </c>
      <c r="L8" s="468" t="s">
        <v>52</v>
      </c>
      <c r="M8" s="115">
        <f t="shared" si="3"/>
        <v>2</v>
      </c>
      <c r="N8" s="116" t="s">
        <v>53</v>
      </c>
      <c r="O8" s="468">
        <f t="shared" si="4"/>
        <v>0</v>
      </c>
      <c r="P8" s="115" t="s">
        <v>54</v>
      </c>
      <c r="Q8" s="116">
        <f t="shared" si="5"/>
        <v>1</v>
      </c>
      <c r="R8" s="468" t="s">
        <v>52</v>
      </c>
      <c r="S8" s="115">
        <f t="shared" si="39"/>
        <v>3</v>
      </c>
      <c r="T8" s="116" t="s">
        <v>53</v>
      </c>
      <c r="U8" s="468">
        <f t="shared" si="6"/>
        <v>0</v>
      </c>
      <c r="V8" s="115" t="s">
        <v>54</v>
      </c>
      <c r="W8" s="116">
        <f t="shared" si="7"/>
        <v>0</v>
      </c>
      <c r="X8" s="468" t="s">
        <v>52</v>
      </c>
      <c r="Y8" s="115">
        <f t="shared" si="8"/>
        <v>2</v>
      </c>
      <c r="Z8" s="116" t="s">
        <v>53</v>
      </c>
      <c r="AA8" s="468">
        <f t="shared" si="9"/>
        <v>0</v>
      </c>
      <c r="AB8" s="115" t="s">
        <v>54</v>
      </c>
      <c r="AC8" s="116">
        <f t="shared" si="40"/>
        <v>0</v>
      </c>
      <c r="AD8" s="468" t="s">
        <v>52</v>
      </c>
      <c r="AE8" s="117">
        <f t="shared" si="41"/>
        <v>0</v>
      </c>
      <c r="AF8" s="469"/>
      <c r="AG8" s="114">
        <f t="shared" si="42"/>
        <v>1</v>
      </c>
      <c r="AH8" s="468" t="s">
        <v>52</v>
      </c>
      <c r="AI8" s="115">
        <f t="shared" si="10"/>
        <v>6</v>
      </c>
      <c r="AJ8" s="116" t="s">
        <v>53</v>
      </c>
      <c r="AK8" s="468">
        <f t="shared" si="11"/>
        <v>0</v>
      </c>
      <c r="AL8" s="115" t="s">
        <v>54</v>
      </c>
      <c r="AM8" s="246">
        <v>0</v>
      </c>
      <c r="AN8" s="244" t="s">
        <v>52</v>
      </c>
      <c r="AO8" s="245">
        <v>1</v>
      </c>
      <c r="AP8" s="246" t="s">
        <v>53</v>
      </c>
      <c r="AQ8" s="244">
        <v>0</v>
      </c>
      <c r="AR8" s="245" t="s">
        <v>54</v>
      </c>
      <c r="AS8" s="246">
        <v>1</v>
      </c>
      <c r="AT8" s="244" t="s">
        <v>52</v>
      </c>
      <c r="AU8" s="245">
        <v>3</v>
      </c>
      <c r="AV8" s="246" t="s">
        <v>53</v>
      </c>
      <c r="AW8" s="244">
        <v>0</v>
      </c>
      <c r="AX8" s="245" t="s">
        <v>54</v>
      </c>
      <c r="AY8" s="246">
        <v>0</v>
      </c>
      <c r="AZ8" s="244" t="s">
        <v>52</v>
      </c>
      <c r="BA8" s="245">
        <v>2</v>
      </c>
      <c r="BB8" s="246" t="s">
        <v>53</v>
      </c>
      <c r="BC8" s="244">
        <v>0</v>
      </c>
      <c r="BD8" s="245" t="s">
        <v>54</v>
      </c>
      <c r="BE8" s="116">
        <v>0</v>
      </c>
      <c r="BF8" s="468" t="s">
        <v>52</v>
      </c>
      <c r="BG8" s="117">
        <v>0</v>
      </c>
      <c r="BH8" s="115"/>
      <c r="BI8" s="114">
        <f t="shared" si="12"/>
        <v>1</v>
      </c>
      <c r="BJ8" s="468" t="s">
        <v>52</v>
      </c>
      <c r="BK8" s="115">
        <f t="shared" si="43"/>
        <v>1</v>
      </c>
      <c r="BL8" s="116" t="s">
        <v>53</v>
      </c>
      <c r="BM8" s="468">
        <f t="shared" si="13"/>
        <v>0</v>
      </c>
      <c r="BN8" s="115" t="s">
        <v>54</v>
      </c>
      <c r="BO8" s="246">
        <v>1</v>
      </c>
      <c r="BP8" s="244" t="s">
        <v>52</v>
      </c>
      <c r="BQ8" s="245">
        <v>1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68" t="s">
        <v>52</v>
      </c>
      <c r="CI8" s="117">
        <v>0</v>
      </c>
      <c r="CJ8" s="140">
        <v>1</v>
      </c>
      <c r="CK8" s="148">
        <f t="shared" si="44"/>
        <v>2</v>
      </c>
      <c r="CL8" s="148">
        <v>2</v>
      </c>
      <c r="CM8" s="148">
        <v>0</v>
      </c>
      <c r="CN8" s="148">
        <f t="shared" si="45"/>
        <v>3</v>
      </c>
      <c r="CO8" s="175">
        <v>0</v>
      </c>
      <c r="CP8" s="140">
        <v>4</v>
      </c>
      <c r="CQ8" s="175">
        <v>2</v>
      </c>
      <c r="CR8" s="148">
        <v>0</v>
      </c>
      <c r="CS8" s="148">
        <v>0</v>
      </c>
      <c r="CT8" s="140">
        <v>1</v>
      </c>
      <c r="CU8" s="140">
        <v>0</v>
      </c>
      <c r="CV8" s="148">
        <f t="shared" si="46"/>
        <v>4</v>
      </c>
      <c r="CW8" s="140"/>
      <c r="CX8" s="164">
        <f t="shared" si="47"/>
        <v>56.125008432499747</v>
      </c>
      <c r="CY8" s="147">
        <f t="shared" si="14"/>
        <v>0.28069635458147157</v>
      </c>
      <c r="CZ8" s="165">
        <f t="shared" si="15"/>
        <v>0.3955653913058485</v>
      </c>
      <c r="DA8" s="164">
        <f t="shared" si="16"/>
        <v>214.18198632520424</v>
      </c>
      <c r="DB8" s="141"/>
      <c r="DC8" s="141"/>
      <c r="DD8" s="77">
        <f t="shared" si="48"/>
        <v>0.88326530612244902</v>
      </c>
      <c r="DE8" s="37">
        <f t="shared" si="49"/>
        <v>0.2857142857142857</v>
      </c>
      <c r="DF8" s="37">
        <f t="shared" si="50"/>
        <v>0</v>
      </c>
      <c r="DG8" s="37">
        <f t="shared" si="51"/>
        <v>0.2857142857142857</v>
      </c>
      <c r="DH8" s="37">
        <f t="shared" si="17"/>
        <v>7.0760166358595195E-2</v>
      </c>
      <c r="DI8" s="37">
        <f t="shared" si="18"/>
        <v>0.20584775667954966</v>
      </c>
      <c r="DJ8" s="37">
        <f t="shared" si="19"/>
        <v>0</v>
      </c>
      <c r="DK8" s="37">
        <f t="shared" si="20"/>
        <v>0</v>
      </c>
      <c r="DL8" s="37" t="str">
        <f t="shared" si="21"/>
        <v>0</v>
      </c>
      <c r="DM8" s="37">
        <f t="shared" si="22"/>
        <v>0.22776765715988775</v>
      </c>
      <c r="DN8" s="37">
        <f t="shared" si="52"/>
        <v>0.14395069827012452</v>
      </c>
      <c r="DO8" s="37">
        <f t="shared" si="53"/>
        <v>0</v>
      </c>
      <c r="DP8" s="66">
        <f t="shared" si="54"/>
        <v>7.393715341959334</v>
      </c>
      <c r="DQ8" s="78">
        <f t="shared" si="55"/>
        <v>0</v>
      </c>
      <c r="DR8" s="6"/>
      <c r="DS8" s="36"/>
      <c r="DT8" s="75">
        <f t="shared" si="56"/>
        <v>-4.045378927911278</v>
      </c>
      <c r="DU8" s="18">
        <f t="shared" si="57"/>
        <v>1.9499478498863747</v>
      </c>
      <c r="DV8" s="13">
        <f t="shared" si="80"/>
        <v>2</v>
      </c>
      <c r="DW8" s="14">
        <f t="shared" si="58"/>
        <v>0</v>
      </c>
      <c r="DX8" s="14">
        <f t="shared" si="59"/>
        <v>0</v>
      </c>
      <c r="DY8" s="14" t="str">
        <f t="shared" si="60"/>
        <v>0</v>
      </c>
      <c r="DZ8" s="15">
        <f t="shared" si="23"/>
        <v>3.1036666666666668</v>
      </c>
      <c r="EA8" s="14">
        <f t="shared" si="61"/>
        <v>0.40092411645854731</v>
      </c>
      <c r="EB8" s="14">
        <f t="shared" si="24"/>
        <v>0.1875</v>
      </c>
      <c r="EC8" s="14">
        <f t="shared" si="25"/>
        <v>0.13377873563218393</v>
      </c>
      <c r="ED8" s="14">
        <f t="shared" si="62"/>
        <v>5.3635121384274918E-2</v>
      </c>
      <c r="EE8" s="19">
        <f t="shared" si="63"/>
        <v>3.9968749999999997</v>
      </c>
      <c r="EF8" s="67" t="str">
        <f t="shared" si="64"/>
        <v>0</v>
      </c>
      <c r="EG8" s="74">
        <f t="shared" si="65"/>
        <v>6.9468228498863747</v>
      </c>
      <c r="EH8" s="27">
        <f t="shared" si="66"/>
        <v>3.8989049102895472</v>
      </c>
      <c r="EI8" s="25">
        <f t="shared" si="67"/>
        <v>4</v>
      </c>
      <c r="EJ8" s="25" t="str">
        <f t="shared" si="68"/>
        <v>0</v>
      </c>
      <c r="EK8" s="26">
        <f t="shared" si="26"/>
        <v>0.10627945328534769</v>
      </c>
      <c r="EL8" s="29">
        <f t="shared" si="69"/>
        <v>0.94786729857819907</v>
      </c>
      <c r="EM8" s="30">
        <f t="shared" si="27"/>
        <v>9.0909090909090912E-2</v>
      </c>
      <c r="EN8" s="30">
        <f t="shared" si="28"/>
        <v>0.64516129032258063</v>
      </c>
      <c r="EO8" s="31">
        <f t="shared" si="70"/>
        <v>0.10426540284360186</v>
      </c>
      <c r="EP8" s="31">
        <f t="shared" si="29"/>
        <v>2.2393969489849654</v>
      </c>
      <c r="EQ8" s="31">
        <f t="shared" si="71"/>
        <v>2.3436623518285673</v>
      </c>
      <c r="ER8" s="93">
        <f t="shared" si="30"/>
        <v>0.66726310381228171</v>
      </c>
      <c r="ES8" s="109">
        <f t="shared" si="31"/>
        <v>249.21082000160771</v>
      </c>
      <c r="ET8" s="32">
        <f t="shared" si="32"/>
        <v>2.225982524577153</v>
      </c>
      <c r="EV8" s="277"/>
      <c r="EW8" s="278"/>
      <c r="EX8" s="37">
        <f t="shared" si="81"/>
        <v>0</v>
      </c>
      <c r="EY8" s="72">
        <f t="shared" si="72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3"/>
        <v>10.82</v>
      </c>
      <c r="FG8" s="182">
        <f t="shared" si="33"/>
        <v>2</v>
      </c>
      <c r="FH8" s="183" t="s">
        <v>52</v>
      </c>
      <c r="FI8" s="184">
        <f t="shared" si="73"/>
        <v>7</v>
      </c>
      <c r="FJ8" s="193">
        <f t="shared" si="74"/>
        <v>0.2857142857142857</v>
      </c>
      <c r="FK8" s="185">
        <f t="shared" si="34"/>
        <v>0</v>
      </c>
      <c r="FL8" s="183" t="s">
        <v>52</v>
      </c>
      <c r="FM8" s="186">
        <f t="shared" si="35"/>
        <v>2</v>
      </c>
      <c r="FN8" s="193">
        <f t="shared" si="75"/>
        <v>0</v>
      </c>
      <c r="FO8" s="261">
        <f t="shared" si="76"/>
        <v>0</v>
      </c>
      <c r="FP8" s="183" t="s">
        <v>52</v>
      </c>
      <c r="FQ8" s="268">
        <f t="shared" si="77"/>
        <v>0</v>
      </c>
      <c r="FR8" s="196" t="str">
        <f t="shared" si="78"/>
        <v>0</v>
      </c>
      <c r="FS8" s="179">
        <f t="shared" si="36"/>
        <v>1</v>
      </c>
      <c r="FT8" s="179">
        <f t="shared" si="36"/>
        <v>2</v>
      </c>
      <c r="FU8" s="179">
        <f t="shared" si="37"/>
        <v>3</v>
      </c>
      <c r="FV8" s="187">
        <f t="shared" si="37"/>
        <v>0</v>
      </c>
      <c r="FW8" s="179">
        <f t="shared" si="37"/>
        <v>4</v>
      </c>
      <c r="FX8" s="179">
        <f t="shared" si="37"/>
        <v>2</v>
      </c>
      <c r="FY8" s="179">
        <f t="shared" si="37"/>
        <v>0</v>
      </c>
      <c r="FZ8" s="179">
        <f t="shared" si="37"/>
        <v>0</v>
      </c>
      <c r="GA8" s="179">
        <f t="shared" si="37"/>
        <v>1</v>
      </c>
      <c r="GB8" s="179">
        <f t="shared" si="37"/>
        <v>0</v>
      </c>
      <c r="GC8" s="187">
        <f t="shared" si="37"/>
        <v>4</v>
      </c>
      <c r="GD8" s="203">
        <f t="shared" si="79"/>
        <v>56.125008432499747</v>
      </c>
      <c r="GE8" s="179">
        <f t="shared" si="79"/>
        <v>0.28069635458147157</v>
      </c>
      <c r="GF8" s="179">
        <f t="shared" si="79"/>
        <v>0.3955653913058485</v>
      </c>
      <c r="GG8" s="258">
        <f t="shared" si="79"/>
        <v>214.18198632520424</v>
      </c>
      <c r="GH8" s="179"/>
      <c r="GJ8" s="82"/>
      <c r="GK8" s="24"/>
      <c r="GL8" s="185">
        <f>(CQ8/CQ33)*(EY34-EX34)</f>
        <v>0.28333333333333333</v>
      </c>
      <c r="GM8" s="185">
        <f>((E34/G34)*(1-(CJ34/(CJ34+CK33))))/((E34/G34)*(1-(CJ34/(CJ34+CK33)))+((1-(E34/G34)))*(CJ34/(CJ34+CK33)))</f>
        <v>0.29411764705882354</v>
      </c>
      <c r="GN8" s="24">
        <f>GK8+(GL8/10)+(GJ8*GM8*(1-(CJ34/(CJ34+CK33))))+(CK8*(1-GM8))</f>
        <v>1.4400980392156861</v>
      </c>
      <c r="GO8" s="213">
        <f>GN8/(DD8*EG34)</f>
        <v>8.2001939118176242E-2</v>
      </c>
    </row>
    <row r="9" spans="1:197" x14ac:dyDescent="0.2">
      <c r="A9" s="139"/>
      <c r="B9" s="89" t="s">
        <v>82</v>
      </c>
      <c r="C9" s="41" t="s">
        <v>209</v>
      </c>
      <c r="D9" s="483">
        <v>12.25</v>
      </c>
      <c r="E9" s="114">
        <f t="shared" si="0"/>
        <v>5</v>
      </c>
      <c r="F9" s="468" t="s">
        <v>52</v>
      </c>
      <c r="G9" s="115">
        <f t="shared" si="1"/>
        <v>7</v>
      </c>
      <c r="H9" s="116" t="s">
        <v>53</v>
      </c>
      <c r="I9" s="468">
        <f t="shared" si="38"/>
        <v>3</v>
      </c>
      <c r="J9" s="115" t="s">
        <v>54</v>
      </c>
      <c r="K9" s="116">
        <f t="shared" si="2"/>
        <v>4</v>
      </c>
      <c r="L9" s="468" t="s">
        <v>52</v>
      </c>
      <c r="M9" s="115">
        <f t="shared" si="3"/>
        <v>4</v>
      </c>
      <c r="N9" s="116" t="s">
        <v>53</v>
      </c>
      <c r="O9" s="468">
        <f t="shared" si="4"/>
        <v>2</v>
      </c>
      <c r="P9" s="115" t="s">
        <v>54</v>
      </c>
      <c r="Q9" s="116">
        <f t="shared" si="5"/>
        <v>0</v>
      </c>
      <c r="R9" s="468" t="s">
        <v>52</v>
      </c>
      <c r="S9" s="115">
        <f t="shared" si="39"/>
        <v>1</v>
      </c>
      <c r="T9" s="116" t="s">
        <v>53</v>
      </c>
      <c r="U9" s="468">
        <f t="shared" si="6"/>
        <v>0</v>
      </c>
      <c r="V9" s="115" t="s">
        <v>54</v>
      </c>
      <c r="W9" s="116">
        <f t="shared" si="7"/>
        <v>1</v>
      </c>
      <c r="X9" s="468" t="s">
        <v>52</v>
      </c>
      <c r="Y9" s="115">
        <f t="shared" si="8"/>
        <v>2</v>
      </c>
      <c r="Z9" s="116" t="s">
        <v>53</v>
      </c>
      <c r="AA9" s="468">
        <f t="shared" si="9"/>
        <v>1</v>
      </c>
      <c r="AB9" s="115" t="s">
        <v>54</v>
      </c>
      <c r="AC9" s="116">
        <f t="shared" si="40"/>
        <v>0.7</v>
      </c>
      <c r="AD9" s="468" t="s">
        <v>52</v>
      </c>
      <c r="AE9" s="117">
        <f t="shared" si="41"/>
        <v>1</v>
      </c>
      <c r="AF9" s="469"/>
      <c r="AG9" s="114">
        <f t="shared" si="42"/>
        <v>4</v>
      </c>
      <c r="AH9" s="468" t="s">
        <v>52</v>
      </c>
      <c r="AI9" s="115">
        <f t="shared" si="10"/>
        <v>6</v>
      </c>
      <c r="AJ9" s="116" t="s">
        <v>53</v>
      </c>
      <c r="AK9" s="468">
        <f t="shared" si="11"/>
        <v>3</v>
      </c>
      <c r="AL9" s="115" t="s">
        <v>54</v>
      </c>
      <c r="AM9" s="246">
        <v>3</v>
      </c>
      <c r="AN9" s="244" t="s">
        <v>52</v>
      </c>
      <c r="AO9" s="245">
        <v>3</v>
      </c>
      <c r="AP9" s="246" t="s">
        <v>53</v>
      </c>
      <c r="AQ9" s="244">
        <v>2</v>
      </c>
      <c r="AR9" s="245" t="s">
        <v>54</v>
      </c>
      <c r="AS9" s="246">
        <v>0</v>
      </c>
      <c r="AT9" s="244" t="s">
        <v>52</v>
      </c>
      <c r="AU9" s="245">
        <v>1</v>
      </c>
      <c r="AV9" s="246" t="s">
        <v>53</v>
      </c>
      <c r="AW9" s="244">
        <v>0</v>
      </c>
      <c r="AX9" s="245" t="s">
        <v>54</v>
      </c>
      <c r="AY9" s="246">
        <v>1</v>
      </c>
      <c r="AZ9" s="244" t="s">
        <v>52</v>
      </c>
      <c r="BA9" s="245">
        <v>2</v>
      </c>
      <c r="BB9" s="246" t="s">
        <v>53</v>
      </c>
      <c r="BC9" s="244">
        <v>1</v>
      </c>
      <c r="BD9" s="245" t="s">
        <v>54</v>
      </c>
      <c r="BE9" s="116">
        <v>0</v>
      </c>
      <c r="BF9" s="468" t="s">
        <v>52</v>
      </c>
      <c r="BG9" s="117">
        <v>0</v>
      </c>
      <c r="BH9" s="115"/>
      <c r="BI9" s="114">
        <f t="shared" si="12"/>
        <v>1</v>
      </c>
      <c r="BJ9" s="468" t="s">
        <v>52</v>
      </c>
      <c r="BK9" s="115">
        <f t="shared" si="43"/>
        <v>1</v>
      </c>
      <c r="BL9" s="116" t="s">
        <v>53</v>
      </c>
      <c r="BM9" s="468">
        <f t="shared" si="13"/>
        <v>0</v>
      </c>
      <c r="BN9" s="115" t="s">
        <v>54</v>
      </c>
      <c r="BO9" s="246">
        <v>1</v>
      </c>
      <c r="BP9" s="244" t="s">
        <v>52</v>
      </c>
      <c r="BQ9" s="245">
        <v>1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468" t="s">
        <v>52</v>
      </c>
      <c r="CI9" s="117">
        <v>0</v>
      </c>
      <c r="CJ9" s="140">
        <v>0</v>
      </c>
      <c r="CK9" s="148">
        <f t="shared" si="44"/>
        <v>5</v>
      </c>
      <c r="CL9" s="148">
        <v>1</v>
      </c>
      <c r="CM9" s="148">
        <v>4</v>
      </c>
      <c r="CN9" s="148">
        <f t="shared" si="45"/>
        <v>5</v>
      </c>
      <c r="CO9" s="175">
        <v>2</v>
      </c>
      <c r="CP9" s="140">
        <v>3</v>
      </c>
      <c r="CQ9" s="175">
        <v>0</v>
      </c>
      <c r="CR9" s="148">
        <v>1</v>
      </c>
      <c r="CS9" s="148">
        <v>0</v>
      </c>
      <c r="CT9" s="140">
        <v>1</v>
      </c>
      <c r="CU9" s="140">
        <v>0</v>
      </c>
      <c r="CV9" s="148">
        <f t="shared" si="46"/>
        <v>11.7</v>
      </c>
      <c r="CW9" s="140"/>
      <c r="CX9" s="164">
        <f t="shared" si="47"/>
        <v>140.16906484579604</v>
      </c>
      <c r="CY9" s="147">
        <f t="shared" si="14"/>
        <v>0.64014368510700004</v>
      </c>
      <c r="CZ9" s="165">
        <f t="shared" si="15"/>
        <v>0.20270477159272202</v>
      </c>
      <c r="DA9" s="164">
        <f t="shared" si="16"/>
        <v>29.442039195719516</v>
      </c>
      <c r="DB9" s="141"/>
      <c r="DC9" s="141"/>
      <c r="DD9" s="77">
        <f t="shared" si="48"/>
        <v>1</v>
      </c>
      <c r="DE9" s="37">
        <f t="shared" si="49"/>
        <v>0.7142857142857143</v>
      </c>
      <c r="DF9" s="37">
        <f t="shared" si="50"/>
        <v>0.5</v>
      </c>
      <c r="DG9" s="37">
        <f t="shared" si="51"/>
        <v>0.7857142857142857</v>
      </c>
      <c r="DH9" s="37">
        <f t="shared" si="17"/>
        <v>0</v>
      </c>
      <c r="DI9" s="37">
        <f t="shared" si="18"/>
        <v>0.3125</v>
      </c>
      <c r="DJ9" s="37">
        <f t="shared" si="19"/>
        <v>0</v>
      </c>
      <c r="DK9" s="37">
        <f t="shared" si="20"/>
        <v>0</v>
      </c>
      <c r="DL9" s="37">
        <f t="shared" si="21"/>
        <v>0.13333333333333333</v>
      </c>
      <c r="DM9" s="37">
        <f t="shared" si="22"/>
        <v>0.12835783742040349</v>
      </c>
      <c r="DN9" s="37">
        <f t="shared" si="52"/>
        <v>0.12664510698179549</v>
      </c>
      <c r="DO9" s="37">
        <f t="shared" si="53"/>
        <v>2</v>
      </c>
      <c r="DP9" s="66">
        <f t="shared" si="54"/>
        <v>0</v>
      </c>
      <c r="DQ9" s="78">
        <f t="shared" si="55"/>
        <v>3.2653061224489797</v>
      </c>
      <c r="DR9" s="6"/>
      <c r="DS9" s="36"/>
      <c r="DT9" s="75">
        <f t="shared" si="56"/>
        <v>42.341485714285703</v>
      </c>
      <c r="DU9" s="18">
        <f t="shared" si="57"/>
        <v>5.0546262730783367</v>
      </c>
      <c r="DV9" s="13">
        <f t="shared" si="80"/>
        <v>4.1042857142857141</v>
      </c>
      <c r="DW9" s="14">
        <f t="shared" si="58"/>
        <v>0.45599999999999996</v>
      </c>
      <c r="DX9" s="14">
        <f t="shared" si="59"/>
        <v>0.70833333333333337</v>
      </c>
      <c r="DY9" s="14">
        <f t="shared" si="60"/>
        <v>0.36399999999999999</v>
      </c>
      <c r="DZ9" s="15">
        <f t="shared" si="23"/>
        <v>22.259833333333333</v>
      </c>
      <c r="EA9" s="14">
        <f t="shared" si="61"/>
        <v>0.92850473884392093</v>
      </c>
      <c r="EB9" s="14">
        <f t="shared" si="24"/>
        <v>9.0909090909090912E-2</v>
      </c>
      <c r="EC9" s="14">
        <f t="shared" si="25"/>
        <v>0.56497038917089681</v>
      </c>
      <c r="ED9" s="14">
        <f t="shared" si="62"/>
        <v>0</v>
      </c>
      <c r="EE9" s="19">
        <f t="shared" si="63"/>
        <v>1.8054545454545454</v>
      </c>
      <c r="EF9" s="67">
        <f t="shared" si="64"/>
        <v>3.6000000000000011E-2</v>
      </c>
      <c r="EG9" s="74">
        <f t="shared" si="65"/>
        <v>7.8960808185328819</v>
      </c>
      <c r="EH9" s="27">
        <f t="shared" si="66"/>
        <v>11.067862642805817</v>
      </c>
      <c r="EI9" s="25">
        <f t="shared" si="67"/>
        <v>9.0294285714285714</v>
      </c>
      <c r="EJ9" s="25">
        <f t="shared" si="68"/>
        <v>1.6055555555555556</v>
      </c>
      <c r="EK9" s="26">
        <f t="shared" si="26"/>
        <v>0</v>
      </c>
      <c r="EL9" s="29">
        <f t="shared" si="69"/>
        <v>0.35135135135135137</v>
      </c>
      <c r="EM9" s="30">
        <f t="shared" si="27"/>
        <v>0.1875</v>
      </c>
      <c r="EN9" s="30">
        <f t="shared" si="28"/>
        <v>0.1111111111111111</v>
      </c>
      <c r="EO9" s="31">
        <f t="shared" si="70"/>
        <v>3.2432432432432434</v>
      </c>
      <c r="EP9" s="31">
        <f t="shared" si="29"/>
        <v>1.2425844594594595</v>
      </c>
      <c r="EQ9" s="31">
        <f t="shared" si="71"/>
        <v>4.4858277027027027</v>
      </c>
      <c r="ER9" s="93">
        <f t="shared" si="30"/>
        <v>0.57579114295945555</v>
      </c>
      <c r="ES9" s="109">
        <f t="shared" si="31"/>
        <v>15.78801400270963</v>
      </c>
      <c r="ET9" s="32">
        <f t="shared" si="32"/>
        <v>1.9815272258618839</v>
      </c>
      <c r="EV9" s="277"/>
      <c r="EW9" s="278"/>
      <c r="EX9" s="37">
        <f t="shared" si="81"/>
        <v>0.7</v>
      </c>
      <c r="EY9" s="72">
        <f t="shared" si="72"/>
        <v>1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3"/>
        <v>12.25</v>
      </c>
      <c r="FG9" s="144">
        <f t="shared" si="33"/>
        <v>5</v>
      </c>
      <c r="FH9" s="468" t="s">
        <v>52</v>
      </c>
      <c r="FI9" s="145">
        <f t="shared" si="73"/>
        <v>7</v>
      </c>
      <c r="FJ9" s="194">
        <f t="shared" si="74"/>
        <v>0.7142857142857143</v>
      </c>
      <c r="FK9" s="110">
        <f t="shared" si="34"/>
        <v>1</v>
      </c>
      <c r="FL9" s="468" t="s">
        <v>52</v>
      </c>
      <c r="FM9" s="168">
        <f t="shared" si="35"/>
        <v>2</v>
      </c>
      <c r="FN9" s="194">
        <f t="shared" si="75"/>
        <v>0.5</v>
      </c>
      <c r="FO9" s="262">
        <f t="shared" si="76"/>
        <v>0</v>
      </c>
      <c r="FP9" s="468" t="s">
        <v>52</v>
      </c>
      <c r="FQ9" s="274">
        <f t="shared" si="77"/>
        <v>0</v>
      </c>
      <c r="FR9" s="197" t="str">
        <f t="shared" si="78"/>
        <v>0</v>
      </c>
      <c r="FS9" s="140">
        <f t="shared" si="36"/>
        <v>0</v>
      </c>
      <c r="FT9" s="140">
        <f t="shared" si="36"/>
        <v>5</v>
      </c>
      <c r="FU9" s="140">
        <f t="shared" si="37"/>
        <v>5</v>
      </c>
      <c r="FV9" s="175">
        <f t="shared" si="37"/>
        <v>2</v>
      </c>
      <c r="FW9" s="140">
        <f t="shared" si="37"/>
        <v>3</v>
      </c>
      <c r="FX9" s="140">
        <f t="shared" si="37"/>
        <v>0</v>
      </c>
      <c r="FY9" s="140">
        <f t="shared" si="37"/>
        <v>1</v>
      </c>
      <c r="FZ9" s="140">
        <f t="shared" si="37"/>
        <v>0</v>
      </c>
      <c r="GA9" s="140">
        <f t="shared" si="37"/>
        <v>1</v>
      </c>
      <c r="GB9" s="140">
        <f t="shared" si="37"/>
        <v>0</v>
      </c>
      <c r="GC9" s="175">
        <f t="shared" si="37"/>
        <v>11.7</v>
      </c>
      <c r="GD9" s="202">
        <f t="shared" si="79"/>
        <v>140.16906484579604</v>
      </c>
      <c r="GE9" s="140">
        <f t="shared" si="79"/>
        <v>0.64014368510700004</v>
      </c>
      <c r="GF9" s="140">
        <f t="shared" si="79"/>
        <v>0.20270477159272202</v>
      </c>
      <c r="GG9" s="259">
        <f t="shared" si="79"/>
        <v>29.442039195719516</v>
      </c>
      <c r="GH9" s="140"/>
      <c r="GJ9" s="82"/>
      <c r="GK9" s="24"/>
      <c r="GL9" s="185">
        <f>(CQ9/CQ35)*(EY36-EX36)</f>
        <v>0</v>
      </c>
      <c r="GM9" s="185">
        <f>((E36/G36)*(1-(CJ36/(CJ36+CK35))))/((E36/G36)*(1-(CJ36/(CJ36+CK35)))+((1-(E36/G36)))*(CJ36/(CJ36+CK35)))</f>
        <v>0.95940959409594084</v>
      </c>
      <c r="GN9" s="24">
        <f>GK9+(GL9/10)+(GJ9*GM9*(1-(CJ36/(CJ36+CK35))))+(CK9*(1-GM9))</f>
        <v>0.20295202952029578</v>
      </c>
      <c r="GO9" s="213">
        <f>GN9/(DD9*EG36)</f>
        <v>5.2100967218614109E-3</v>
      </c>
    </row>
    <row r="10" spans="1:197" x14ac:dyDescent="0.2">
      <c r="A10" s="139"/>
      <c r="B10" s="430" t="s">
        <v>117</v>
      </c>
      <c r="C10" s="431" t="s">
        <v>210</v>
      </c>
      <c r="D10" s="483">
        <v>6.7</v>
      </c>
      <c r="E10" s="114">
        <f t="shared" si="0"/>
        <v>0</v>
      </c>
      <c r="F10" s="468" t="s">
        <v>52</v>
      </c>
      <c r="G10" s="115">
        <f t="shared" si="1"/>
        <v>2</v>
      </c>
      <c r="H10" s="116" t="s">
        <v>53</v>
      </c>
      <c r="I10" s="468">
        <f t="shared" si="38"/>
        <v>0</v>
      </c>
      <c r="J10" s="115" t="s">
        <v>54</v>
      </c>
      <c r="K10" s="116">
        <f t="shared" si="2"/>
        <v>0</v>
      </c>
      <c r="L10" s="468" t="s">
        <v>52</v>
      </c>
      <c r="M10" s="115">
        <f t="shared" si="3"/>
        <v>0</v>
      </c>
      <c r="N10" s="116" t="s">
        <v>53</v>
      </c>
      <c r="O10" s="468">
        <f t="shared" si="4"/>
        <v>0</v>
      </c>
      <c r="P10" s="115" t="s">
        <v>54</v>
      </c>
      <c r="Q10" s="116">
        <f t="shared" si="5"/>
        <v>0</v>
      </c>
      <c r="R10" s="468" t="s">
        <v>52</v>
      </c>
      <c r="S10" s="115">
        <f t="shared" si="39"/>
        <v>2</v>
      </c>
      <c r="T10" s="116" t="s">
        <v>53</v>
      </c>
      <c r="U10" s="468">
        <f t="shared" si="6"/>
        <v>0</v>
      </c>
      <c r="V10" s="115" t="s">
        <v>54</v>
      </c>
      <c r="W10" s="116">
        <f t="shared" si="7"/>
        <v>0</v>
      </c>
      <c r="X10" s="468" t="s">
        <v>52</v>
      </c>
      <c r="Y10" s="115">
        <f t="shared" si="8"/>
        <v>0</v>
      </c>
      <c r="Z10" s="116" t="s">
        <v>53</v>
      </c>
      <c r="AA10" s="468">
        <f t="shared" si="9"/>
        <v>0</v>
      </c>
      <c r="AB10" s="115" t="s">
        <v>54</v>
      </c>
      <c r="AC10" s="116">
        <f t="shared" si="40"/>
        <v>0</v>
      </c>
      <c r="AD10" s="468" t="s">
        <v>52</v>
      </c>
      <c r="AE10" s="117">
        <f t="shared" si="41"/>
        <v>0</v>
      </c>
      <c r="AF10" s="469"/>
      <c r="AG10" s="114">
        <f t="shared" si="42"/>
        <v>0</v>
      </c>
      <c r="AH10" s="468" t="s">
        <v>52</v>
      </c>
      <c r="AI10" s="115">
        <f t="shared" si="10"/>
        <v>2</v>
      </c>
      <c r="AJ10" s="116" t="s">
        <v>53</v>
      </c>
      <c r="AK10" s="468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2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0</v>
      </c>
      <c r="BB10" s="246" t="s">
        <v>53</v>
      </c>
      <c r="BC10" s="244">
        <v>0</v>
      </c>
      <c r="BD10" s="245" t="s">
        <v>54</v>
      </c>
      <c r="BE10" s="116">
        <v>0</v>
      </c>
      <c r="BF10" s="468" t="s">
        <v>52</v>
      </c>
      <c r="BG10" s="117">
        <v>0</v>
      </c>
      <c r="BH10" s="115"/>
      <c r="BI10" s="114">
        <f t="shared" si="12"/>
        <v>0</v>
      </c>
      <c r="BJ10" s="468" t="s">
        <v>52</v>
      </c>
      <c r="BK10" s="115">
        <f t="shared" si="43"/>
        <v>0</v>
      </c>
      <c r="BL10" s="116" t="s">
        <v>53</v>
      </c>
      <c r="BM10" s="468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68" t="s">
        <v>52</v>
      </c>
      <c r="CI10" s="117">
        <v>0</v>
      </c>
      <c r="CJ10" s="140">
        <v>0</v>
      </c>
      <c r="CK10" s="148">
        <f t="shared" si="44"/>
        <v>0</v>
      </c>
      <c r="CL10" s="148">
        <v>0</v>
      </c>
      <c r="CM10" s="148">
        <v>0</v>
      </c>
      <c r="CN10" s="148">
        <f t="shared" si="45"/>
        <v>0</v>
      </c>
      <c r="CO10" s="175">
        <v>0</v>
      </c>
      <c r="CP10" s="140">
        <v>1</v>
      </c>
      <c r="CQ10" s="175">
        <v>0</v>
      </c>
      <c r="CR10" s="148">
        <v>0</v>
      </c>
      <c r="CS10" s="148">
        <v>2</v>
      </c>
      <c r="CT10" s="140">
        <v>1</v>
      </c>
      <c r="CU10" s="140">
        <v>0</v>
      </c>
      <c r="CV10" s="148">
        <f t="shared" si="46"/>
        <v>0</v>
      </c>
      <c r="CW10" s="140"/>
      <c r="CX10" s="164">
        <f t="shared" si="47"/>
        <v>0</v>
      </c>
      <c r="CY10" s="147">
        <f t="shared" si="14"/>
        <v>0</v>
      </c>
      <c r="CZ10" s="165">
        <f t="shared" si="15"/>
        <v>0.23897310349473411</v>
      </c>
      <c r="DA10" s="164">
        <f t="shared" si="16"/>
        <v>175.15687097128625</v>
      </c>
      <c r="DB10" s="141"/>
      <c r="DC10" s="141"/>
      <c r="DD10" s="77">
        <f t="shared" si="48"/>
        <v>0.54693877551020409</v>
      </c>
      <c r="DE10" s="37">
        <f t="shared" si="49"/>
        <v>0</v>
      </c>
      <c r="DF10" s="37" t="str">
        <f t="shared" si="50"/>
        <v>0</v>
      </c>
      <c r="DG10" s="37">
        <f t="shared" si="51"/>
        <v>0</v>
      </c>
      <c r="DH10" s="37">
        <f t="shared" si="17"/>
        <v>0</v>
      </c>
      <c r="DI10" s="37">
        <f t="shared" si="18"/>
        <v>0</v>
      </c>
      <c r="DJ10" s="37">
        <f t="shared" si="19"/>
        <v>0</v>
      </c>
      <c r="DK10" s="37">
        <f t="shared" si="20"/>
        <v>0.18391388436343173</v>
      </c>
      <c r="DL10" s="37">
        <f t="shared" si="21"/>
        <v>0</v>
      </c>
      <c r="DM10" s="37">
        <f t="shared" si="22"/>
        <v>9.1956942181715864E-2</v>
      </c>
      <c r="DN10" s="37">
        <f t="shared" si="52"/>
        <v>0.38480038480038481</v>
      </c>
      <c r="DO10" s="37">
        <f t="shared" si="53"/>
        <v>0</v>
      </c>
      <c r="DP10" s="66">
        <f t="shared" si="54"/>
        <v>0</v>
      </c>
      <c r="DQ10" s="78">
        <f t="shared" si="55"/>
        <v>0</v>
      </c>
      <c r="DR10" s="6"/>
      <c r="DS10" s="36"/>
      <c r="DT10" s="75">
        <f t="shared" si="56"/>
        <v>-3.6541791044776111</v>
      </c>
      <c r="DU10" s="18">
        <f t="shared" si="57"/>
        <v>0</v>
      </c>
      <c r="DV10" s="13">
        <f t="shared" si="80"/>
        <v>0</v>
      </c>
      <c r="DW10" s="14">
        <f t="shared" si="58"/>
        <v>0</v>
      </c>
      <c r="DX10" s="14">
        <f t="shared" si="59"/>
        <v>0</v>
      </c>
      <c r="DY10" s="14" t="str">
        <f t="shared" si="60"/>
        <v>0</v>
      </c>
      <c r="DZ10" s="15">
        <f t="shared" si="23"/>
        <v>3.1036666666666668</v>
      </c>
      <c r="EA10" s="14">
        <f t="shared" si="61"/>
        <v>0.40092411645854731</v>
      </c>
      <c r="EB10" s="14">
        <f t="shared" si="24"/>
        <v>0.1875</v>
      </c>
      <c r="EC10" s="14">
        <f t="shared" si="25"/>
        <v>0.13377873563218393</v>
      </c>
      <c r="ED10" s="14">
        <f t="shared" si="62"/>
        <v>0</v>
      </c>
      <c r="EE10" s="19">
        <f t="shared" si="63"/>
        <v>1.5987499999999999</v>
      </c>
      <c r="EF10" s="67" t="str">
        <f t="shared" si="64"/>
        <v>0</v>
      </c>
      <c r="EG10" s="74">
        <f t="shared" si="65"/>
        <v>2.5987499999999999</v>
      </c>
      <c r="EH10" s="27">
        <f t="shared" si="66"/>
        <v>0</v>
      </c>
      <c r="EI10" s="25">
        <f t="shared" si="67"/>
        <v>0</v>
      </c>
      <c r="EJ10" s="25">
        <f t="shared" si="68"/>
        <v>0</v>
      </c>
      <c r="EK10" s="26">
        <f t="shared" si="26"/>
        <v>0</v>
      </c>
      <c r="EL10" s="29">
        <f t="shared" si="69"/>
        <v>0.94786729857819907</v>
      </c>
      <c r="EM10" s="30">
        <f t="shared" si="27"/>
        <v>9.0909090909090912E-2</v>
      </c>
      <c r="EN10" s="30">
        <f t="shared" si="28"/>
        <v>0.64516129032258063</v>
      </c>
      <c r="EO10" s="31">
        <f t="shared" si="70"/>
        <v>2</v>
      </c>
      <c r="EP10" s="31">
        <f t="shared" si="29"/>
        <v>1.3577560692523456</v>
      </c>
      <c r="EQ10" s="31">
        <f t="shared" si="71"/>
        <v>3.3577560692523454</v>
      </c>
      <c r="ER10" s="93">
        <f t="shared" si="30"/>
        <v>1.5438449036027173</v>
      </c>
      <c r="ES10" s="109">
        <f t="shared" si="31"/>
        <v>249.21082000160771</v>
      </c>
      <c r="ET10" s="32">
        <f t="shared" si="32"/>
        <v>2.225982524577153</v>
      </c>
      <c r="EV10" s="277"/>
      <c r="EW10" s="278"/>
      <c r="EX10" s="37">
        <f t="shared" si="81"/>
        <v>0</v>
      </c>
      <c r="EY10" s="72">
        <f t="shared" si="72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3"/>
        <v>6.7</v>
      </c>
      <c r="FG10" s="182">
        <f t="shared" si="33"/>
        <v>0</v>
      </c>
      <c r="FH10" s="183" t="s">
        <v>52</v>
      </c>
      <c r="FI10" s="184">
        <f t="shared" si="73"/>
        <v>2</v>
      </c>
      <c r="FJ10" s="193">
        <f t="shared" si="74"/>
        <v>0</v>
      </c>
      <c r="FK10" s="185">
        <f t="shared" si="34"/>
        <v>0</v>
      </c>
      <c r="FL10" s="183" t="s">
        <v>52</v>
      </c>
      <c r="FM10" s="186">
        <f t="shared" si="35"/>
        <v>0</v>
      </c>
      <c r="FN10" s="193" t="str">
        <f t="shared" si="75"/>
        <v>0</v>
      </c>
      <c r="FO10" s="261">
        <f t="shared" si="76"/>
        <v>0</v>
      </c>
      <c r="FP10" s="183" t="s">
        <v>52</v>
      </c>
      <c r="FQ10" s="268">
        <f t="shared" si="77"/>
        <v>0</v>
      </c>
      <c r="FR10" s="196" t="str">
        <f t="shared" si="78"/>
        <v>0</v>
      </c>
      <c r="FS10" s="179">
        <f t="shared" si="36"/>
        <v>0</v>
      </c>
      <c r="FT10" s="179">
        <f t="shared" si="36"/>
        <v>0</v>
      </c>
      <c r="FU10" s="179">
        <f t="shared" si="37"/>
        <v>0</v>
      </c>
      <c r="FV10" s="187">
        <f t="shared" si="37"/>
        <v>0</v>
      </c>
      <c r="FW10" s="179">
        <f t="shared" si="37"/>
        <v>1</v>
      </c>
      <c r="FX10" s="179">
        <f t="shared" si="37"/>
        <v>0</v>
      </c>
      <c r="FY10" s="179">
        <f t="shared" si="37"/>
        <v>0</v>
      </c>
      <c r="FZ10" s="179">
        <f t="shared" si="37"/>
        <v>2</v>
      </c>
      <c r="GA10" s="179">
        <f t="shared" si="37"/>
        <v>1</v>
      </c>
      <c r="GB10" s="179">
        <f t="shared" si="37"/>
        <v>0</v>
      </c>
      <c r="GC10" s="187">
        <f t="shared" si="37"/>
        <v>0</v>
      </c>
      <c r="GD10" s="203">
        <f t="shared" si="79"/>
        <v>0</v>
      </c>
      <c r="GE10" s="179">
        <f t="shared" si="79"/>
        <v>0</v>
      </c>
      <c r="GF10" s="179">
        <f t="shared" si="79"/>
        <v>0.23897310349473411</v>
      </c>
      <c r="GG10" s="258">
        <f t="shared" si="79"/>
        <v>175.15687097128625</v>
      </c>
      <c r="GH10" s="179"/>
      <c r="GJ10" s="82"/>
      <c r="GK10" s="24"/>
      <c r="GL10" s="185">
        <f>(CQ10/CQ37)*(EY38-EX38)</f>
        <v>0</v>
      </c>
      <c r="GM10" s="185">
        <f>((E38/G38)*(1-(CJ38/(CJ38+CK37))))/((E38/G38)*(1-(CJ38/(CJ38+CK37)))+((1-(E38/G38)))*(CJ38/(CJ38+CK37)))</f>
        <v>0.35135135135135137</v>
      </c>
      <c r="GN10" s="24">
        <f>GK10+(GL10/10)+(GJ10*GM10*(1-(CJ38/(CJ38+CK37))))+(CK10*(1-GM10))</f>
        <v>0</v>
      </c>
      <c r="GO10" s="213">
        <f>GN10/(DD10*EG38)</f>
        <v>0</v>
      </c>
    </row>
    <row r="11" spans="1:197" x14ac:dyDescent="0.2">
      <c r="A11" s="139"/>
      <c r="B11" s="89" t="s">
        <v>82</v>
      </c>
      <c r="C11" s="41" t="s">
        <v>211</v>
      </c>
      <c r="D11" s="483">
        <v>6.1</v>
      </c>
      <c r="E11" s="114">
        <f t="shared" si="0"/>
        <v>2</v>
      </c>
      <c r="F11" s="468" t="s">
        <v>52</v>
      </c>
      <c r="G11" s="115">
        <f t="shared" si="1"/>
        <v>2</v>
      </c>
      <c r="H11" s="116" t="s">
        <v>53</v>
      </c>
      <c r="I11" s="468">
        <f t="shared" si="38"/>
        <v>1</v>
      </c>
      <c r="J11" s="115" t="s">
        <v>54</v>
      </c>
      <c r="K11" s="116">
        <f t="shared" si="2"/>
        <v>1</v>
      </c>
      <c r="L11" s="468" t="s">
        <v>52</v>
      </c>
      <c r="M11" s="115">
        <f t="shared" si="3"/>
        <v>1</v>
      </c>
      <c r="N11" s="116" t="s">
        <v>53</v>
      </c>
      <c r="O11" s="468">
        <f t="shared" si="4"/>
        <v>0</v>
      </c>
      <c r="P11" s="115" t="s">
        <v>54</v>
      </c>
      <c r="Q11" s="116">
        <f t="shared" si="5"/>
        <v>1</v>
      </c>
      <c r="R11" s="468" t="s">
        <v>52</v>
      </c>
      <c r="S11" s="115">
        <f t="shared" si="39"/>
        <v>1</v>
      </c>
      <c r="T11" s="116" t="s">
        <v>53</v>
      </c>
      <c r="U11" s="468">
        <f t="shared" si="6"/>
        <v>1</v>
      </c>
      <c r="V11" s="115" t="s">
        <v>54</v>
      </c>
      <c r="W11" s="116">
        <f t="shared" si="7"/>
        <v>0</v>
      </c>
      <c r="X11" s="468" t="s">
        <v>52</v>
      </c>
      <c r="Y11" s="115">
        <f t="shared" si="8"/>
        <v>0</v>
      </c>
      <c r="Z11" s="116" t="s">
        <v>53</v>
      </c>
      <c r="AA11" s="468">
        <f t="shared" si="9"/>
        <v>0</v>
      </c>
      <c r="AB11" s="115" t="s">
        <v>54</v>
      </c>
      <c r="AC11" s="116">
        <f t="shared" si="40"/>
        <v>1.5</v>
      </c>
      <c r="AD11" s="468" t="s">
        <v>52</v>
      </c>
      <c r="AE11" s="117">
        <f t="shared" si="41"/>
        <v>2</v>
      </c>
      <c r="AF11" s="469"/>
      <c r="AG11" s="114">
        <f t="shared" si="42"/>
        <v>2</v>
      </c>
      <c r="AH11" s="468" t="s">
        <v>52</v>
      </c>
      <c r="AI11" s="115">
        <f t="shared" si="10"/>
        <v>2</v>
      </c>
      <c r="AJ11" s="116" t="s">
        <v>53</v>
      </c>
      <c r="AK11" s="468">
        <f t="shared" si="11"/>
        <v>1</v>
      </c>
      <c r="AL11" s="115" t="s">
        <v>54</v>
      </c>
      <c r="AM11" s="246">
        <v>1</v>
      </c>
      <c r="AN11" s="244" t="s">
        <v>52</v>
      </c>
      <c r="AO11" s="245">
        <v>1</v>
      </c>
      <c r="AP11" s="246" t="s">
        <v>53</v>
      </c>
      <c r="AQ11" s="244">
        <v>0</v>
      </c>
      <c r="AR11" s="245" t="s">
        <v>54</v>
      </c>
      <c r="AS11" s="246">
        <v>1</v>
      </c>
      <c r="AT11" s="244" t="s">
        <v>52</v>
      </c>
      <c r="AU11" s="245">
        <v>1</v>
      </c>
      <c r="AV11" s="246" t="s">
        <v>53</v>
      </c>
      <c r="AW11" s="244">
        <v>1</v>
      </c>
      <c r="AX11" s="245" t="s">
        <v>54</v>
      </c>
      <c r="AY11" s="246">
        <v>0</v>
      </c>
      <c r="AZ11" s="244" t="s">
        <v>52</v>
      </c>
      <c r="BA11" s="245">
        <v>0</v>
      </c>
      <c r="BB11" s="246" t="s">
        <v>53</v>
      </c>
      <c r="BC11" s="244">
        <v>0</v>
      </c>
      <c r="BD11" s="245" t="s">
        <v>54</v>
      </c>
      <c r="BE11" s="116">
        <v>0</v>
      </c>
      <c r="BF11" s="468" t="s">
        <v>52</v>
      </c>
      <c r="BG11" s="117">
        <v>0</v>
      </c>
      <c r="BH11" s="115"/>
      <c r="BI11" s="114">
        <f t="shared" si="12"/>
        <v>0</v>
      </c>
      <c r="BJ11" s="468" t="s">
        <v>52</v>
      </c>
      <c r="BK11" s="115">
        <f t="shared" si="43"/>
        <v>0</v>
      </c>
      <c r="BL11" s="116" t="s">
        <v>53</v>
      </c>
      <c r="BM11" s="468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468" t="s">
        <v>52</v>
      </c>
      <c r="CI11" s="117">
        <v>0</v>
      </c>
      <c r="CJ11" s="140">
        <v>0</v>
      </c>
      <c r="CK11" s="148">
        <f t="shared" si="44"/>
        <v>0</v>
      </c>
      <c r="CL11" s="148">
        <v>0</v>
      </c>
      <c r="CM11" s="148">
        <v>0</v>
      </c>
      <c r="CN11" s="148">
        <f t="shared" si="45"/>
        <v>0</v>
      </c>
      <c r="CO11" s="175">
        <v>1</v>
      </c>
      <c r="CP11" s="140">
        <v>0</v>
      </c>
      <c r="CQ11" s="175">
        <v>0</v>
      </c>
      <c r="CR11" s="148">
        <v>2</v>
      </c>
      <c r="CS11" s="148">
        <v>0</v>
      </c>
      <c r="CT11" s="140">
        <v>0</v>
      </c>
      <c r="CU11" s="140">
        <v>0</v>
      </c>
      <c r="CV11" s="148">
        <f t="shared" si="46"/>
        <v>5.5</v>
      </c>
      <c r="CW11" s="140"/>
      <c r="CX11" s="164">
        <f t="shared" si="47"/>
        <v>199.84013894755972</v>
      </c>
      <c r="CY11" s="147">
        <f t="shared" si="14"/>
        <v>0.98066343156949898</v>
      </c>
      <c r="CZ11" s="165">
        <f t="shared" si="15"/>
        <v>0.13330585992480889</v>
      </c>
      <c r="DA11" s="164">
        <f t="shared" si="16"/>
        <v>45.940064028235156</v>
      </c>
      <c r="DB11" s="141"/>
      <c r="DC11" s="141"/>
      <c r="DD11" s="77">
        <f t="shared" si="48"/>
        <v>0.49795918367346936</v>
      </c>
      <c r="DE11" s="37">
        <f t="shared" si="49"/>
        <v>1</v>
      </c>
      <c r="DF11" s="37" t="str">
        <f t="shared" si="50"/>
        <v>0</v>
      </c>
      <c r="DG11" s="37">
        <f t="shared" si="51"/>
        <v>1</v>
      </c>
      <c r="DH11" s="37">
        <f t="shared" si="17"/>
        <v>0</v>
      </c>
      <c r="DI11" s="37">
        <f t="shared" si="18"/>
        <v>0</v>
      </c>
      <c r="DJ11" s="37">
        <f t="shared" si="19"/>
        <v>0</v>
      </c>
      <c r="DK11" s="37">
        <f t="shared" si="20"/>
        <v>0</v>
      </c>
      <c r="DL11" s="37">
        <f t="shared" si="21"/>
        <v>0.11156648451730421</v>
      </c>
      <c r="DM11" s="37">
        <f t="shared" si="22"/>
        <v>5.1553557652457137E-2</v>
      </c>
      <c r="DN11" s="37">
        <f t="shared" si="52"/>
        <v>0</v>
      </c>
      <c r="DO11" s="37" t="str">
        <f t="shared" si="53"/>
        <v>0</v>
      </c>
      <c r="DP11" s="66">
        <f t="shared" si="54"/>
        <v>0</v>
      </c>
      <c r="DQ11" s="78">
        <f t="shared" si="55"/>
        <v>13.114754098360656</v>
      </c>
      <c r="DR11" s="6"/>
      <c r="DS11" s="36"/>
      <c r="DT11" s="75">
        <f t="shared" si="56"/>
        <v>43.724426229508197</v>
      </c>
      <c r="DU11" s="18">
        <f t="shared" si="57"/>
        <v>2.5357742121984339</v>
      </c>
      <c r="DV11" s="13">
        <f t="shared" si="80"/>
        <v>1.4935265306122449</v>
      </c>
      <c r="DW11" s="14">
        <f t="shared" si="58"/>
        <v>0.50647346938775506</v>
      </c>
      <c r="DX11" s="14">
        <f t="shared" si="59"/>
        <v>0.35344827586206895</v>
      </c>
      <c r="DY11" s="14">
        <f t="shared" si="60"/>
        <v>0.75</v>
      </c>
      <c r="DZ11" s="15">
        <f t="shared" si="23"/>
        <v>22.259833333333333</v>
      </c>
      <c r="EA11" s="14">
        <f t="shared" si="61"/>
        <v>0.92850473884392093</v>
      </c>
      <c r="EB11" s="14">
        <f t="shared" si="24"/>
        <v>9.0909090909090912E-2</v>
      </c>
      <c r="EC11" s="14">
        <f t="shared" si="25"/>
        <v>0.56497038917089681</v>
      </c>
      <c r="ED11" s="14">
        <f t="shared" si="62"/>
        <v>0</v>
      </c>
      <c r="EE11" s="19">
        <f t="shared" si="63"/>
        <v>0</v>
      </c>
      <c r="EF11" s="67">
        <f t="shared" si="64"/>
        <v>0.05</v>
      </c>
      <c r="EG11" s="74">
        <f t="shared" si="65"/>
        <v>2.5857742121984337</v>
      </c>
      <c r="EH11" s="27">
        <f t="shared" si="66"/>
        <v>5.167414778527518</v>
      </c>
      <c r="EI11" s="25">
        <f t="shared" si="67"/>
        <v>2.9870530612244899</v>
      </c>
      <c r="EJ11" s="25">
        <f t="shared" si="68"/>
        <v>0.80507662835249039</v>
      </c>
      <c r="EK11" s="26">
        <f t="shared" si="26"/>
        <v>0</v>
      </c>
      <c r="EL11" s="29">
        <f t="shared" si="69"/>
        <v>0.35135135135135137</v>
      </c>
      <c r="EM11" s="30">
        <f t="shared" si="27"/>
        <v>0.1875</v>
      </c>
      <c r="EN11" s="30">
        <f t="shared" si="28"/>
        <v>0.1111111111111111</v>
      </c>
      <c r="EO11" s="31">
        <f t="shared" si="70"/>
        <v>0</v>
      </c>
      <c r="EP11" s="31">
        <f t="shared" si="29"/>
        <v>0.61875634307777161</v>
      </c>
      <c r="EQ11" s="31">
        <f t="shared" si="71"/>
        <v>0.61875634307777161</v>
      </c>
      <c r="ER11" s="93">
        <f t="shared" si="30"/>
        <v>0.15949545402841725</v>
      </c>
      <c r="ES11" s="109">
        <f t="shared" si="31"/>
        <v>15.78801400270963</v>
      </c>
      <c r="ET11" s="32">
        <f t="shared" si="32"/>
        <v>1.9815272258618839</v>
      </c>
      <c r="EV11" s="277"/>
      <c r="EW11" s="278"/>
      <c r="EX11" s="37">
        <f t="shared" si="81"/>
        <v>1.5</v>
      </c>
      <c r="EY11" s="72">
        <f t="shared" si="72"/>
        <v>2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3"/>
        <v>6.1</v>
      </c>
      <c r="FG11" s="144">
        <f t="shared" si="33"/>
        <v>2</v>
      </c>
      <c r="FH11" s="468" t="s">
        <v>52</v>
      </c>
      <c r="FI11" s="145">
        <f t="shared" si="73"/>
        <v>2</v>
      </c>
      <c r="FJ11" s="194">
        <f t="shared" si="74"/>
        <v>1</v>
      </c>
      <c r="FK11" s="110">
        <f t="shared" si="34"/>
        <v>0</v>
      </c>
      <c r="FL11" s="468" t="s">
        <v>52</v>
      </c>
      <c r="FM11" s="168">
        <f t="shared" si="35"/>
        <v>0</v>
      </c>
      <c r="FN11" s="194" t="str">
        <f t="shared" si="75"/>
        <v>0</v>
      </c>
      <c r="FO11" s="262">
        <f t="shared" si="76"/>
        <v>0</v>
      </c>
      <c r="FP11" s="468" t="s">
        <v>52</v>
      </c>
      <c r="FQ11" s="274">
        <f t="shared" si="77"/>
        <v>0</v>
      </c>
      <c r="FR11" s="197" t="str">
        <f t="shared" si="78"/>
        <v>0</v>
      </c>
      <c r="FS11" s="140">
        <f t="shared" si="36"/>
        <v>0</v>
      </c>
      <c r="FT11" s="140">
        <f t="shared" si="36"/>
        <v>0</v>
      </c>
      <c r="FU11" s="140">
        <f t="shared" si="37"/>
        <v>0</v>
      </c>
      <c r="FV11" s="175">
        <f t="shared" si="37"/>
        <v>1</v>
      </c>
      <c r="FW11" s="140">
        <f t="shared" si="37"/>
        <v>0</v>
      </c>
      <c r="FX11" s="140">
        <f t="shared" si="37"/>
        <v>0</v>
      </c>
      <c r="FY11" s="140">
        <f t="shared" si="37"/>
        <v>2</v>
      </c>
      <c r="FZ11" s="140">
        <f t="shared" si="37"/>
        <v>0</v>
      </c>
      <c r="GA11" s="140">
        <f t="shared" si="37"/>
        <v>0</v>
      </c>
      <c r="GB11" s="140">
        <f t="shared" si="37"/>
        <v>0</v>
      </c>
      <c r="GC11" s="175">
        <f t="shared" si="37"/>
        <v>5.5</v>
      </c>
      <c r="GD11" s="202">
        <f t="shared" si="79"/>
        <v>199.84013894755972</v>
      </c>
      <c r="GE11" s="140">
        <f t="shared" si="79"/>
        <v>0.98066343156949898</v>
      </c>
      <c r="GF11" s="140">
        <f t="shared" si="79"/>
        <v>0.13330585992480889</v>
      </c>
      <c r="GG11" s="259">
        <f t="shared" si="79"/>
        <v>45.940064028235156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430" t="s">
        <v>117</v>
      </c>
      <c r="C12" s="431" t="s">
        <v>212</v>
      </c>
      <c r="D12" s="483">
        <v>5.07</v>
      </c>
      <c r="E12" s="114">
        <f t="shared" si="0"/>
        <v>0</v>
      </c>
      <c r="F12" s="468" t="s">
        <v>52</v>
      </c>
      <c r="G12" s="115">
        <f t="shared" si="1"/>
        <v>0</v>
      </c>
      <c r="H12" s="116" t="s">
        <v>53</v>
      </c>
      <c r="I12" s="468">
        <f t="shared" si="38"/>
        <v>0</v>
      </c>
      <c r="J12" s="115" t="s">
        <v>54</v>
      </c>
      <c r="K12" s="116">
        <f t="shared" si="2"/>
        <v>0</v>
      </c>
      <c r="L12" s="468" t="s">
        <v>52</v>
      </c>
      <c r="M12" s="115">
        <f t="shared" si="3"/>
        <v>0</v>
      </c>
      <c r="N12" s="116" t="s">
        <v>53</v>
      </c>
      <c r="O12" s="468">
        <f t="shared" si="4"/>
        <v>0</v>
      </c>
      <c r="P12" s="115" t="s">
        <v>54</v>
      </c>
      <c r="Q12" s="116">
        <f t="shared" si="5"/>
        <v>0</v>
      </c>
      <c r="R12" s="468" t="s">
        <v>52</v>
      </c>
      <c r="S12" s="115">
        <f t="shared" si="39"/>
        <v>0</v>
      </c>
      <c r="T12" s="116" t="s">
        <v>53</v>
      </c>
      <c r="U12" s="468">
        <f t="shared" si="6"/>
        <v>0</v>
      </c>
      <c r="V12" s="115" t="s">
        <v>54</v>
      </c>
      <c r="W12" s="116">
        <f t="shared" si="7"/>
        <v>0</v>
      </c>
      <c r="X12" s="468" t="s">
        <v>52</v>
      </c>
      <c r="Y12" s="115">
        <f t="shared" si="8"/>
        <v>0</v>
      </c>
      <c r="Z12" s="116" t="s">
        <v>53</v>
      </c>
      <c r="AA12" s="468">
        <f t="shared" si="9"/>
        <v>0</v>
      </c>
      <c r="AB12" s="115" t="s">
        <v>54</v>
      </c>
      <c r="AC12" s="116">
        <f t="shared" si="40"/>
        <v>0</v>
      </c>
      <c r="AD12" s="468" t="s">
        <v>52</v>
      </c>
      <c r="AE12" s="117">
        <f t="shared" si="41"/>
        <v>0</v>
      </c>
      <c r="AF12" s="469"/>
      <c r="AG12" s="114">
        <f t="shared" si="42"/>
        <v>0</v>
      </c>
      <c r="AH12" s="468" t="s">
        <v>52</v>
      </c>
      <c r="AI12" s="115">
        <f t="shared" si="10"/>
        <v>0</v>
      </c>
      <c r="AJ12" s="116" t="s">
        <v>53</v>
      </c>
      <c r="AK12" s="468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0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468" t="s">
        <v>52</v>
      </c>
      <c r="BG12" s="117">
        <v>0</v>
      </c>
      <c r="BH12" s="115"/>
      <c r="BI12" s="114">
        <f t="shared" si="12"/>
        <v>0</v>
      </c>
      <c r="BJ12" s="468" t="s">
        <v>52</v>
      </c>
      <c r="BK12" s="115">
        <f t="shared" si="43"/>
        <v>0</v>
      </c>
      <c r="BL12" s="116" t="s">
        <v>53</v>
      </c>
      <c r="BM12" s="468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0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468" t="s">
        <v>52</v>
      </c>
      <c r="CI12" s="117">
        <v>0</v>
      </c>
      <c r="CJ12" s="140">
        <v>0</v>
      </c>
      <c r="CK12" s="148">
        <f t="shared" si="44"/>
        <v>2</v>
      </c>
      <c r="CL12" s="148">
        <v>1</v>
      </c>
      <c r="CM12" s="148">
        <v>1</v>
      </c>
      <c r="CN12" s="148">
        <f t="shared" si="45"/>
        <v>2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46"/>
        <v>0</v>
      </c>
      <c r="CW12" s="140"/>
      <c r="CX12" s="164" t="str">
        <f t="shared" si="47"/>
        <v>0</v>
      </c>
      <c r="CY12" s="147" t="str">
        <f t="shared" si="14"/>
        <v>0</v>
      </c>
      <c r="CZ12" s="165">
        <f t="shared" si="15"/>
        <v>0</v>
      </c>
      <c r="DA12" s="164">
        <f t="shared" si="16"/>
        <v>213.27536312250618</v>
      </c>
      <c r="DB12" s="141"/>
      <c r="DC12" s="141"/>
      <c r="DD12" s="77">
        <f t="shared" si="48"/>
        <v>0.41387755102040819</v>
      </c>
      <c r="DE12" s="37" t="str">
        <f t="shared" si="49"/>
        <v>0</v>
      </c>
      <c r="DF12" s="37" t="str">
        <f t="shared" si="50"/>
        <v>0</v>
      </c>
      <c r="DG12" s="37" t="str">
        <f t="shared" si="51"/>
        <v>0</v>
      </c>
      <c r="DH12" s="37">
        <f t="shared" si="17"/>
        <v>0</v>
      </c>
      <c r="DI12" s="37">
        <f t="shared" si="18"/>
        <v>0.4393042854581316</v>
      </c>
      <c r="DJ12" s="37">
        <f t="shared" si="19"/>
        <v>0</v>
      </c>
      <c r="DK12" s="37">
        <f t="shared" si="20"/>
        <v>0</v>
      </c>
      <c r="DL12" s="37">
        <f t="shared" si="21"/>
        <v>0</v>
      </c>
      <c r="DM12" s="37">
        <f t="shared" si="22"/>
        <v>0</v>
      </c>
      <c r="DN12" s="37" t="str">
        <f t="shared" si="52"/>
        <v>0</v>
      </c>
      <c r="DO12" s="37" t="str">
        <f t="shared" si="53"/>
        <v>0</v>
      </c>
      <c r="DP12" s="66">
        <f t="shared" si="54"/>
        <v>0</v>
      </c>
      <c r="DQ12" s="78">
        <f t="shared" si="55"/>
        <v>0</v>
      </c>
      <c r="DR12" s="6"/>
      <c r="DS12" s="36"/>
      <c r="DT12" s="75">
        <f t="shared" si="56"/>
        <v>5.8015779092702164</v>
      </c>
      <c r="DU12" s="18">
        <f t="shared" si="57"/>
        <v>0</v>
      </c>
      <c r="DV12" s="13" t="str">
        <f t="shared" si="80"/>
        <v>0</v>
      </c>
      <c r="DW12" s="14">
        <f t="shared" si="58"/>
        <v>0</v>
      </c>
      <c r="DX12" s="14">
        <f t="shared" si="59"/>
        <v>0</v>
      </c>
      <c r="DY12" s="14" t="str">
        <f t="shared" si="60"/>
        <v>0</v>
      </c>
      <c r="DZ12" s="15">
        <f t="shared" si="23"/>
        <v>3.1036666666666668</v>
      </c>
      <c r="EA12" s="14">
        <f t="shared" si="61"/>
        <v>0.40092411645854731</v>
      </c>
      <c r="EB12" s="14">
        <f t="shared" si="24"/>
        <v>0.1875</v>
      </c>
      <c r="EC12" s="14">
        <f t="shared" si="25"/>
        <v>0.13377873563218393</v>
      </c>
      <c r="ED12" s="14">
        <f t="shared" si="62"/>
        <v>0</v>
      </c>
      <c r="EE12" s="19">
        <f t="shared" si="63"/>
        <v>0</v>
      </c>
      <c r="EF12" s="67" t="str">
        <f t="shared" si="64"/>
        <v>0</v>
      </c>
      <c r="EG12" s="74">
        <f t="shared" si="65"/>
        <v>0</v>
      </c>
      <c r="EH12" s="27">
        <f t="shared" si="66"/>
        <v>0</v>
      </c>
      <c r="EI12" s="25" t="str">
        <f t="shared" si="67"/>
        <v>0</v>
      </c>
      <c r="EJ12" s="25">
        <f t="shared" si="68"/>
        <v>0</v>
      </c>
      <c r="EK12" s="26">
        <f t="shared" si="26"/>
        <v>0</v>
      </c>
      <c r="EL12" s="29">
        <f t="shared" si="69"/>
        <v>0.94786729857819907</v>
      </c>
      <c r="EM12" s="30">
        <f t="shared" si="27"/>
        <v>9.0909090909090912E-2</v>
      </c>
      <c r="EN12" s="30">
        <f t="shared" si="28"/>
        <v>0.64516129032258063</v>
      </c>
      <c r="EO12" s="31">
        <f t="shared" si="70"/>
        <v>0.10426540284360186</v>
      </c>
      <c r="EP12" s="31">
        <f t="shared" si="29"/>
        <v>1.0274363091208047</v>
      </c>
      <c r="EQ12" s="31">
        <f t="shared" si="71"/>
        <v>1.1317017119644066</v>
      </c>
      <c r="ER12" s="93">
        <f t="shared" si="30"/>
        <v>0.68762766626252536</v>
      </c>
      <c r="ES12" s="109">
        <f t="shared" si="31"/>
        <v>249.21082000160771</v>
      </c>
      <c r="ET12" s="32">
        <f t="shared" si="32"/>
        <v>2.225982524577153</v>
      </c>
      <c r="EV12" s="277"/>
      <c r="EW12" s="278"/>
      <c r="EX12" s="37">
        <f t="shared" si="81"/>
        <v>0</v>
      </c>
      <c r="EY12" s="72">
        <f t="shared" si="72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3"/>
        <v>5.07</v>
      </c>
      <c r="FG12" s="182">
        <f t="shared" si="33"/>
        <v>0</v>
      </c>
      <c r="FH12" s="183" t="s">
        <v>52</v>
      </c>
      <c r="FI12" s="184">
        <f t="shared" si="73"/>
        <v>0</v>
      </c>
      <c r="FJ12" s="193" t="str">
        <f t="shared" si="74"/>
        <v>0</v>
      </c>
      <c r="FK12" s="185">
        <f t="shared" si="34"/>
        <v>0</v>
      </c>
      <c r="FL12" s="183" t="s">
        <v>52</v>
      </c>
      <c r="FM12" s="186">
        <f t="shared" si="35"/>
        <v>0</v>
      </c>
      <c r="FN12" s="193" t="str">
        <f t="shared" si="75"/>
        <v>0</v>
      </c>
      <c r="FO12" s="261">
        <f t="shared" si="76"/>
        <v>0</v>
      </c>
      <c r="FP12" s="183" t="s">
        <v>52</v>
      </c>
      <c r="FQ12" s="268">
        <f t="shared" si="77"/>
        <v>0</v>
      </c>
      <c r="FR12" s="196" t="str">
        <f t="shared" si="78"/>
        <v>0</v>
      </c>
      <c r="FS12" s="179">
        <f t="shared" si="36"/>
        <v>0</v>
      </c>
      <c r="FT12" s="179">
        <f t="shared" si="36"/>
        <v>2</v>
      </c>
      <c r="FU12" s="179">
        <f t="shared" si="37"/>
        <v>2</v>
      </c>
      <c r="FV12" s="187">
        <f t="shared" si="37"/>
        <v>0</v>
      </c>
      <c r="FW12" s="179">
        <f t="shared" si="37"/>
        <v>0</v>
      </c>
      <c r="FX12" s="179">
        <f t="shared" si="37"/>
        <v>0</v>
      </c>
      <c r="FY12" s="179">
        <f t="shared" si="37"/>
        <v>0</v>
      </c>
      <c r="FZ12" s="179">
        <f t="shared" si="37"/>
        <v>0</v>
      </c>
      <c r="GA12" s="179">
        <f t="shared" si="37"/>
        <v>0</v>
      </c>
      <c r="GB12" s="179">
        <f t="shared" si="37"/>
        <v>0</v>
      </c>
      <c r="GC12" s="187">
        <f t="shared" si="37"/>
        <v>0</v>
      </c>
      <c r="GD12" s="203" t="str">
        <f t="shared" si="79"/>
        <v>0</v>
      </c>
      <c r="GE12" s="179" t="str">
        <f t="shared" si="79"/>
        <v>0</v>
      </c>
      <c r="GF12" s="179">
        <f t="shared" si="79"/>
        <v>0</v>
      </c>
      <c r="GG12" s="258">
        <f t="shared" si="79"/>
        <v>213.27536312250618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0.35135135135135137</v>
      </c>
      <c r="GN12" s="24">
        <f>GK12+(GL12/10)+(GJ12*GM12*(1-(CJ41/(CJ41+CK40))))+(CK12*(1-GM12))</f>
        <v>1.2972972972972974</v>
      </c>
      <c r="GO12" s="213">
        <f>GN12/(DD12*EG41)</f>
        <v>0.1576488757697096</v>
      </c>
    </row>
    <row r="13" spans="1:197" x14ac:dyDescent="0.2">
      <c r="A13" s="139"/>
      <c r="B13" s="430" t="s">
        <v>117</v>
      </c>
      <c r="C13" s="431" t="s">
        <v>213</v>
      </c>
      <c r="D13" s="483">
        <v>8.8000000000000007</v>
      </c>
      <c r="E13" s="114">
        <f t="shared" si="0"/>
        <v>0</v>
      </c>
      <c r="F13" s="468" t="s">
        <v>52</v>
      </c>
      <c r="G13" s="115">
        <f t="shared" si="1"/>
        <v>2</v>
      </c>
      <c r="H13" s="116" t="s">
        <v>53</v>
      </c>
      <c r="I13" s="468">
        <f t="shared" si="38"/>
        <v>0</v>
      </c>
      <c r="J13" s="115" t="s">
        <v>54</v>
      </c>
      <c r="K13" s="116">
        <f t="shared" si="2"/>
        <v>0</v>
      </c>
      <c r="L13" s="468" t="s">
        <v>52</v>
      </c>
      <c r="M13" s="115">
        <f t="shared" si="3"/>
        <v>1</v>
      </c>
      <c r="N13" s="116" t="s">
        <v>53</v>
      </c>
      <c r="O13" s="468">
        <f t="shared" si="4"/>
        <v>0</v>
      </c>
      <c r="P13" s="115" t="s">
        <v>54</v>
      </c>
      <c r="Q13" s="116">
        <f t="shared" si="5"/>
        <v>0</v>
      </c>
      <c r="R13" s="468" t="s">
        <v>52</v>
      </c>
      <c r="S13" s="115">
        <f t="shared" si="39"/>
        <v>0</v>
      </c>
      <c r="T13" s="116" t="s">
        <v>53</v>
      </c>
      <c r="U13" s="468">
        <f t="shared" si="6"/>
        <v>0</v>
      </c>
      <c r="V13" s="115" t="s">
        <v>54</v>
      </c>
      <c r="W13" s="116">
        <f t="shared" si="7"/>
        <v>0</v>
      </c>
      <c r="X13" s="468" t="s">
        <v>52</v>
      </c>
      <c r="Y13" s="115">
        <f t="shared" si="8"/>
        <v>1</v>
      </c>
      <c r="Z13" s="116" t="s">
        <v>53</v>
      </c>
      <c r="AA13" s="468">
        <f t="shared" si="9"/>
        <v>0</v>
      </c>
      <c r="AB13" s="115" t="s">
        <v>54</v>
      </c>
      <c r="AC13" s="116">
        <f t="shared" si="40"/>
        <v>0</v>
      </c>
      <c r="AD13" s="468" t="s">
        <v>52</v>
      </c>
      <c r="AE13" s="117">
        <f t="shared" si="41"/>
        <v>0</v>
      </c>
      <c r="AF13" s="469"/>
      <c r="AG13" s="114">
        <f t="shared" si="42"/>
        <v>0</v>
      </c>
      <c r="AH13" s="468" t="s">
        <v>52</v>
      </c>
      <c r="AI13" s="115">
        <f t="shared" si="10"/>
        <v>2</v>
      </c>
      <c r="AJ13" s="116" t="s">
        <v>53</v>
      </c>
      <c r="AK13" s="468">
        <f t="shared" si="11"/>
        <v>0</v>
      </c>
      <c r="AL13" s="115" t="s">
        <v>54</v>
      </c>
      <c r="AM13" s="246">
        <v>0</v>
      </c>
      <c r="AN13" s="244" t="s">
        <v>52</v>
      </c>
      <c r="AO13" s="245">
        <v>1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0</v>
      </c>
      <c r="AZ13" s="244" t="s">
        <v>52</v>
      </c>
      <c r="BA13" s="245">
        <v>1</v>
      </c>
      <c r="BB13" s="246" t="s">
        <v>53</v>
      </c>
      <c r="BC13" s="244">
        <v>0</v>
      </c>
      <c r="BD13" s="245" t="s">
        <v>54</v>
      </c>
      <c r="BE13" s="116">
        <v>0</v>
      </c>
      <c r="BF13" s="468" t="s">
        <v>52</v>
      </c>
      <c r="BG13" s="117">
        <v>0</v>
      </c>
      <c r="BH13" s="115"/>
      <c r="BI13" s="114">
        <f t="shared" si="12"/>
        <v>0</v>
      </c>
      <c r="BJ13" s="468" t="s">
        <v>52</v>
      </c>
      <c r="BK13" s="115">
        <f t="shared" si="43"/>
        <v>0</v>
      </c>
      <c r="BL13" s="116" t="s">
        <v>53</v>
      </c>
      <c r="BM13" s="468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0</v>
      </c>
      <c r="CD13" s="246" t="s">
        <v>53</v>
      </c>
      <c r="CE13" s="244">
        <v>0</v>
      </c>
      <c r="CF13" s="245" t="s">
        <v>54</v>
      </c>
      <c r="CG13" s="116">
        <v>0</v>
      </c>
      <c r="CH13" s="468" t="s">
        <v>52</v>
      </c>
      <c r="CI13" s="117">
        <v>0</v>
      </c>
      <c r="CJ13" s="148">
        <v>0</v>
      </c>
      <c r="CK13" s="148">
        <f t="shared" si="44"/>
        <v>0</v>
      </c>
      <c r="CL13" s="148">
        <v>0</v>
      </c>
      <c r="CM13" s="148">
        <v>0</v>
      </c>
      <c r="CN13" s="148">
        <f t="shared" si="45"/>
        <v>0</v>
      </c>
      <c r="CO13" s="175">
        <v>0</v>
      </c>
      <c r="CP13" s="140">
        <v>0</v>
      </c>
      <c r="CQ13" s="175">
        <v>3</v>
      </c>
      <c r="CR13" s="148">
        <v>0</v>
      </c>
      <c r="CS13" s="148">
        <v>0</v>
      </c>
      <c r="CT13" s="140">
        <v>0</v>
      </c>
      <c r="CU13" s="140">
        <v>0</v>
      </c>
      <c r="CV13" s="148">
        <f t="shared" si="46"/>
        <v>0</v>
      </c>
      <c r="CW13" s="140"/>
      <c r="CX13" s="164">
        <f t="shared" si="47"/>
        <v>0</v>
      </c>
      <c r="CY13" s="147">
        <f t="shared" si="14"/>
        <v>0</v>
      </c>
      <c r="CZ13" s="165">
        <f t="shared" si="15"/>
        <v>0.11193275918150251</v>
      </c>
      <c r="DA13" s="164">
        <f t="shared" si="16"/>
        <v>215.00355261957185</v>
      </c>
      <c r="DB13" s="141"/>
      <c r="DC13" s="141"/>
      <c r="DD13" s="77">
        <f t="shared" si="48"/>
        <v>0.71836734693877558</v>
      </c>
      <c r="DE13" s="37">
        <f t="shared" si="49"/>
        <v>0</v>
      </c>
      <c r="DF13" s="37">
        <f t="shared" si="50"/>
        <v>0</v>
      </c>
      <c r="DG13" s="37">
        <f t="shared" si="51"/>
        <v>0</v>
      </c>
      <c r="DH13" s="37">
        <f t="shared" si="17"/>
        <v>0</v>
      </c>
      <c r="DI13" s="37">
        <f t="shared" si="18"/>
        <v>0</v>
      </c>
      <c r="DJ13" s="37">
        <f t="shared" si="19"/>
        <v>0</v>
      </c>
      <c r="DK13" s="37">
        <f t="shared" si="20"/>
        <v>0</v>
      </c>
      <c r="DL13" s="37">
        <f t="shared" si="21"/>
        <v>0</v>
      </c>
      <c r="DM13" s="37">
        <f t="shared" si="22"/>
        <v>0</v>
      </c>
      <c r="DN13" s="37">
        <f t="shared" si="52"/>
        <v>0</v>
      </c>
      <c r="DO13" s="37" t="str">
        <f t="shared" si="53"/>
        <v>0</v>
      </c>
      <c r="DP13" s="66">
        <f t="shared" si="54"/>
        <v>13.636363636363635</v>
      </c>
      <c r="DQ13" s="78">
        <f t="shared" si="55"/>
        <v>0</v>
      </c>
      <c r="DR13" s="6"/>
      <c r="DS13" s="36"/>
      <c r="DT13" s="75">
        <f t="shared" si="56"/>
        <v>-14.761590909090907</v>
      </c>
      <c r="DU13" s="18">
        <f t="shared" si="57"/>
        <v>0</v>
      </c>
      <c r="DV13" s="13">
        <f t="shared" si="80"/>
        <v>0</v>
      </c>
      <c r="DW13" s="14">
        <f t="shared" si="58"/>
        <v>0</v>
      </c>
      <c r="DX13" s="14">
        <f t="shared" si="59"/>
        <v>0</v>
      </c>
      <c r="DY13" s="14" t="str">
        <f t="shared" si="60"/>
        <v>0</v>
      </c>
      <c r="DZ13" s="15">
        <f t="shared" si="23"/>
        <v>3.1036666666666668</v>
      </c>
      <c r="EA13" s="14">
        <f t="shared" si="61"/>
        <v>0.40092411645854731</v>
      </c>
      <c r="EB13" s="14">
        <f t="shared" si="24"/>
        <v>0.1875</v>
      </c>
      <c r="EC13" s="14">
        <f t="shared" si="25"/>
        <v>0.13377873563218393</v>
      </c>
      <c r="ED13" s="14">
        <f t="shared" si="62"/>
        <v>0</v>
      </c>
      <c r="EE13" s="19">
        <f t="shared" si="63"/>
        <v>1.5987499999999999</v>
      </c>
      <c r="EF13" s="67" t="str">
        <f t="shared" si="64"/>
        <v>0</v>
      </c>
      <c r="EG13" s="74">
        <f t="shared" si="65"/>
        <v>1.5987499999999999</v>
      </c>
      <c r="EH13" s="27">
        <f t="shared" si="66"/>
        <v>0</v>
      </c>
      <c r="EI13" s="25">
        <f t="shared" si="67"/>
        <v>0</v>
      </c>
      <c r="EJ13" s="25">
        <f t="shared" si="68"/>
        <v>0</v>
      </c>
      <c r="EK13" s="26">
        <f t="shared" si="26"/>
        <v>0</v>
      </c>
      <c r="EL13" s="29">
        <f t="shared" si="69"/>
        <v>0.94786729857819907</v>
      </c>
      <c r="EM13" s="30">
        <f t="shared" si="27"/>
        <v>9.0909090909090912E-2</v>
      </c>
      <c r="EN13" s="30">
        <f t="shared" si="28"/>
        <v>0.64516129032258063</v>
      </c>
      <c r="EO13" s="31">
        <f t="shared" si="70"/>
        <v>0</v>
      </c>
      <c r="EP13" s="31">
        <f t="shared" si="29"/>
        <v>1.8534047377244738</v>
      </c>
      <c r="EQ13" s="31">
        <f t="shared" si="71"/>
        <v>1.8534047377244738</v>
      </c>
      <c r="ER13" s="93">
        <f t="shared" si="30"/>
        <v>0.64880908889310196</v>
      </c>
      <c r="ES13" s="109">
        <f t="shared" si="31"/>
        <v>249.21082000160771</v>
      </c>
      <c r="ET13" s="32">
        <f t="shared" si="32"/>
        <v>2.225982524577153</v>
      </c>
      <c r="EV13" s="277"/>
      <c r="EW13" s="278"/>
      <c r="EX13" s="37">
        <f t="shared" si="81"/>
        <v>0</v>
      </c>
      <c r="EY13" s="72">
        <f t="shared" si="72"/>
        <v>0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3"/>
        <v>8.8000000000000007</v>
      </c>
      <c r="FG13" s="144">
        <f t="shared" si="33"/>
        <v>0</v>
      </c>
      <c r="FH13" s="468" t="s">
        <v>52</v>
      </c>
      <c r="FI13" s="145">
        <f t="shared" si="73"/>
        <v>2</v>
      </c>
      <c r="FJ13" s="194">
        <f t="shared" si="74"/>
        <v>0</v>
      </c>
      <c r="FK13" s="110">
        <f t="shared" si="34"/>
        <v>0</v>
      </c>
      <c r="FL13" s="468" t="s">
        <v>52</v>
      </c>
      <c r="FM13" s="168">
        <f t="shared" si="35"/>
        <v>1</v>
      </c>
      <c r="FN13" s="194">
        <f t="shared" si="75"/>
        <v>0</v>
      </c>
      <c r="FO13" s="262">
        <f t="shared" si="76"/>
        <v>0</v>
      </c>
      <c r="FP13" s="468" t="s">
        <v>52</v>
      </c>
      <c r="FQ13" s="274">
        <f t="shared" si="77"/>
        <v>0</v>
      </c>
      <c r="FR13" s="197" t="str">
        <f t="shared" si="78"/>
        <v>0</v>
      </c>
      <c r="FS13" s="140">
        <f t="shared" si="36"/>
        <v>0</v>
      </c>
      <c r="FT13" s="140">
        <f t="shared" si="36"/>
        <v>0</v>
      </c>
      <c r="FU13" s="140">
        <f t="shared" si="37"/>
        <v>0</v>
      </c>
      <c r="FV13" s="175">
        <f t="shared" si="37"/>
        <v>0</v>
      </c>
      <c r="FW13" s="140">
        <f t="shared" si="37"/>
        <v>0</v>
      </c>
      <c r="FX13" s="140">
        <f t="shared" si="37"/>
        <v>3</v>
      </c>
      <c r="FY13" s="140">
        <f t="shared" si="37"/>
        <v>0</v>
      </c>
      <c r="FZ13" s="140">
        <f t="shared" si="37"/>
        <v>0</v>
      </c>
      <c r="GA13" s="140">
        <f t="shared" si="37"/>
        <v>0</v>
      </c>
      <c r="GB13" s="140">
        <f t="shared" si="37"/>
        <v>0</v>
      </c>
      <c r="GC13" s="175">
        <f t="shared" si="37"/>
        <v>0</v>
      </c>
      <c r="GD13" s="202">
        <f t="shared" si="79"/>
        <v>0</v>
      </c>
      <c r="GE13" s="140">
        <f t="shared" si="79"/>
        <v>0</v>
      </c>
      <c r="GF13" s="140">
        <f t="shared" si="79"/>
        <v>0.11193275918150251</v>
      </c>
      <c r="GG13" s="259">
        <f t="shared" si="79"/>
        <v>215.00355261957185</v>
      </c>
      <c r="GH13" s="140"/>
      <c r="GJ13" s="82"/>
      <c r="GK13" s="24"/>
      <c r="GL13" s="185">
        <f>(CQ13/CQ42)*(EY43-EX43)</f>
        <v>0.72499999999999964</v>
      </c>
      <c r="GM13" s="185">
        <f>((E43/G43)*(1-(CJ43/(CJ43+CK42))))/((E43/G43)*(1-(CJ43/(CJ43+CK42)))+((1-(E43/G43)))*(CJ43/(CJ43+CK42)))</f>
        <v>0.94786729857819907</v>
      </c>
      <c r="GN13" s="24">
        <f>GK13+(GL13/10)+(GJ13*GM13*(1-(CJ43/(CJ43+CK42))))+(CK13*(1-GM13))</f>
        <v>7.2499999999999967E-2</v>
      </c>
      <c r="GO13" s="213">
        <f>GN13/(DD13*EG43)</f>
        <v>2.5908591899771768E-3</v>
      </c>
    </row>
    <row r="14" spans="1:197" x14ac:dyDescent="0.2">
      <c r="A14" s="139"/>
      <c r="B14" s="89" t="s">
        <v>82</v>
      </c>
      <c r="C14" s="41" t="s">
        <v>214</v>
      </c>
      <c r="D14" s="483">
        <v>9.8699999999999992</v>
      </c>
      <c r="E14" s="114">
        <f t="shared" si="0"/>
        <v>2</v>
      </c>
      <c r="F14" s="468" t="s">
        <v>52</v>
      </c>
      <c r="G14" s="115">
        <f t="shared" si="1"/>
        <v>4</v>
      </c>
      <c r="H14" s="116" t="s">
        <v>53</v>
      </c>
      <c r="I14" s="468">
        <f t="shared" si="38"/>
        <v>1</v>
      </c>
      <c r="J14" s="115" t="s">
        <v>54</v>
      </c>
      <c r="K14" s="116">
        <f t="shared" si="2"/>
        <v>2</v>
      </c>
      <c r="L14" s="468" t="s">
        <v>52</v>
      </c>
      <c r="M14" s="115">
        <f t="shared" si="3"/>
        <v>2</v>
      </c>
      <c r="N14" s="116" t="s">
        <v>53</v>
      </c>
      <c r="O14" s="468">
        <f t="shared" si="4"/>
        <v>1</v>
      </c>
      <c r="P14" s="115" t="s">
        <v>54</v>
      </c>
      <c r="Q14" s="116">
        <f t="shared" si="5"/>
        <v>0</v>
      </c>
      <c r="R14" s="468" t="s">
        <v>52</v>
      </c>
      <c r="S14" s="115">
        <f t="shared" si="39"/>
        <v>0</v>
      </c>
      <c r="T14" s="116" t="s">
        <v>53</v>
      </c>
      <c r="U14" s="468">
        <f t="shared" si="6"/>
        <v>0</v>
      </c>
      <c r="V14" s="115" t="s">
        <v>54</v>
      </c>
      <c r="W14" s="116">
        <f t="shared" si="7"/>
        <v>0</v>
      </c>
      <c r="X14" s="468" t="s">
        <v>52</v>
      </c>
      <c r="Y14" s="115">
        <f t="shared" si="8"/>
        <v>2</v>
      </c>
      <c r="Z14" s="116" t="s">
        <v>53</v>
      </c>
      <c r="AA14" s="468">
        <f t="shared" si="9"/>
        <v>0</v>
      </c>
      <c r="AB14" s="115" t="s">
        <v>54</v>
      </c>
      <c r="AC14" s="116">
        <f t="shared" si="40"/>
        <v>0</v>
      </c>
      <c r="AD14" s="468" t="s">
        <v>52</v>
      </c>
      <c r="AE14" s="117">
        <f t="shared" si="41"/>
        <v>0</v>
      </c>
      <c r="AF14" s="469"/>
      <c r="AG14" s="114">
        <f t="shared" si="42"/>
        <v>2</v>
      </c>
      <c r="AH14" s="468" t="s">
        <v>52</v>
      </c>
      <c r="AI14" s="115">
        <f t="shared" si="10"/>
        <v>3</v>
      </c>
      <c r="AJ14" s="116" t="s">
        <v>53</v>
      </c>
      <c r="AK14" s="468">
        <f t="shared" si="11"/>
        <v>1</v>
      </c>
      <c r="AL14" s="115" t="s">
        <v>54</v>
      </c>
      <c r="AM14" s="246">
        <v>2</v>
      </c>
      <c r="AN14" s="244" t="s">
        <v>52</v>
      </c>
      <c r="AO14" s="245">
        <v>2</v>
      </c>
      <c r="AP14" s="246" t="s">
        <v>53</v>
      </c>
      <c r="AQ14" s="244">
        <v>1</v>
      </c>
      <c r="AR14" s="245" t="s">
        <v>54</v>
      </c>
      <c r="AS14" s="246">
        <v>0</v>
      </c>
      <c r="AT14" s="244" t="s">
        <v>52</v>
      </c>
      <c r="AU14" s="245">
        <v>0</v>
      </c>
      <c r="AV14" s="246" t="s">
        <v>53</v>
      </c>
      <c r="AW14" s="244">
        <v>0</v>
      </c>
      <c r="AX14" s="245" t="s">
        <v>54</v>
      </c>
      <c r="AY14" s="246">
        <v>0</v>
      </c>
      <c r="AZ14" s="244" t="s">
        <v>52</v>
      </c>
      <c r="BA14" s="245">
        <v>1</v>
      </c>
      <c r="BB14" s="246" t="s">
        <v>53</v>
      </c>
      <c r="BC14" s="244">
        <v>0</v>
      </c>
      <c r="BD14" s="245" t="s">
        <v>54</v>
      </c>
      <c r="BE14" s="116">
        <v>0</v>
      </c>
      <c r="BF14" s="468" t="s">
        <v>52</v>
      </c>
      <c r="BG14" s="117">
        <v>0</v>
      </c>
      <c r="BH14" s="115"/>
      <c r="BI14" s="114">
        <f t="shared" si="12"/>
        <v>0</v>
      </c>
      <c r="BJ14" s="468" t="s">
        <v>52</v>
      </c>
      <c r="BK14" s="115">
        <f t="shared" si="43"/>
        <v>1</v>
      </c>
      <c r="BL14" s="116" t="s">
        <v>53</v>
      </c>
      <c r="BM14" s="468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1</v>
      </c>
      <c r="CD14" s="246" t="s">
        <v>53</v>
      </c>
      <c r="CE14" s="244">
        <v>0</v>
      </c>
      <c r="CF14" s="245" t="s">
        <v>54</v>
      </c>
      <c r="CG14" s="116">
        <v>0</v>
      </c>
      <c r="CH14" s="468" t="s">
        <v>52</v>
      </c>
      <c r="CI14" s="117">
        <v>0</v>
      </c>
      <c r="CJ14" s="140">
        <v>0</v>
      </c>
      <c r="CK14" s="148">
        <f t="shared" si="44"/>
        <v>0</v>
      </c>
      <c r="CL14" s="148">
        <v>0</v>
      </c>
      <c r="CM14" s="148">
        <v>0</v>
      </c>
      <c r="CN14" s="148">
        <f t="shared" si="45"/>
        <v>0</v>
      </c>
      <c r="CO14" s="175">
        <v>0</v>
      </c>
      <c r="CP14" s="140">
        <v>1</v>
      </c>
      <c r="CQ14" s="175">
        <v>1</v>
      </c>
      <c r="CR14" s="148">
        <v>0</v>
      </c>
      <c r="CS14" s="148">
        <v>1</v>
      </c>
      <c r="CT14" s="140">
        <v>1</v>
      </c>
      <c r="CU14" s="140">
        <v>0</v>
      </c>
      <c r="CV14" s="148">
        <f t="shared" si="46"/>
        <v>4</v>
      </c>
      <c r="CW14" s="140"/>
      <c r="CX14" s="164">
        <f t="shared" si="47"/>
        <v>74.755319948503924</v>
      </c>
      <c r="CY14" s="147">
        <f t="shared" si="14"/>
        <v>0.37377659974251964</v>
      </c>
      <c r="CZ14" s="165">
        <f t="shared" si="15"/>
        <v>0.14273986042316386</v>
      </c>
      <c r="DA14" s="164">
        <f t="shared" si="16"/>
        <v>39.423812790165059</v>
      </c>
      <c r="DB14" s="141"/>
      <c r="DC14" s="141"/>
      <c r="DD14" s="77">
        <f t="shared" si="48"/>
        <v>0.80571428571428561</v>
      </c>
      <c r="DE14" s="37">
        <f t="shared" si="49"/>
        <v>0.5</v>
      </c>
      <c r="DF14" s="37">
        <f t="shared" si="50"/>
        <v>0</v>
      </c>
      <c r="DG14" s="37">
        <f t="shared" si="51"/>
        <v>0.5</v>
      </c>
      <c r="DH14" s="37">
        <f t="shared" si="17"/>
        <v>0</v>
      </c>
      <c r="DI14" s="37">
        <f t="shared" si="18"/>
        <v>0</v>
      </c>
      <c r="DJ14" s="37">
        <f t="shared" si="19"/>
        <v>0</v>
      </c>
      <c r="DK14" s="37">
        <f t="shared" si="20"/>
        <v>3.1861874536979591E-2</v>
      </c>
      <c r="DL14" s="37">
        <f t="shared" si="21"/>
        <v>0</v>
      </c>
      <c r="DM14" s="37">
        <f t="shared" si="22"/>
        <v>3.1861874536979591E-2</v>
      </c>
      <c r="DN14" s="37">
        <f t="shared" si="52"/>
        <v>0.22321637727907598</v>
      </c>
      <c r="DO14" s="37">
        <f t="shared" si="53"/>
        <v>0</v>
      </c>
      <c r="DP14" s="66">
        <f t="shared" si="54"/>
        <v>4.0526849037487338</v>
      </c>
      <c r="DQ14" s="78">
        <f t="shared" si="55"/>
        <v>0</v>
      </c>
      <c r="DR14" s="6"/>
      <c r="DS14" s="36"/>
      <c r="DT14" s="75">
        <f t="shared" si="56"/>
        <v>7.7270516717325224</v>
      </c>
      <c r="DU14" s="18">
        <f t="shared" si="57"/>
        <v>1.6745034763968323</v>
      </c>
      <c r="DV14" s="13">
        <f t="shared" si="80"/>
        <v>1.7149174089068826</v>
      </c>
      <c r="DW14" s="14">
        <f t="shared" si="58"/>
        <v>0.5701651821862348</v>
      </c>
      <c r="DX14" s="14">
        <f t="shared" si="59"/>
        <v>0</v>
      </c>
      <c r="DY14" s="14" t="str">
        <f t="shared" si="60"/>
        <v>0</v>
      </c>
      <c r="DZ14" s="15">
        <f t="shared" si="23"/>
        <v>22.259833333333333</v>
      </c>
      <c r="EA14" s="14">
        <f t="shared" si="61"/>
        <v>0.92850473884392093</v>
      </c>
      <c r="EB14" s="14">
        <f t="shared" si="24"/>
        <v>9.0909090909090912E-2</v>
      </c>
      <c r="EC14" s="14">
        <f t="shared" si="25"/>
        <v>0.56497038917089681</v>
      </c>
      <c r="ED14" s="14">
        <f t="shared" si="62"/>
        <v>0</v>
      </c>
      <c r="EE14" s="19">
        <f t="shared" si="63"/>
        <v>1.8054545454545454</v>
      </c>
      <c r="EF14" s="67" t="str">
        <f t="shared" si="64"/>
        <v>0</v>
      </c>
      <c r="EG14" s="74">
        <f t="shared" si="65"/>
        <v>4.4799580218513775</v>
      </c>
      <c r="EH14" s="27">
        <f t="shared" si="66"/>
        <v>3.3490069527936646</v>
      </c>
      <c r="EI14" s="25">
        <f t="shared" si="67"/>
        <v>3.4298348178137652</v>
      </c>
      <c r="EJ14" s="25">
        <f t="shared" si="68"/>
        <v>0</v>
      </c>
      <c r="EK14" s="26">
        <f t="shared" si="26"/>
        <v>0</v>
      </c>
      <c r="EL14" s="29">
        <f t="shared" si="69"/>
        <v>0.35135135135135137</v>
      </c>
      <c r="EM14" s="30">
        <f t="shared" si="27"/>
        <v>0.1875</v>
      </c>
      <c r="EN14" s="30">
        <f t="shared" si="28"/>
        <v>0.1111111111111111</v>
      </c>
      <c r="EO14" s="31">
        <f t="shared" si="70"/>
        <v>1</v>
      </c>
      <c r="EP14" s="31">
        <f t="shared" si="29"/>
        <v>1.0332791613041614</v>
      </c>
      <c r="EQ14" s="31">
        <f t="shared" si="71"/>
        <v>2.0332791613041614</v>
      </c>
      <c r="ER14" s="93">
        <f t="shared" si="30"/>
        <v>0.32392042768064144</v>
      </c>
      <c r="ES14" s="109">
        <f t="shared" si="31"/>
        <v>15.78801400270963</v>
      </c>
      <c r="ET14" s="32">
        <f t="shared" si="32"/>
        <v>1.9815272258618839</v>
      </c>
      <c r="EV14" s="277"/>
      <c r="EW14" s="278"/>
      <c r="EX14" s="37">
        <f t="shared" si="81"/>
        <v>0</v>
      </c>
      <c r="EY14" s="72">
        <f t="shared" si="72"/>
        <v>0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3"/>
        <v>9.8699999999999992</v>
      </c>
      <c r="FG14" s="182">
        <f t="shared" si="33"/>
        <v>2</v>
      </c>
      <c r="FH14" s="183" t="s">
        <v>52</v>
      </c>
      <c r="FI14" s="184">
        <f t="shared" si="73"/>
        <v>4</v>
      </c>
      <c r="FJ14" s="193">
        <f t="shared" si="74"/>
        <v>0.5</v>
      </c>
      <c r="FK14" s="185">
        <f t="shared" si="34"/>
        <v>0</v>
      </c>
      <c r="FL14" s="183" t="s">
        <v>52</v>
      </c>
      <c r="FM14" s="186">
        <f t="shared" si="35"/>
        <v>2</v>
      </c>
      <c r="FN14" s="193">
        <f t="shared" si="75"/>
        <v>0</v>
      </c>
      <c r="FO14" s="261">
        <f t="shared" si="76"/>
        <v>0</v>
      </c>
      <c r="FP14" s="183" t="s">
        <v>52</v>
      </c>
      <c r="FQ14" s="268">
        <f t="shared" si="77"/>
        <v>0</v>
      </c>
      <c r="FR14" s="196" t="str">
        <f t="shared" si="78"/>
        <v>0</v>
      </c>
      <c r="FS14" s="179">
        <f t="shared" si="36"/>
        <v>0</v>
      </c>
      <c r="FT14" s="179">
        <f t="shared" si="36"/>
        <v>0</v>
      </c>
      <c r="FU14" s="179">
        <f t="shared" si="37"/>
        <v>0</v>
      </c>
      <c r="FV14" s="187">
        <f t="shared" si="37"/>
        <v>0</v>
      </c>
      <c r="FW14" s="179">
        <f t="shared" si="37"/>
        <v>1</v>
      </c>
      <c r="FX14" s="179">
        <f t="shared" si="37"/>
        <v>1</v>
      </c>
      <c r="FY14" s="179">
        <f t="shared" si="37"/>
        <v>0</v>
      </c>
      <c r="FZ14" s="179">
        <f t="shared" si="37"/>
        <v>1</v>
      </c>
      <c r="GA14" s="179">
        <f t="shared" si="37"/>
        <v>1</v>
      </c>
      <c r="GB14" s="179">
        <f t="shared" si="37"/>
        <v>0</v>
      </c>
      <c r="GC14" s="187">
        <f t="shared" si="37"/>
        <v>4</v>
      </c>
      <c r="GD14" s="203">
        <f t="shared" si="79"/>
        <v>74.755319948503924</v>
      </c>
      <c r="GE14" s="179">
        <f t="shared" si="79"/>
        <v>0.37377659974251964</v>
      </c>
      <c r="GF14" s="179">
        <f t="shared" si="79"/>
        <v>0.14273986042316386</v>
      </c>
      <c r="GG14" s="258">
        <f t="shared" si="79"/>
        <v>39.423812790165059</v>
      </c>
      <c r="GH14" s="179"/>
      <c r="GJ14" s="82"/>
      <c r="GK14" s="24"/>
      <c r="GL14" s="185">
        <f>(CQ14/CQ46)*(EY47-EX47)</f>
        <v>0.28333333333333333</v>
      </c>
      <c r="GM14" s="185">
        <f>((E47/G47)*(1-(CJ47/(CJ47+CK46))))/((E47/G47)*(1-(CJ47/(CJ47+CK46)))+((1-(E47/G47)))*(CJ47/(CJ47+CK46)))</f>
        <v>0.35135135135135137</v>
      </c>
      <c r="GN14" s="24">
        <f>GK14+(GL14/10)+(GJ14*GM14*(1-(CJ47/(CJ47+CK46))))+(CK14*(1-GM14))</f>
        <v>2.8333333333333332E-2</v>
      </c>
      <c r="GO14" s="213">
        <f>GN14/(DD14*EG47)</f>
        <v>1.7686416268992635E-3</v>
      </c>
    </row>
    <row r="15" spans="1:197" x14ac:dyDescent="0.2">
      <c r="A15" s="139"/>
      <c r="B15" s="89" t="s">
        <v>82</v>
      </c>
      <c r="C15" s="41" t="s">
        <v>215</v>
      </c>
      <c r="D15" s="483">
        <v>12.25</v>
      </c>
      <c r="E15" s="114">
        <f t="shared" si="0"/>
        <v>7</v>
      </c>
      <c r="F15" s="468" t="s">
        <v>52</v>
      </c>
      <c r="G15" s="115">
        <f t="shared" si="1"/>
        <v>11</v>
      </c>
      <c r="H15" s="116" t="s">
        <v>53</v>
      </c>
      <c r="I15" s="468">
        <f t="shared" si="38"/>
        <v>2</v>
      </c>
      <c r="J15" s="115" t="s">
        <v>54</v>
      </c>
      <c r="K15" s="116">
        <f t="shared" si="2"/>
        <v>1</v>
      </c>
      <c r="L15" s="468" t="s">
        <v>52</v>
      </c>
      <c r="M15" s="115">
        <f t="shared" si="3"/>
        <v>1</v>
      </c>
      <c r="N15" s="116" t="s">
        <v>53</v>
      </c>
      <c r="O15" s="468">
        <f t="shared" si="4"/>
        <v>0</v>
      </c>
      <c r="P15" s="115" t="s">
        <v>54</v>
      </c>
      <c r="Q15" s="116">
        <f t="shared" si="5"/>
        <v>4</v>
      </c>
      <c r="R15" s="468" t="s">
        <v>52</v>
      </c>
      <c r="S15" s="115">
        <f t="shared" si="39"/>
        <v>6</v>
      </c>
      <c r="T15" s="116" t="s">
        <v>53</v>
      </c>
      <c r="U15" s="468">
        <f t="shared" si="6"/>
        <v>0</v>
      </c>
      <c r="V15" s="115" t="s">
        <v>54</v>
      </c>
      <c r="W15" s="116">
        <f t="shared" si="7"/>
        <v>2</v>
      </c>
      <c r="X15" s="468" t="s">
        <v>52</v>
      </c>
      <c r="Y15" s="115">
        <f t="shared" si="8"/>
        <v>4</v>
      </c>
      <c r="Z15" s="116" t="s">
        <v>53</v>
      </c>
      <c r="AA15" s="468">
        <f t="shared" si="9"/>
        <v>2</v>
      </c>
      <c r="AB15" s="115" t="s">
        <v>54</v>
      </c>
      <c r="AC15" s="116">
        <f t="shared" si="40"/>
        <v>0.85</v>
      </c>
      <c r="AD15" s="468" t="s">
        <v>52</v>
      </c>
      <c r="AE15" s="117">
        <f t="shared" si="41"/>
        <v>1</v>
      </c>
      <c r="AF15" s="469"/>
      <c r="AG15" s="114">
        <f t="shared" si="42"/>
        <v>7</v>
      </c>
      <c r="AH15" s="468" t="s">
        <v>52</v>
      </c>
      <c r="AI15" s="115">
        <f t="shared" si="10"/>
        <v>11</v>
      </c>
      <c r="AJ15" s="116" t="s">
        <v>53</v>
      </c>
      <c r="AK15" s="468">
        <f t="shared" si="11"/>
        <v>2</v>
      </c>
      <c r="AL15" s="115" t="s">
        <v>54</v>
      </c>
      <c r="AM15" s="246">
        <v>1</v>
      </c>
      <c r="AN15" s="244" t="s">
        <v>52</v>
      </c>
      <c r="AO15" s="245">
        <v>1</v>
      </c>
      <c r="AP15" s="246" t="s">
        <v>53</v>
      </c>
      <c r="AQ15" s="244">
        <v>0</v>
      </c>
      <c r="AR15" s="245" t="s">
        <v>54</v>
      </c>
      <c r="AS15" s="246">
        <v>4</v>
      </c>
      <c r="AT15" s="244" t="s">
        <v>52</v>
      </c>
      <c r="AU15" s="245">
        <v>6</v>
      </c>
      <c r="AV15" s="246" t="s">
        <v>53</v>
      </c>
      <c r="AW15" s="244">
        <v>0</v>
      </c>
      <c r="AX15" s="245" t="s">
        <v>54</v>
      </c>
      <c r="AY15" s="246">
        <v>2</v>
      </c>
      <c r="AZ15" s="244" t="s">
        <v>52</v>
      </c>
      <c r="BA15" s="245">
        <v>4</v>
      </c>
      <c r="BB15" s="246" t="s">
        <v>53</v>
      </c>
      <c r="BC15" s="244">
        <v>2</v>
      </c>
      <c r="BD15" s="245" t="s">
        <v>54</v>
      </c>
      <c r="BE15" s="116">
        <v>0</v>
      </c>
      <c r="BF15" s="468" t="s">
        <v>52</v>
      </c>
      <c r="BG15" s="117">
        <v>0</v>
      </c>
      <c r="BH15" s="115"/>
      <c r="BI15" s="114">
        <f t="shared" si="12"/>
        <v>0</v>
      </c>
      <c r="BJ15" s="468" t="s">
        <v>52</v>
      </c>
      <c r="BK15" s="115">
        <f t="shared" si="43"/>
        <v>0</v>
      </c>
      <c r="BL15" s="116" t="s">
        <v>53</v>
      </c>
      <c r="BM15" s="468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68" t="s">
        <v>52</v>
      </c>
      <c r="CI15" s="117">
        <v>0</v>
      </c>
      <c r="CJ15" s="140">
        <v>0</v>
      </c>
      <c r="CK15" s="148">
        <f t="shared" si="44"/>
        <v>5</v>
      </c>
      <c r="CL15" s="148">
        <v>4</v>
      </c>
      <c r="CM15" s="148">
        <v>1</v>
      </c>
      <c r="CN15" s="148">
        <f t="shared" si="45"/>
        <v>5</v>
      </c>
      <c r="CO15" s="175">
        <v>7</v>
      </c>
      <c r="CP15" s="140">
        <v>5</v>
      </c>
      <c r="CQ15" s="175">
        <v>0</v>
      </c>
      <c r="CR15" s="148">
        <v>1</v>
      </c>
      <c r="CS15" s="148">
        <v>0</v>
      </c>
      <c r="CT15" s="140">
        <v>4</v>
      </c>
      <c r="CU15" s="140">
        <v>1</v>
      </c>
      <c r="CV15" s="148">
        <f t="shared" si="46"/>
        <v>16.850000000000001</v>
      </c>
      <c r="CW15" s="140"/>
      <c r="CX15" s="164">
        <f>IFERROR(100*(EH15/EG15),"0")</f>
        <v>124.38929114563095</v>
      </c>
      <c r="CY15" s="147">
        <f t="shared" si="14"/>
        <v>0.54883530474170661</v>
      </c>
      <c r="CZ15" s="165">
        <f t="shared" si="15"/>
        <v>0.43357783201064193</v>
      </c>
      <c r="DA15" s="164">
        <f t="shared" si="16"/>
        <v>28.013327430666195</v>
      </c>
      <c r="DB15" s="141"/>
      <c r="DC15" s="141"/>
      <c r="DD15" s="77">
        <f t="shared" si="48"/>
        <v>1</v>
      </c>
      <c r="DE15" s="37">
        <f t="shared" si="49"/>
        <v>0.63636363636363635</v>
      </c>
      <c r="DF15" s="37">
        <f t="shared" si="50"/>
        <v>0.5</v>
      </c>
      <c r="DG15" s="37">
        <f t="shared" si="51"/>
        <v>0.72727272727272729</v>
      </c>
      <c r="DH15" s="37">
        <f t="shared" si="17"/>
        <v>0</v>
      </c>
      <c r="DI15" s="37">
        <f t="shared" si="18"/>
        <v>0.3125</v>
      </c>
      <c r="DJ15" s="37">
        <f t="shared" si="19"/>
        <v>0.25</v>
      </c>
      <c r="DK15" s="37">
        <f t="shared" si="20"/>
        <v>0</v>
      </c>
      <c r="DL15" s="37">
        <f t="shared" si="21"/>
        <v>0.53846153846153844</v>
      </c>
      <c r="DM15" s="37">
        <f t="shared" si="22"/>
        <v>0.30805880980896838</v>
      </c>
      <c r="DN15" s="37">
        <f t="shared" si="52"/>
        <v>0.236834686543205</v>
      </c>
      <c r="DO15" s="37">
        <f t="shared" si="53"/>
        <v>1.75</v>
      </c>
      <c r="DP15" s="66">
        <f t="shared" si="54"/>
        <v>0</v>
      </c>
      <c r="DQ15" s="78">
        <f t="shared" si="55"/>
        <v>3.2653061224489797</v>
      </c>
      <c r="DR15" s="6"/>
      <c r="DS15" s="36"/>
      <c r="DT15" s="75">
        <f t="shared" si="56"/>
        <v>59.167722448979603</v>
      </c>
      <c r="DU15" s="18">
        <f>IFERROR((DV15+DX15+DY15)*(1-(CJ36/EZ36)*EA15*EC15)+ED15,"0")</f>
        <v>9.2695088333960634</v>
      </c>
      <c r="DV15" s="13">
        <f>IFERROR(E15*(1-0.5*((CV15-EX15)/(2*G15))*DW15),"0")</f>
        <v>6.5647272727272723</v>
      </c>
      <c r="DW15" s="14">
        <f>IFERROR(((D15/(D36/5))*(1.14*((CO36-CO15)/E36)))+((((CO36/D36)*D15*5-CO15)/((E36/D36)*D15*5-E15))*(1-(D15/(D36/5)))),"0")</f>
        <v>0.17099999999999999</v>
      </c>
      <c r="DX15" s="14">
        <f t="shared" si="59"/>
        <v>2.5375000000000001</v>
      </c>
      <c r="DY15" s="14">
        <f t="shared" si="60"/>
        <v>0.39100000000000001</v>
      </c>
      <c r="DZ15" s="15">
        <f t="shared" si="23"/>
        <v>22.259833333333333</v>
      </c>
      <c r="EA15" s="14">
        <f t="shared" si="61"/>
        <v>0.92850473884392093</v>
      </c>
      <c r="EB15" s="14">
        <f t="shared" si="24"/>
        <v>9.0909090909090912E-2</v>
      </c>
      <c r="EC15" s="14">
        <f t="shared" si="25"/>
        <v>0.56497038917089681</v>
      </c>
      <c r="ED15" s="14">
        <f t="shared" si="62"/>
        <v>0</v>
      </c>
      <c r="EE15" s="19">
        <f t="shared" si="63"/>
        <v>3.6109090909090908</v>
      </c>
      <c r="EF15" s="67">
        <f t="shared" si="64"/>
        <v>9.0000000000000028E-3</v>
      </c>
      <c r="EG15" s="74">
        <f>IFERROR(DU15+EE15+EF15+CT15,"0")</f>
        <v>16.889417924305157</v>
      </c>
      <c r="EH15" s="27">
        <f t="shared" si="66"/>
        <v>21.008627234666321</v>
      </c>
      <c r="EI15" s="25">
        <f t="shared" si="67"/>
        <v>15.005090909090908</v>
      </c>
      <c r="EJ15" s="25">
        <f t="shared" si="68"/>
        <v>5.6605769230769232</v>
      </c>
      <c r="EK15" s="26">
        <f t="shared" si="26"/>
        <v>0</v>
      </c>
      <c r="EL15" s="29">
        <f t="shared" si="69"/>
        <v>0.35135135135135137</v>
      </c>
      <c r="EM15" s="30">
        <f t="shared" si="27"/>
        <v>0.1875</v>
      </c>
      <c r="EN15" s="30">
        <f t="shared" si="28"/>
        <v>0.1111111111111111</v>
      </c>
      <c r="EO15" s="31">
        <f t="shared" si="70"/>
        <v>3.5241047297297299</v>
      </c>
      <c r="EP15" s="31">
        <f t="shared" si="29"/>
        <v>1.2425844594594595</v>
      </c>
      <c r="EQ15" s="31">
        <f t="shared" si="71"/>
        <v>4.7666891891891892</v>
      </c>
      <c r="ER15" s="93">
        <f t="shared" si="30"/>
        <v>0.61184191597954085</v>
      </c>
      <c r="ES15" s="109">
        <f t="shared" si="31"/>
        <v>15.78801400270963</v>
      </c>
      <c r="ET15" s="32">
        <f t="shared" si="32"/>
        <v>1.9815272258618839</v>
      </c>
      <c r="EV15" s="277"/>
      <c r="EW15" s="278"/>
      <c r="EX15" s="37">
        <f t="shared" si="81"/>
        <v>0.85</v>
      </c>
      <c r="EY15" s="72">
        <f t="shared" si="72"/>
        <v>1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3"/>
        <v>12.25</v>
      </c>
      <c r="FG15" s="43">
        <f t="shared" si="33"/>
        <v>7</v>
      </c>
      <c r="FH15" s="42" t="s">
        <v>52</v>
      </c>
      <c r="FI15" s="49">
        <f t="shared" si="73"/>
        <v>11</v>
      </c>
      <c r="FJ15" s="347">
        <f t="shared" si="74"/>
        <v>0.63636363636363635</v>
      </c>
      <c r="FK15" s="325">
        <f t="shared" si="34"/>
        <v>2</v>
      </c>
      <c r="FL15" s="42" t="s">
        <v>52</v>
      </c>
      <c r="FM15" s="348">
        <f t="shared" si="35"/>
        <v>4</v>
      </c>
      <c r="FN15" s="347">
        <f t="shared" si="75"/>
        <v>0.5</v>
      </c>
      <c r="FO15" s="349">
        <f t="shared" si="76"/>
        <v>0</v>
      </c>
      <c r="FP15" s="42" t="s">
        <v>52</v>
      </c>
      <c r="FQ15" s="350">
        <f t="shared" si="77"/>
        <v>0</v>
      </c>
      <c r="FR15" s="351" t="str">
        <f t="shared" si="78"/>
        <v>0</v>
      </c>
      <c r="FS15" s="4">
        <f t="shared" si="36"/>
        <v>0</v>
      </c>
      <c r="FT15" s="4">
        <f t="shared" si="36"/>
        <v>5</v>
      </c>
      <c r="FU15" s="4">
        <f t="shared" si="37"/>
        <v>5</v>
      </c>
      <c r="FV15" s="352">
        <f t="shared" si="37"/>
        <v>7</v>
      </c>
      <c r="FW15" s="4">
        <f t="shared" si="37"/>
        <v>5</v>
      </c>
      <c r="FX15" s="4">
        <f t="shared" si="37"/>
        <v>0</v>
      </c>
      <c r="FY15" s="4">
        <f t="shared" si="37"/>
        <v>1</v>
      </c>
      <c r="FZ15" s="4">
        <f t="shared" si="37"/>
        <v>0</v>
      </c>
      <c r="GA15" s="4">
        <f t="shared" si="37"/>
        <v>4</v>
      </c>
      <c r="GB15" s="4">
        <f t="shared" si="37"/>
        <v>1</v>
      </c>
      <c r="GC15" s="352">
        <f t="shared" si="37"/>
        <v>16.850000000000001</v>
      </c>
      <c r="GD15" s="353">
        <f t="shared" si="79"/>
        <v>124.38929114563095</v>
      </c>
      <c r="GE15" s="4">
        <f t="shared" si="79"/>
        <v>0.54883530474170661</v>
      </c>
      <c r="GF15" s="4">
        <f t="shared" si="79"/>
        <v>0.43357783201064193</v>
      </c>
      <c r="GG15" s="354">
        <f t="shared" si="79"/>
        <v>28.013327430666195</v>
      </c>
      <c r="GH15" s="4"/>
      <c r="GJ15" s="82"/>
      <c r="GK15" s="24"/>
      <c r="GL15" s="185">
        <f>(CQ15/CQ48)*(EY49-EX49)</f>
        <v>0</v>
      </c>
      <c r="GM15" s="185">
        <f>((E49/G49)*(1-(CJ49/(CJ49+CK48))))/((E49/G49)*(1-(CJ49/(CJ49+CK48)))+((1-(E49/G49)))*(CJ49/(CJ49+CK48)))</f>
        <v>0.95940959409594084</v>
      </c>
      <c r="GN15" s="24">
        <f>GK15+(GL15/10)+(GJ15*GM15*(1-(CJ49/(CJ49+CK48))))+(CK15*(1-GM15))</f>
        <v>0.20295202952029578</v>
      </c>
      <c r="GO15" s="213">
        <f>GN15/(DD15*EG49)</f>
        <v>5.2100967218614109E-3</v>
      </c>
    </row>
    <row r="16" spans="1:197" x14ac:dyDescent="0.2">
      <c r="A16" s="139"/>
      <c r="B16" s="89" t="s">
        <v>82</v>
      </c>
      <c r="C16" s="41" t="s">
        <v>216</v>
      </c>
      <c r="D16" s="483">
        <v>7.45</v>
      </c>
      <c r="E16" s="114">
        <f t="shared" si="0"/>
        <v>2</v>
      </c>
      <c r="F16" s="468" t="s">
        <v>52</v>
      </c>
      <c r="G16" s="115">
        <f t="shared" si="1"/>
        <v>4</v>
      </c>
      <c r="H16" s="116" t="s">
        <v>53</v>
      </c>
      <c r="I16" s="468">
        <f t="shared" si="38"/>
        <v>2</v>
      </c>
      <c r="J16" s="115" t="s">
        <v>54</v>
      </c>
      <c r="K16" s="116">
        <f t="shared" si="2"/>
        <v>1</v>
      </c>
      <c r="L16" s="468" t="s">
        <v>52</v>
      </c>
      <c r="M16" s="115">
        <f t="shared" si="3"/>
        <v>2</v>
      </c>
      <c r="N16" s="116" t="s">
        <v>53</v>
      </c>
      <c r="O16" s="468">
        <f t="shared" si="4"/>
        <v>1</v>
      </c>
      <c r="P16" s="115" t="s">
        <v>54</v>
      </c>
      <c r="Q16" s="116">
        <f t="shared" si="5"/>
        <v>0</v>
      </c>
      <c r="R16" s="468" t="s">
        <v>52</v>
      </c>
      <c r="S16" s="115">
        <f t="shared" si="39"/>
        <v>0</v>
      </c>
      <c r="T16" s="116" t="s">
        <v>53</v>
      </c>
      <c r="U16" s="468">
        <f t="shared" si="6"/>
        <v>0</v>
      </c>
      <c r="V16" s="115" t="s">
        <v>54</v>
      </c>
      <c r="W16" s="116">
        <f t="shared" si="7"/>
        <v>1</v>
      </c>
      <c r="X16" s="468" t="s">
        <v>52</v>
      </c>
      <c r="Y16" s="115">
        <f t="shared" si="8"/>
        <v>2</v>
      </c>
      <c r="Z16" s="116" t="s">
        <v>53</v>
      </c>
      <c r="AA16" s="468">
        <f t="shared" si="9"/>
        <v>1</v>
      </c>
      <c r="AB16" s="115" t="s">
        <v>54</v>
      </c>
      <c r="AC16" s="116">
        <f t="shared" si="40"/>
        <v>0.75</v>
      </c>
      <c r="AD16" s="468" t="s">
        <v>52</v>
      </c>
      <c r="AE16" s="117">
        <f t="shared" si="41"/>
        <v>1</v>
      </c>
      <c r="AF16" s="469"/>
      <c r="AG16" s="114">
        <f t="shared" si="42"/>
        <v>2</v>
      </c>
      <c r="AH16" s="468" t="s">
        <v>52</v>
      </c>
      <c r="AI16" s="115">
        <f t="shared" si="10"/>
        <v>4</v>
      </c>
      <c r="AJ16" s="116" t="s">
        <v>53</v>
      </c>
      <c r="AK16" s="468">
        <f t="shared" si="11"/>
        <v>2</v>
      </c>
      <c r="AL16" s="115" t="s">
        <v>54</v>
      </c>
      <c r="AM16" s="246">
        <v>1</v>
      </c>
      <c r="AN16" s="244" t="s">
        <v>52</v>
      </c>
      <c r="AO16" s="245">
        <v>2</v>
      </c>
      <c r="AP16" s="246" t="s">
        <v>53</v>
      </c>
      <c r="AQ16" s="244">
        <v>1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1</v>
      </c>
      <c r="AZ16" s="244" t="s">
        <v>52</v>
      </c>
      <c r="BA16" s="245">
        <v>2</v>
      </c>
      <c r="BB16" s="246" t="s">
        <v>53</v>
      </c>
      <c r="BC16" s="244">
        <v>1</v>
      </c>
      <c r="BD16" s="245" t="s">
        <v>54</v>
      </c>
      <c r="BE16" s="116">
        <v>0</v>
      </c>
      <c r="BF16" s="468" t="s">
        <v>52</v>
      </c>
      <c r="BG16" s="117">
        <v>0</v>
      </c>
      <c r="BH16" s="115"/>
      <c r="BI16" s="114">
        <f t="shared" si="12"/>
        <v>0</v>
      </c>
      <c r="BJ16" s="468" t="s">
        <v>52</v>
      </c>
      <c r="BK16" s="115">
        <f t="shared" si="43"/>
        <v>0</v>
      </c>
      <c r="BL16" s="116" t="s">
        <v>53</v>
      </c>
      <c r="BM16" s="468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68" t="s">
        <v>52</v>
      </c>
      <c r="CI16" s="117">
        <v>0</v>
      </c>
      <c r="CJ16" s="140">
        <v>1</v>
      </c>
      <c r="CK16" s="148">
        <f t="shared" si="44"/>
        <v>2</v>
      </c>
      <c r="CL16" s="148">
        <v>2</v>
      </c>
      <c r="CM16" s="148">
        <v>0</v>
      </c>
      <c r="CN16" s="148">
        <f t="shared" si="45"/>
        <v>3</v>
      </c>
      <c r="CO16" s="175">
        <v>0</v>
      </c>
      <c r="CP16" s="140">
        <v>1</v>
      </c>
      <c r="CQ16" s="175">
        <v>1</v>
      </c>
      <c r="CR16" s="148">
        <v>1</v>
      </c>
      <c r="CS16" s="148">
        <v>1</v>
      </c>
      <c r="CT16" s="140">
        <v>0</v>
      </c>
      <c r="CU16" s="140">
        <v>0</v>
      </c>
      <c r="CV16" s="148">
        <f t="shared" si="46"/>
        <v>5.75</v>
      </c>
      <c r="CW16" s="140"/>
      <c r="CX16" s="164">
        <f t="shared" si="47"/>
        <v>136.49024887861759</v>
      </c>
      <c r="CY16" s="147">
        <f t="shared" si="14"/>
        <v>0.57622662577343942</v>
      </c>
      <c r="CZ16" s="165">
        <f t="shared" si="15"/>
        <v>0.18232972857322149</v>
      </c>
      <c r="DA16" s="164">
        <f t="shared" si="16"/>
        <v>26.456074578694412</v>
      </c>
      <c r="DB16" s="141"/>
      <c r="DC16" s="141"/>
      <c r="DD16" s="77">
        <f t="shared" si="48"/>
        <v>0.60816326530612241</v>
      </c>
      <c r="DE16" s="37">
        <f t="shared" si="49"/>
        <v>0.5</v>
      </c>
      <c r="DF16" s="37">
        <f t="shared" si="50"/>
        <v>0.5</v>
      </c>
      <c r="DG16" s="37">
        <f t="shared" si="51"/>
        <v>0.625</v>
      </c>
      <c r="DH16" s="37">
        <f t="shared" si="17"/>
        <v>0.14948139109212935</v>
      </c>
      <c r="DI16" s="37">
        <f t="shared" si="18"/>
        <v>0.20553691275167787</v>
      </c>
      <c r="DJ16" s="37">
        <f t="shared" si="19"/>
        <v>0</v>
      </c>
      <c r="DK16" s="37">
        <f t="shared" si="20"/>
        <v>4.221163780939443E-2</v>
      </c>
      <c r="DL16" s="37">
        <f t="shared" si="21"/>
        <v>0</v>
      </c>
      <c r="DM16" s="37">
        <f t="shared" si="22"/>
        <v>4.221163780939443E-2</v>
      </c>
      <c r="DN16" s="37">
        <f t="shared" si="52"/>
        <v>0</v>
      </c>
      <c r="DO16" s="37" t="str">
        <f t="shared" si="53"/>
        <v>0</v>
      </c>
      <c r="DP16" s="66">
        <f t="shared" si="54"/>
        <v>5.3691275167785237</v>
      </c>
      <c r="DQ16" s="78">
        <f t="shared" si="55"/>
        <v>5.3691275167785237</v>
      </c>
      <c r="DR16" s="6"/>
      <c r="DS16" s="36"/>
      <c r="DT16" s="75">
        <f t="shared" si="56"/>
        <v>37.669127516778531</v>
      </c>
      <c r="DU16" s="18">
        <f t="shared" si="57"/>
        <v>2.488963938057672</v>
      </c>
      <c r="DV16" s="13">
        <f t="shared" si="80"/>
        <v>1.6367964716006884</v>
      </c>
      <c r="DW16" s="14">
        <f t="shared" si="58"/>
        <v>0.58112564543889844</v>
      </c>
      <c r="DX16" s="14">
        <f t="shared" si="59"/>
        <v>0</v>
      </c>
      <c r="DY16" s="14">
        <f t="shared" si="60"/>
        <v>0.375</v>
      </c>
      <c r="DZ16" s="15">
        <f t="shared" si="23"/>
        <v>22.259833333333333</v>
      </c>
      <c r="EA16" s="14">
        <f t="shared" si="61"/>
        <v>0.92850473884392093</v>
      </c>
      <c r="EB16" s="14">
        <f t="shared" si="24"/>
        <v>9.0909090909090912E-2</v>
      </c>
      <c r="EC16" s="14">
        <f t="shared" si="25"/>
        <v>0.56497038917089681</v>
      </c>
      <c r="ED16" s="14">
        <f t="shared" si="62"/>
        <v>0.5245776836516719</v>
      </c>
      <c r="EE16" s="19">
        <f t="shared" si="63"/>
        <v>1.8054545454545454</v>
      </c>
      <c r="EF16" s="67">
        <f t="shared" si="64"/>
        <v>2.5000000000000001E-2</v>
      </c>
      <c r="EG16" s="74">
        <f t="shared" si="65"/>
        <v>4.3194184835122176</v>
      </c>
      <c r="EH16" s="27">
        <f t="shared" si="66"/>
        <v>5.8955850382548354</v>
      </c>
      <c r="EI16" s="25">
        <f t="shared" si="67"/>
        <v>4.0919911790017212</v>
      </c>
      <c r="EJ16" s="25">
        <f t="shared" si="68"/>
        <v>0</v>
      </c>
      <c r="EK16" s="26">
        <f t="shared" si="26"/>
        <v>1.1677007565917836</v>
      </c>
      <c r="EL16" s="29">
        <f t="shared" si="69"/>
        <v>0.35135135135135137</v>
      </c>
      <c r="EM16" s="30">
        <f t="shared" si="27"/>
        <v>0.1875</v>
      </c>
      <c r="EN16" s="30">
        <f t="shared" si="28"/>
        <v>0.1111111111111111</v>
      </c>
      <c r="EO16" s="31">
        <f t="shared" si="70"/>
        <v>2.2972972972972974</v>
      </c>
      <c r="EP16" s="31">
        <f t="shared" si="29"/>
        <v>0.78780533339461911</v>
      </c>
      <c r="EQ16" s="31">
        <f t="shared" si="71"/>
        <v>3.0851026306919165</v>
      </c>
      <c r="ER16" s="93">
        <f t="shared" si="30"/>
        <v>0.65113617425788572</v>
      </c>
      <c r="ES16" s="109">
        <f t="shared" si="31"/>
        <v>15.78801400270963</v>
      </c>
      <c r="ET16" s="32">
        <f t="shared" si="32"/>
        <v>1.9815272258618839</v>
      </c>
      <c r="EV16" s="277"/>
      <c r="EW16" s="278"/>
      <c r="EX16" s="37">
        <f t="shared" si="81"/>
        <v>0.75</v>
      </c>
      <c r="EY16" s="72">
        <f t="shared" si="72"/>
        <v>1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3"/>
        <v>7.45</v>
      </c>
      <c r="FG16" s="182">
        <f t="shared" si="33"/>
        <v>2</v>
      </c>
      <c r="FH16" s="183" t="s">
        <v>52</v>
      </c>
      <c r="FI16" s="184">
        <f t="shared" si="73"/>
        <v>4</v>
      </c>
      <c r="FJ16" s="193">
        <f t="shared" si="74"/>
        <v>0.5</v>
      </c>
      <c r="FK16" s="185">
        <f t="shared" si="34"/>
        <v>1</v>
      </c>
      <c r="FL16" s="183" t="s">
        <v>52</v>
      </c>
      <c r="FM16" s="186">
        <f t="shared" si="35"/>
        <v>2</v>
      </c>
      <c r="FN16" s="193">
        <f t="shared" si="75"/>
        <v>0.5</v>
      </c>
      <c r="FO16" s="261">
        <f t="shared" si="76"/>
        <v>0</v>
      </c>
      <c r="FP16" s="183" t="s">
        <v>52</v>
      </c>
      <c r="FQ16" s="268">
        <f t="shared" si="77"/>
        <v>0</v>
      </c>
      <c r="FR16" s="196" t="str">
        <f t="shared" si="78"/>
        <v>0</v>
      </c>
      <c r="FS16" s="179">
        <f t="shared" si="36"/>
        <v>1</v>
      </c>
      <c r="FT16" s="179">
        <f t="shared" si="36"/>
        <v>2</v>
      </c>
      <c r="FU16" s="179">
        <f t="shared" si="37"/>
        <v>3</v>
      </c>
      <c r="FV16" s="187">
        <f t="shared" si="37"/>
        <v>0</v>
      </c>
      <c r="FW16" s="179">
        <f t="shared" si="37"/>
        <v>1</v>
      </c>
      <c r="FX16" s="179">
        <f t="shared" si="37"/>
        <v>1</v>
      </c>
      <c r="FY16" s="179">
        <f t="shared" si="37"/>
        <v>1</v>
      </c>
      <c r="FZ16" s="179">
        <f t="shared" si="37"/>
        <v>1</v>
      </c>
      <c r="GA16" s="179">
        <f t="shared" si="37"/>
        <v>0</v>
      </c>
      <c r="GB16" s="179">
        <f t="shared" si="37"/>
        <v>0</v>
      </c>
      <c r="GC16" s="187">
        <f t="shared" si="37"/>
        <v>5.75</v>
      </c>
      <c r="GD16" s="203">
        <f t="shared" si="79"/>
        <v>136.49024887861759</v>
      </c>
      <c r="GE16" s="179">
        <f t="shared" si="79"/>
        <v>0.57622662577343942</v>
      </c>
      <c r="GF16" s="179">
        <f t="shared" si="79"/>
        <v>0.18232972857322149</v>
      </c>
      <c r="GG16" s="258">
        <f t="shared" si="79"/>
        <v>26.456074578694412</v>
      </c>
      <c r="GH16" s="179"/>
      <c r="GJ16" s="82"/>
      <c r="GK16" s="24"/>
      <c r="GL16" s="185">
        <f>(CQ16/CQ50)*(EY51-EX51)</f>
        <v>0.14166666666666666</v>
      </c>
      <c r="GM16" s="185">
        <f>((E51/G51)*(1-(CJ51/(CJ51+CK50))))/((E51/G51)*(1-(CJ51/(CJ51+CK50)))+((1-(E51/G51)))*(CJ51/(CJ51+CK50)))</f>
        <v>0.29411764705882354</v>
      </c>
      <c r="GN16" s="24">
        <f>GK16+(GL16/10)+(GJ16*GM16*(1-(CJ51/(CJ51+CK50))))+(CK16*(1-GM16))</f>
        <v>1.4259313725490195</v>
      </c>
      <c r="GO16" s="213">
        <f>GN16/(DD16*EG51)</f>
        <v>0.11792385702415023</v>
      </c>
    </row>
    <row r="17" spans="1:197" x14ac:dyDescent="0.2">
      <c r="A17" s="139"/>
      <c r="B17" s="430" t="s">
        <v>117</v>
      </c>
      <c r="C17" s="431" t="s">
        <v>217</v>
      </c>
      <c r="D17" s="483">
        <v>10.18</v>
      </c>
      <c r="E17" s="114">
        <f t="shared" si="0"/>
        <v>0</v>
      </c>
      <c r="F17" s="468" t="s">
        <v>52</v>
      </c>
      <c r="G17" s="115">
        <f t="shared" si="1"/>
        <v>2</v>
      </c>
      <c r="H17" s="116" t="s">
        <v>53</v>
      </c>
      <c r="I17" s="468">
        <f t="shared" si="38"/>
        <v>0</v>
      </c>
      <c r="J17" s="115" t="s">
        <v>54</v>
      </c>
      <c r="K17" s="116">
        <f t="shared" si="2"/>
        <v>0</v>
      </c>
      <c r="L17" s="468" t="s">
        <v>52</v>
      </c>
      <c r="M17" s="115">
        <f t="shared" si="3"/>
        <v>1</v>
      </c>
      <c r="N17" s="116" t="s">
        <v>53</v>
      </c>
      <c r="O17" s="468">
        <f t="shared" si="4"/>
        <v>0</v>
      </c>
      <c r="P17" s="115" t="s">
        <v>54</v>
      </c>
      <c r="Q17" s="116">
        <f t="shared" si="5"/>
        <v>0</v>
      </c>
      <c r="R17" s="468" t="s">
        <v>52</v>
      </c>
      <c r="S17" s="115">
        <f t="shared" si="39"/>
        <v>0</v>
      </c>
      <c r="T17" s="116" t="s">
        <v>53</v>
      </c>
      <c r="U17" s="468">
        <f t="shared" si="6"/>
        <v>0</v>
      </c>
      <c r="V17" s="115" t="s">
        <v>54</v>
      </c>
      <c r="W17" s="116">
        <f t="shared" si="7"/>
        <v>0</v>
      </c>
      <c r="X17" s="468" t="s">
        <v>52</v>
      </c>
      <c r="Y17" s="115">
        <f t="shared" si="8"/>
        <v>1</v>
      </c>
      <c r="Z17" s="116" t="s">
        <v>53</v>
      </c>
      <c r="AA17" s="468">
        <f t="shared" si="9"/>
        <v>0</v>
      </c>
      <c r="AB17" s="115" t="s">
        <v>54</v>
      </c>
      <c r="AC17" s="116">
        <f t="shared" si="40"/>
        <v>0.75</v>
      </c>
      <c r="AD17" s="468" t="s">
        <v>52</v>
      </c>
      <c r="AE17" s="117">
        <f t="shared" si="41"/>
        <v>1</v>
      </c>
      <c r="AF17" s="469"/>
      <c r="AG17" s="114">
        <f t="shared" si="42"/>
        <v>0</v>
      </c>
      <c r="AH17" s="468" t="s">
        <v>52</v>
      </c>
      <c r="AI17" s="115">
        <f t="shared" si="10"/>
        <v>1</v>
      </c>
      <c r="AJ17" s="116" t="s">
        <v>53</v>
      </c>
      <c r="AK17" s="468">
        <f t="shared" si="11"/>
        <v>0</v>
      </c>
      <c r="AL17" s="115" t="s">
        <v>54</v>
      </c>
      <c r="AM17" s="246">
        <v>0</v>
      </c>
      <c r="AN17" s="244" t="s">
        <v>52</v>
      </c>
      <c r="AO17" s="245">
        <v>1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0</v>
      </c>
      <c r="BB17" s="246" t="s">
        <v>53</v>
      </c>
      <c r="BC17" s="244">
        <v>0</v>
      </c>
      <c r="BD17" s="245" t="s">
        <v>54</v>
      </c>
      <c r="BE17" s="116">
        <v>0</v>
      </c>
      <c r="BF17" s="468" t="s">
        <v>52</v>
      </c>
      <c r="BG17" s="117">
        <v>0</v>
      </c>
      <c r="BH17" s="115"/>
      <c r="BI17" s="114">
        <f t="shared" si="12"/>
        <v>0</v>
      </c>
      <c r="BJ17" s="468" t="s">
        <v>52</v>
      </c>
      <c r="BK17" s="115">
        <f t="shared" si="43"/>
        <v>1</v>
      </c>
      <c r="BL17" s="116" t="s">
        <v>53</v>
      </c>
      <c r="BM17" s="468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1</v>
      </c>
      <c r="CD17" s="246" t="s">
        <v>53</v>
      </c>
      <c r="CE17" s="244">
        <v>0</v>
      </c>
      <c r="CF17" s="245" t="s">
        <v>54</v>
      </c>
      <c r="CG17" s="116">
        <v>0</v>
      </c>
      <c r="CH17" s="468" t="s">
        <v>52</v>
      </c>
      <c r="CI17" s="117">
        <v>0</v>
      </c>
      <c r="CJ17" s="140">
        <v>0</v>
      </c>
      <c r="CK17" s="148">
        <f t="shared" si="44"/>
        <v>3</v>
      </c>
      <c r="CL17" s="148">
        <v>1</v>
      </c>
      <c r="CM17" s="148">
        <v>2</v>
      </c>
      <c r="CN17" s="148">
        <f t="shared" si="45"/>
        <v>3</v>
      </c>
      <c r="CO17" s="175">
        <v>0</v>
      </c>
      <c r="CP17" s="140">
        <v>1</v>
      </c>
      <c r="CQ17" s="175">
        <v>1</v>
      </c>
      <c r="CR17" s="148">
        <v>1</v>
      </c>
      <c r="CS17" s="148">
        <v>0</v>
      </c>
      <c r="CT17" s="140">
        <v>1</v>
      </c>
      <c r="CU17" s="140">
        <v>0</v>
      </c>
      <c r="CV17" s="148">
        <f t="shared" si="46"/>
        <v>0.75</v>
      </c>
      <c r="CW17" s="140"/>
      <c r="CX17" s="164">
        <f t="shared" si="47"/>
        <v>23.868533271571874</v>
      </c>
      <c r="CY17" s="147">
        <f t="shared" si="14"/>
        <v>0.11934266635785937</v>
      </c>
      <c r="CZ17" s="165">
        <f t="shared" si="15"/>
        <v>0.18031300104581419</v>
      </c>
      <c r="DA17" s="164">
        <f t="shared" si="16"/>
        <v>213.67405726723698</v>
      </c>
      <c r="DB17" s="141"/>
      <c r="DC17" s="141"/>
      <c r="DD17" s="77">
        <f t="shared" si="48"/>
        <v>0.83102040816326528</v>
      </c>
      <c r="DE17" s="37">
        <f t="shared" si="49"/>
        <v>0</v>
      </c>
      <c r="DF17" s="37">
        <f t="shared" si="50"/>
        <v>0</v>
      </c>
      <c r="DG17" s="37">
        <f t="shared" si="51"/>
        <v>0</v>
      </c>
      <c r="DH17" s="37">
        <f t="shared" si="17"/>
        <v>0</v>
      </c>
      <c r="DI17" s="37">
        <f t="shared" si="18"/>
        <v>0.32818360421503839</v>
      </c>
      <c r="DJ17" s="37">
        <f t="shared" si="19"/>
        <v>0</v>
      </c>
      <c r="DK17" s="37">
        <f t="shared" si="20"/>
        <v>0</v>
      </c>
      <c r="DL17" s="37">
        <f t="shared" si="21"/>
        <v>0</v>
      </c>
      <c r="DM17" s="37">
        <f t="shared" si="22"/>
        <v>6.0521759589145026E-2</v>
      </c>
      <c r="DN17" s="37">
        <f t="shared" si="52"/>
        <v>0.33564834059729043</v>
      </c>
      <c r="DO17" s="37">
        <f t="shared" si="53"/>
        <v>0</v>
      </c>
      <c r="DP17" s="66">
        <f t="shared" si="54"/>
        <v>3.9292730844793713</v>
      </c>
      <c r="DQ17" s="78">
        <f t="shared" si="55"/>
        <v>3.9292730844793713</v>
      </c>
      <c r="DR17" s="6"/>
      <c r="DS17" s="36"/>
      <c r="DT17" s="75">
        <f t="shared" si="56"/>
        <v>-7.3888998035363453</v>
      </c>
      <c r="DU17" s="18">
        <f t="shared" si="57"/>
        <v>0.35555863659414372</v>
      </c>
      <c r="DV17" s="13">
        <f t="shared" si="80"/>
        <v>0</v>
      </c>
      <c r="DW17" s="14">
        <f t="shared" si="58"/>
        <v>0</v>
      </c>
      <c r="DX17" s="14">
        <f t="shared" si="59"/>
        <v>0</v>
      </c>
      <c r="DY17" s="14">
        <f t="shared" si="60"/>
        <v>0.375</v>
      </c>
      <c r="DZ17" s="15">
        <f t="shared" si="23"/>
        <v>3.1036666666666668</v>
      </c>
      <c r="EA17" s="14">
        <f t="shared" si="61"/>
        <v>0.40092411645854731</v>
      </c>
      <c r="EB17" s="14">
        <f t="shared" si="24"/>
        <v>0.1875</v>
      </c>
      <c r="EC17" s="14">
        <f t="shared" si="25"/>
        <v>0.13377873563218393</v>
      </c>
      <c r="ED17" s="14">
        <f t="shared" si="62"/>
        <v>0</v>
      </c>
      <c r="EE17" s="19">
        <f t="shared" si="63"/>
        <v>1.5987499999999999</v>
      </c>
      <c r="EF17" s="67">
        <f t="shared" si="64"/>
        <v>2.5000000000000001E-2</v>
      </c>
      <c r="EG17" s="74">
        <f t="shared" si="65"/>
        <v>2.9793086365941432</v>
      </c>
      <c r="EH17" s="27">
        <f t="shared" si="66"/>
        <v>0.71111727318828744</v>
      </c>
      <c r="EI17" s="25">
        <f t="shared" si="67"/>
        <v>0</v>
      </c>
      <c r="EJ17" s="25">
        <f t="shared" si="68"/>
        <v>0</v>
      </c>
      <c r="EK17" s="26">
        <f t="shared" si="26"/>
        <v>0</v>
      </c>
      <c r="EL17" s="29">
        <f t="shared" si="69"/>
        <v>0.94786729857819907</v>
      </c>
      <c r="EM17" s="30">
        <f t="shared" si="27"/>
        <v>9.0909090909090912E-2</v>
      </c>
      <c r="EN17" s="30">
        <f t="shared" si="28"/>
        <v>0.64516129032258063</v>
      </c>
      <c r="EO17" s="31">
        <f t="shared" si="70"/>
        <v>0.15639810426540279</v>
      </c>
      <c r="EP17" s="31">
        <f t="shared" si="29"/>
        <v>2.0863397357363165</v>
      </c>
      <c r="EQ17" s="31">
        <f t="shared" si="71"/>
        <v>2.2427378400017193</v>
      </c>
      <c r="ER17" s="93">
        <f t="shared" si="30"/>
        <v>0.67867220187031219</v>
      </c>
      <c r="ES17" s="109">
        <f t="shared" si="31"/>
        <v>249.21082000160771</v>
      </c>
      <c r="ET17" s="32">
        <f t="shared" si="32"/>
        <v>2.225982524577153</v>
      </c>
      <c r="EV17" s="277"/>
      <c r="EW17" s="278"/>
      <c r="EX17" s="37">
        <f>AC17</f>
        <v>0.75</v>
      </c>
      <c r="EY17" s="72">
        <f>AE17</f>
        <v>1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3"/>
        <v>10.18</v>
      </c>
      <c r="FG17" s="43">
        <f t="shared" si="33"/>
        <v>0</v>
      </c>
      <c r="FH17" s="42"/>
      <c r="FI17" s="49">
        <f t="shared" si="73"/>
        <v>2</v>
      </c>
      <c r="FJ17" s="347">
        <f t="shared" si="74"/>
        <v>0</v>
      </c>
      <c r="FK17" s="325">
        <f t="shared" si="34"/>
        <v>0</v>
      </c>
      <c r="FL17" s="42"/>
      <c r="FM17" s="348">
        <f t="shared" si="35"/>
        <v>1</v>
      </c>
      <c r="FN17" s="347">
        <f t="shared" si="75"/>
        <v>0</v>
      </c>
      <c r="FO17" s="349">
        <f t="shared" si="76"/>
        <v>0</v>
      </c>
      <c r="FP17" s="42"/>
      <c r="FQ17" s="350">
        <f t="shared" si="77"/>
        <v>0</v>
      </c>
      <c r="FR17" s="351" t="str">
        <f t="shared" si="78"/>
        <v>0</v>
      </c>
      <c r="FS17" s="4">
        <f t="shared" si="36"/>
        <v>0</v>
      </c>
      <c r="FT17" s="4">
        <f t="shared" si="36"/>
        <v>3</v>
      </c>
      <c r="FU17" s="4">
        <f t="shared" si="37"/>
        <v>3</v>
      </c>
      <c r="FV17" s="352">
        <f t="shared" si="37"/>
        <v>0</v>
      </c>
      <c r="FW17" s="4">
        <f t="shared" si="37"/>
        <v>1</v>
      </c>
      <c r="FX17" s="4">
        <f t="shared" si="37"/>
        <v>1</v>
      </c>
      <c r="FY17" s="4">
        <f t="shared" si="37"/>
        <v>1</v>
      </c>
      <c r="FZ17" s="4">
        <f t="shared" si="37"/>
        <v>0</v>
      </c>
      <c r="GA17" s="4">
        <f t="shared" si="37"/>
        <v>1</v>
      </c>
      <c r="GB17" s="4">
        <f t="shared" si="37"/>
        <v>0</v>
      </c>
      <c r="GC17" s="352">
        <f t="shared" si="37"/>
        <v>0.75</v>
      </c>
      <c r="GD17" s="353">
        <f t="shared" si="79"/>
        <v>23.868533271571874</v>
      </c>
      <c r="GE17" s="4">
        <f t="shared" si="79"/>
        <v>0.11934266635785937</v>
      </c>
      <c r="GF17" s="4">
        <f t="shared" si="79"/>
        <v>0.18031300104581419</v>
      </c>
      <c r="GG17" s="354">
        <f t="shared" si="79"/>
        <v>213.67405726723698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82</v>
      </c>
      <c r="C18" s="41" t="s">
        <v>218</v>
      </c>
      <c r="D18" s="483">
        <v>12.25</v>
      </c>
      <c r="E18" s="114">
        <f t="shared" si="0"/>
        <v>2</v>
      </c>
      <c r="F18" s="468" t="s">
        <v>52</v>
      </c>
      <c r="G18" s="115">
        <f t="shared" si="1"/>
        <v>3</v>
      </c>
      <c r="H18" s="116" t="s">
        <v>53</v>
      </c>
      <c r="I18" s="468">
        <f t="shared" si="38"/>
        <v>1</v>
      </c>
      <c r="J18" s="115" t="s">
        <v>54</v>
      </c>
      <c r="K18" s="116">
        <f t="shared" si="2"/>
        <v>1</v>
      </c>
      <c r="L18" s="468" t="s">
        <v>52</v>
      </c>
      <c r="M18" s="115">
        <f t="shared" si="3"/>
        <v>2</v>
      </c>
      <c r="N18" s="116" t="s">
        <v>53</v>
      </c>
      <c r="O18" s="468">
        <f t="shared" si="4"/>
        <v>1</v>
      </c>
      <c r="P18" s="115" t="s">
        <v>54</v>
      </c>
      <c r="Q18" s="116">
        <f t="shared" si="5"/>
        <v>0</v>
      </c>
      <c r="R18" s="468" t="s">
        <v>52</v>
      </c>
      <c r="S18" s="115">
        <f t="shared" si="39"/>
        <v>0</v>
      </c>
      <c r="T18" s="116" t="s">
        <v>53</v>
      </c>
      <c r="U18" s="468">
        <f t="shared" si="6"/>
        <v>0</v>
      </c>
      <c r="V18" s="115" t="s">
        <v>54</v>
      </c>
      <c r="W18" s="116">
        <f t="shared" si="7"/>
        <v>1</v>
      </c>
      <c r="X18" s="468" t="s">
        <v>52</v>
      </c>
      <c r="Y18" s="115">
        <f t="shared" si="8"/>
        <v>1</v>
      </c>
      <c r="Z18" s="116" t="s">
        <v>53</v>
      </c>
      <c r="AA18" s="468">
        <f t="shared" si="9"/>
        <v>0</v>
      </c>
      <c r="AB18" s="115" t="s">
        <v>54</v>
      </c>
      <c r="AC18" s="116">
        <f t="shared" si="40"/>
        <v>0.75</v>
      </c>
      <c r="AD18" s="468" t="s">
        <v>52</v>
      </c>
      <c r="AE18" s="117">
        <f t="shared" si="41"/>
        <v>1</v>
      </c>
      <c r="AF18" s="469"/>
      <c r="AG18" s="114">
        <f>IFERROR(AM18+AS18+AY18,"0")</f>
        <v>1</v>
      </c>
      <c r="AH18" s="468" t="s">
        <v>52</v>
      </c>
      <c r="AI18" s="115">
        <f t="shared" si="10"/>
        <v>2</v>
      </c>
      <c r="AJ18" s="116" t="s">
        <v>53</v>
      </c>
      <c r="AK18" s="468">
        <f t="shared" si="11"/>
        <v>1</v>
      </c>
      <c r="AL18" s="115" t="s">
        <v>54</v>
      </c>
      <c r="AM18" s="246">
        <v>1</v>
      </c>
      <c r="AN18" s="244" t="s">
        <v>52</v>
      </c>
      <c r="AO18" s="245">
        <v>2</v>
      </c>
      <c r="AP18" s="246" t="s">
        <v>53</v>
      </c>
      <c r="AQ18" s="244">
        <v>1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0</v>
      </c>
      <c r="BB18" s="246" t="s">
        <v>53</v>
      </c>
      <c r="BC18" s="244">
        <v>0</v>
      </c>
      <c r="BD18" s="245" t="s">
        <v>54</v>
      </c>
      <c r="BE18" s="116">
        <v>0</v>
      </c>
      <c r="BF18" s="468" t="s">
        <v>52</v>
      </c>
      <c r="BG18" s="117">
        <v>0</v>
      </c>
      <c r="BH18" s="115"/>
      <c r="BI18" s="114">
        <f t="shared" si="12"/>
        <v>1</v>
      </c>
      <c r="BJ18" s="468" t="s">
        <v>52</v>
      </c>
      <c r="BK18" s="115">
        <f t="shared" si="43"/>
        <v>1</v>
      </c>
      <c r="BL18" s="116" t="s">
        <v>53</v>
      </c>
      <c r="BM18" s="468">
        <f t="shared" si="13"/>
        <v>0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1</v>
      </c>
      <c r="CB18" s="244" t="s">
        <v>52</v>
      </c>
      <c r="CC18" s="245">
        <v>1</v>
      </c>
      <c r="CD18" s="246" t="s">
        <v>53</v>
      </c>
      <c r="CE18" s="244">
        <v>0</v>
      </c>
      <c r="CF18" s="245" t="s">
        <v>54</v>
      </c>
      <c r="CG18" s="116">
        <v>0</v>
      </c>
      <c r="CH18" s="468" t="s">
        <v>52</v>
      </c>
      <c r="CI18" s="117">
        <v>0</v>
      </c>
      <c r="CJ18" s="140">
        <v>0</v>
      </c>
      <c r="CK18" s="148">
        <f t="shared" si="44"/>
        <v>1</v>
      </c>
      <c r="CL18" s="148">
        <v>0</v>
      </c>
      <c r="CM18" s="148">
        <v>1</v>
      </c>
      <c r="CN18" s="148">
        <f t="shared" si="45"/>
        <v>1</v>
      </c>
      <c r="CO18" s="175">
        <v>0</v>
      </c>
      <c r="CP18" s="140">
        <v>1</v>
      </c>
      <c r="CQ18" s="175">
        <v>0</v>
      </c>
      <c r="CR18" s="148">
        <v>1</v>
      </c>
      <c r="CS18" s="148">
        <v>0</v>
      </c>
      <c r="CT18" s="140">
        <v>0</v>
      </c>
      <c r="CU18" s="140">
        <v>0</v>
      </c>
      <c r="CV18" s="148">
        <f t="shared" si="46"/>
        <v>5.75</v>
      </c>
      <c r="CW18" s="140"/>
      <c r="CX18" s="164">
        <f t="shared" si="47"/>
        <v>160.08109953916164</v>
      </c>
      <c r="CY18" s="147">
        <f t="shared" si="14"/>
        <v>0.66663909945075528</v>
      </c>
      <c r="CZ18" s="165">
        <f t="shared" si="15"/>
        <v>7.1442731434312706E-2</v>
      </c>
      <c r="DA18" s="164">
        <f t="shared" si="16"/>
        <v>42.640459061732031</v>
      </c>
      <c r="DB18" s="141"/>
      <c r="DC18" s="141"/>
      <c r="DD18" s="77">
        <f t="shared" si="48"/>
        <v>1</v>
      </c>
      <c r="DE18" s="37">
        <f t="shared" si="49"/>
        <v>0.66666666666666663</v>
      </c>
      <c r="DF18" s="37">
        <f t="shared" si="50"/>
        <v>1</v>
      </c>
      <c r="DG18" s="37">
        <f t="shared" si="51"/>
        <v>0.83333333333333337</v>
      </c>
      <c r="DH18" s="37">
        <f t="shared" si="17"/>
        <v>0</v>
      </c>
      <c r="DI18" s="37">
        <f t="shared" si="18"/>
        <v>6.25E-2</v>
      </c>
      <c r="DJ18" s="37">
        <f t="shared" si="19"/>
        <v>0</v>
      </c>
      <c r="DK18" s="37">
        <f t="shared" si="20"/>
        <v>0</v>
      </c>
      <c r="DL18" s="37">
        <f t="shared" si="21"/>
        <v>0</v>
      </c>
      <c r="DM18" s="37">
        <f t="shared" si="22"/>
        <v>2.5671567484080695E-2</v>
      </c>
      <c r="DN18" s="37">
        <f t="shared" si="52"/>
        <v>0</v>
      </c>
      <c r="DO18" s="37" t="str">
        <f t="shared" si="53"/>
        <v>0</v>
      </c>
      <c r="DP18" s="66">
        <f t="shared" si="54"/>
        <v>0</v>
      </c>
      <c r="DQ18" s="78">
        <f t="shared" si="55"/>
        <v>3.2653061224489797</v>
      </c>
      <c r="DR18" s="6"/>
      <c r="DS18" s="36"/>
      <c r="DT18" s="75">
        <f t="shared" si="56"/>
        <v>18.710612244897963</v>
      </c>
      <c r="DU18" s="18">
        <f t="shared" si="57"/>
        <v>1.8552243907664097</v>
      </c>
      <c r="DV18" s="13">
        <f t="shared" si="80"/>
        <v>1.5249999999999999</v>
      </c>
      <c r="DW18" s="14">
        <f t="shared" si="58"/>
        <v>0.56999999999999995</v>
      </c>
      <c r="DX18" s="14">
        <f t="shared" si="59"/>
        <v>0</v>
      </c>
      <c r="DY18" s="14">
        <f t="shared" si="60"/>
        <v>0.375</v>
      </c>
      <c r="DZ18" s="15">
        <f t="shared" si="23"/>
        <v>22.259833333333333</v>
      </c>
      <c r="EA18" s="14">
        <f t="shared" si="61"/>
        <v>0.92850473884392093</v>
      </c>
      <c r="EB18" s="14">
        <f t="shared" si="24"/>
        <v>9.0909090909090912E-2</v>
      </c>
      <c r="EC18" s="14">
        <f t="shared" si="25"/>
        <v>0.56497038917089681</v>
      </c>
      <c r="ED18" s="14">
        <f t="shared" si="62"/>
        <v>0</v>
      </c>
      <c r="EE18" s="19">
        <f t="shared" si="63"/>
        <v>0.90272727272727271</v>
      </c>
      <c r="EF18" s="67">
        <f t="shared" si="64"/>
        <v>2.5000000000000001E-2</v>
      </c>
      <c r="EG18" s="74">
        <f t="shared" si="65"/>
        <v>2.7829516634936824</v>
      </c>
      <c r="EH18" s="27">
        <f t="shared" si="66"/>
        <v>4.4549796225640765</v>
      </c>
      <c r="EI18" s="25">
        <f t="shared" si="67"/>
        <v>3.8125</v>
      </c>
      <c r="EJ18" s="25">
        <f t="shared" si="68"/>
        <v>0</v>
      </c>
      <c r="EK18" s="26">
        <f t="shared" si="26"/>
        <v>0</v>
      </c>
      <c r="EL18" s="29">
        <f t="shared" si="69"/>
        <v>0.35135135135135137</v>
      </c>
      <c r="EM18" s="30">
        <f t="shared" si="27"/>
        <v>0.1875</v>
      </c>
      <c r="EN18" s="30">
        <f t="shared" si="28"/>
        <v>0.1111111111111111</v>
      </c>
      <c r="EO18" s="31">
        <f t="shared" si="70"/>
        <v>0.64864864864864868</v>
      </c>
      <c r="EP18" s="31">
        <f t="shared" si="29"/>
        <v>1.2425844594594595</v>
      </c>
      <c r="EQ18" s="31">
        <f t="shared" si="71"/>
        <v>1.8912331081081082</v>
      </c>
      <c r="ER18" s="93">
        <f t="shared" si="30"/>
        <v>0.24275459181462491</v>
      </c>
      <c r="ES18" s="109">
        <f t="shared" si="31"/>
        <v>15.78801400270963</v>
      </c>
      <c r="ET18" s="32">
        <f t="shared" si="32"/>
        <v>1.9815272258618839</v>
      </c>
      <c r="EV18" s="277"/>
      <c r="EW18" s="278"/>
      <c r="EX18" s="37">
        <f>AC18</f>
        <v>0.75</v>
      </c>
      <c r="EY18" s="72">
        <f>AE18</f>
        <v>1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3"/>
        <v>12.25</v>
      </c>
      <c r="FG18" s="182">
        <f t="shared" si="33"/>
        <v>2</v>
      </c>
      <c r="FH18" s="183" t="s">
        <v>52</v>
      </c>
      <c r="FI18" s="184">
        <f t="shared" si="73"/>
        <v>3</v>
      </c>
      <c r="FJ18" s="193">
        <f t="shared" si="74"/>
        <v>0.66666666666666663</v>
      </c>
      <c r="FK18" s="185">
        <f t="shared" si="34"/>
        <v>1</v>
      </c>
      <c r="FL18" s="183" t="s">
        <v>52</v>
      </c>
      <c r="FM18" s="186">
        <f t="shared" si="35"/>
        <v>1</v>
      </c>
      <c r="FN18" s="193">
        <f t="shared" si="75"/>
        <v>1</v>
      </c>
      <c r="FO18" s="261">
        <f t="shared" si="76"/>
        <v>0</v>
      </c>
      <c r="FP18" s="183" t="s">
        <v>52</v>
      </c>
      <c r="FQ18" s="268">
        <f>EW18</f>
        <v>0</v>
      </c>
      <c r="FR18" s="196" t="str">
        <f t="shared" si="78"/>
        <v>0</v>
      </c>
      <c r="FS18" s="179">
        <f t="shared" si="36"/>
        <v>0</v>
      </c>
      <c r="FT18" s="179">
        <f t="shared" si="36"/>
        <v>1</v>
      </c>
      <c r="FU18" s="179">
        <f t="shared" si="37"/>
        <v>1</v>
      </c>
      <c r="FV18" s="187">
        <f t="shared" si="37"/>
        <v>0</v>
      </c>
      <c r="FW18" s="179">
        <f t="shared" si="37"/>
        <v>1</v>
      </c>
      <c r="FX18" s="179">
        <f t="shared" si="37"/>
        <v>0</v>
      </c>
      <c r="FY18" s="179">
        <f t="shared" si="37"/>
        <v>1</v>
      </c>
      <c r="FZ18" s="179">
        <f t="shared" si="37"/>
        <v>0</v>
      </c>
      <c r="GA18" s="179">
        <f t="shared" si="37"/>
        <v>0</v>
      </c>
      <c r="GB18" s="179">
        <f t="shared" si="37"/>
        <v>0</v>
      </c>
      <c r="GC18" s="187">
        <f t="shared" si="37"/>
        <v>5.75</v>
      </c>
      <c r="GD18" s="203">
        <f t="shared" si="79"/>
        <v>160.08109953916164</v>
      </c>
      <c r="GE18" s="179">
        <f t="shared" si="79"/>
        <v>0.66663909945075528</v>
      </c>
      <c r="GF18" s="179">
        <f t="shared" si="79"/>
        <v>7.1442731434312706E-2</v>
      </c>
      <c r="GG18" s="258">
        <f t="shared" si="79"/>
        <v>42.640459061732031</v>
      </c>
      <c r="GH18" s="179"/>
      <c r="GJ18" s="82"/>
      <c r="GK18" s="24"/>
      <c r="GL18" s="185">
        <f>(CQ18/CQ51)*(EY52-EX52)</f>
        <v>0</v>
      </c>
      <c r="GM18" s="185">
        <f>((E53/G53)*(1-(CJ53/(CJ53+CK52))))/((E53/G53)*(1-(CJ53/(CJ53+CK52)))+((1-(E53/G53)))*(CJ53/(CJ53+CK52)))</f>
        <v>0.94786729857819907</v>
      </c>
      <c r="GN18" s="24">
        <f>GK18+(GL18/10)+(GJ18*GM18*(1-(CJ53/(CJ53+CK52))))+(CK18*(1-GM18))</f>
        <v>5.2132701421800931E-2</v>
      </c>
      <c r="GO18" s="213">
        <f>GN18/(DD18*EG53)</f>
        <v>1.3383281626771922E-3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68"/>
      <c r="G19" s="115"/>
      <c r="H19" s="116"/>
      <c r="I19" s="468"/>
      <c r="J19" s="115"/>
      <c r="K19" s="116"/>
      <c r="L19" s="468"/>
      <c r="M19" s="115"/>
      <c r="N19" s="116"/>
      <c r="O19" s="468"/>
      <c r="P19" s="115"/>
      <c r="Q19" s="116"/>
      <c r="R19" s="468"/>
      <c r="S19" s="115"/>
      <c r="T19" s="116"/>
      <c r="U19" s="468"/>
      <c r="V19" s="115"/>
      <c r="W19" s="116"/>
      <c r="X19" s="468"/>
      <c r="Y19" s="115"/>
      <c r="Z19" s="116"/>
      <c r="AA19" s="468"/>
      <c r="AB19" s="115"/>
      <c r="AC19" s="116"/>
      <c r="AD19" s="468"/>
      <c r="AE19" s="117"/>
      <c r="AF19" s="469"/>
      <c r="AG19" s="114"/>
      <c r="AH19" s="468"/>
      <c r="AI19" s="115"/>
      <c r="AJ19" s="116"/>
      <c r="AK19" s="468"/>
      <c r="AL19" s="115"/>
      <c r="AM19" s="116"/>
      <c r="AN19" s="468"/>
      <c r="AO19" s="115"/>
      <c r="AP19" s="116"/>
      <c r="AQ19" s="468"/>
      <c r="AR19" s="115"/>
      <c r="AS19" s="116"/>
      <c r="AT19" s="468"/>
      <c r="AU19" s="115"/>
      <c r="AV19" s="116"/>
      <c r="AW19" s="468"/>
      <c r="AX19" s="115"/>
      <c r="AY19" s="116"/>
      <c r="AZ19" s="468"/>
      <c r="BA19" s="115"/>
      <c r="BB19" s="116"/>
      <c r="BC19" s="468"/>
      <c r="BD19" s="115"/>
      <c r="BE19" s="116"/>
      <c r="BF19" s="468"/>
      <c r="BG19" s="117"/>
      <c r="BH19" s="115"/>
      <c r="BI19" s="114"/>
      <c r="BJ19" s="468"/>
      <c r="BK19" s="115"/>
      <c r="BL19" s="116"/>
      <c r="BM19" s="468"/>
      <c r="BN19" s="115"/>
      <c r="BO19" s="116"/>
      <c r="BP19" s="468"/>
      <c r="BQ19" s="115"/>
      <c r="BR19" s="116"/>
      <c r="BS19" s="468"/>
      <c r="BT19" s="115"/>
      <c r="BU19" s="116"/>
      <c r="BV19" s="468"/>
      <c r="BW19" s="115"/>
      <c r="BX19" s="116"/>
      <c r="BY19" s="468"/>
      <c r="BZ19" s="115"/>
      <c r="CA19" s="116"/>
      <c r="CB19" s="468"/>
      <c r="CC19" s="115"/>
      <c r="CD19" s="116"/>
      <c r="CE19" s="468"/>
      <c r="CF19" s="115"/>
      <c r="CG19" s="116"/>
      <c r="CH19" s="468"/>
      <c r="CI19" s="117"/>
      <c r="CJ19" s="140">
        <v>2</v>
      </c>
      <c r="CK19" s="148">
        <v>1</v>
      </c>
      <c r="CL19" s="148"/>
      <c r="CM19" s="148"/>
      <c r="CN19" s="148">
        <f t="shared" si="45"/>
        <v>3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7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57"/>
        <v>0</v>
      </c>
      <c r="DV19" s="13" t="str">
        <f t="shared" si="80"/>
        <v>0</v>
      </c>
      <c r="DW19" s="14" t="str">
        <f t="shared" si="58"/>
        <v>0</v>
      </c>
      <c r="DX19" s="14">
        <f t="shared" si="59"/>
        <v>0</v>
      </c>
      <c r="DY19" s="14" t="str">
        <f t="shared" si="60"/>
        <v>0</v>
      </c>
      <c r="DZ19" s="15">
        <f t="shared" si="23"/>
        <v>22.259833333333333</v>
      </c>
      <c r="EA19" s="14">
        <f t="shared" si="61"/>
        <v>0</v>
      </c>
      <c r="EB19" s="14">
        <f>IFERROR(CJ40/(CJ40+(CN55-CJ55)),"0")</f>
        <v>1</v>
      </c>
      <c r="EC19" s="14">
        <f t="shared" si="25"/>
        <v>0.56497038917089681</v>
      </c>
      <c r="ED19" s="14">
        <f t="shared" si="62"/>
        <v>0</v>
      </c>
      <c r="EE19" s="19">
        <f>IFERROR((G19-E19)*(1-1.07*EB19),"0")</f>
        <v>0</v>
      </c>
      <c r="EF19" s="67" t="str">
        <f t="shared" si="64"/>
        <v>0</v>
      </c>
      <c r="EG19" s="74">
        <f>IFERROR(DU19+EE19+EF19+CT19,"0")</f>
        <v>0</v>
      </c>
      <c r="EH19" s="27">
        <f t="shared" si="66"/>
        <v>0</v>
      </c>
      <c r="EI19" s="25" t="str">
        <f t="shared" si="67"/>
        <v>0</v>
      </c>
      <c r="EJ19" s="25">
        <f t="shared" si="68"/>
        <v>0</v>
      </c>
      <c r="EK19" s="26">
        <f t="shared" si="26"/>
        <v>0</v>
      </c>
      <c r="EL19" s="29" t="str">
        <f t="shared" si="69"/>
        <v>0</v>
      </c>
      <c r="EM19" s="30">
        <f t="shared" si="27"/>
        <v>0</v>
      </c>
      <c r="EN19" s="30" t="str">
        <f t="shared" si="28"/>
        <v>0</v>
      </c>
      <c r="EO19" s="31">
        <f t="shared" si="70"/>
        <v>1</v>
      </c>
      <c r="EP19" s="31" t="str">
        <f t="shared" si="29"/>
        <v>0</v>
      </c>
      <c r="EQ19" s="31">
        <f t="shared" si="71"/>
        <v>1</v>
      </c>
      <c r="ER19" s="93" t="str">
        <f t="shared" si="30"/>
        <v>0</v>
      </c>
      <c r="ES19" s="109">
        <f t="shared" si="31"/>
        <v>0</v>
      </c>
      <c r="ET19" s="32" t="str">
        <f t="shared" si="32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6"/>
        <v>2</v>
      </c>
      <c r="FT19" s="140">
        <f t="shared" si="36"/>
        <v>1</v>
      </c>
      <c r="FU19" s="140">
        <f t="shared" si="37"/>
        <v>3</v>
      </c>
      <c r="FV19" s="175"/>
      <c r="FW19" s="140"/>
      <c r="FX19" s="140"/>
      <c r="FY19" s="140"/>
      <c r="FZ19" s="140"/>
      <c r="GA19" s="140">
        <f t="shared" si="37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72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69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45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57"/>
        <v>0</v>
      </c>
      <c r="DV20" s="13" t="str">
        <f t="shared" si="80"/>
        <v>0</v>
      </c>
      <c r="DW20" s="14" t="str">
        <f t="shared" si="58"/>
        <v>0</v>
      </c>
      <c r="DX20" s="14">
        <f t="shared" si="59"/>
        <v>0</v>
      </c>
      <c r="DY20" s="14" t="str">
        <f t="shared" si="60"/>
        <v>0</v>
      </c>
      <c r="DZ20" s="15">
        <f t="shared" si="23"/>
        <v>3.1036666666666668</v>
      </c>
      <c r="EA20" s="14">
        <f t="shared" si="61"/>
        <v>0</v>
      </c>
      <c r="EB20" s="14">
        <f t="shared" si="24"/>
        <v>1</v>
      </c>
      <c r="EC20" s="14">
        <f t="shared" si="25"/>
        <v>0.13377873563218393</v>
      </c>
      <c r="ED20" s="14">
        <f t="shared" si="62"/>
        <v>0</v>
      </c>
      <c r="EE20" s="19">
        <f>IFERROR((G20-E20)*(1-1.07*EB20),"0")</f>
        <v>0</v>
      </c>
      <c r="EF20" s="67" t="str">
        <f t="shared" si="64"/>
        <v>0</v>
      </c>
      <c r="EG20" s="74">
        <f>IFERROR(DU20+EE20+EF20+CT20,"0")</f>
        <v>0</v>
      </c>
      <c r="EH20" s="27">
        <f t="shared" si="66"/>
        <v>0</v>
      </c>
      <c r="EI20" s="25" t="str">
        <f t="shared" si="67"/>
        <v>0</v>
      </c>
      <c r="EJ20" s="25">
        <f t="shared" si="68"/>
        <v>0</v>
      </c>
      <c r="EK20" s="26">
        <f t="shared" si="26"/>
        <v>0</v>
      </c>
      <c r="EL20" s="29" t="str">
        <f t="shared" si="69"/>
        <v>0</v>
      </c>
      <c r="EM20" s="30">
        <f t="shared" si="27"/>
        <v>0</v>
      </c>
      <c r="EN20" s="30" t="str">
        <f t="shared" si="28"/>
        <v>0</v>
      </c>
      <c r="EO20" s="31">
        <f t="shared" si="70"/>
        <v>0</v>
      </c>
      <c r="EP20" s="31" t="str">
        <f t="shared" si="29"/>
        <v>0</v>
      </c>
      <c r="EQ20" s="31">
        <f t="shared" si="71"/>
        <v>0</v>
      </c>
      <c r="ER20" s="93" t="str">
        <f t="shared" si="30"/>
        <v>0</v>
      </c>
      <c r="ES20" s="109">
        <f t="shared" si="31"/>
        <v>0</v>
      </c>
      <c r="ET20" s="32" t="str">
        <f t="shared" si="32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6"/>
        <v>0</v>
      </c>
      <c r="FT20" s="140">
        <f t="shared" si="36"/>
        <v>0</v>
      </c>
      <c r="FU20" s="140">
        <f t="shared" ref="FU20:FZ23" si="82">CN20</f>
        <v>0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122.5</v>
      </c>
      <c r="E21" s="163">
        <f>IFERROR(SUM(E4:E20),"0")</f>
        <v>22</v>
      </c>
      <c r="F21" s="118" t="s">
        <v>52</v>
      </c>
      <c r="G21" s="145">
        <f>IFERROR(SUM(G4:G20),"0")</f>
        <v>49</v>
      </c>
      <c r="H21" s="143" t="s">
        <v>53</v>
      </c>
      <c r="I21" s="230">
        <f>IFERROR(SUM(I4:I20),"0")</f>
        <v>10</v>
      </c>
      <c r="J21" s="145" t="s">
        <v>54</v>
      </c>
      <c r="K21" s="143">
        <f>IFERROR(SUM(K4:K20),"0")</f>
        <v>11</v>
      </c>
      <c r="L21" s="118" t="s">
        <v>52</v>
      </c>
      <c r="M21" s="145">
        <f>IFERROR(SUM(M4:M20),"0")</f>
        <v>16</v>
      </c>
      <c r="N21" s="143" t="s">
        <v>53</v>
      </c>
      <c r="O21" s="118">
        <f>IFERROR(SUM(O4:O20),"0")</f>
        <v>5</v>
      </c>
      <c r="P21" s="145" t="s">
        <v>54</v>
      </c>
      <c r="Q21" s="111">
        <f>IFERROR(SUM(Q4:Q20),"0")</f>
        <v>6</v>
      </c>
      <c r="R21" s="118" t="s">
        <v>52</v>
      </c>
      <c r="S21" s="145">
        <f>IFERROR(SUM(S4:S20),"0")</f>
        <v>14</v>
      </c>
      <c r="T21" s="143" t="s">
        <v>53</v>
      </c>
      <c r="U21" s="118">
        <f>IFERROR(SUM(U4:U20),"0")</f>
        <v>1</v>
      </c>
      <c r="V21" s="145" t="s">
        <v>54</v>
      </c>
      <c r="W21" s="143">
        <f>IFERROR(SUM(W4:W18),"0")</f>
        <v>5</v>
      </c>
      <c r="X21" s="118" t="s">
        <v>52</v>
      </c>
      <c r="Y21" s="145">
        <f>IFERROR(SUM(Y4:Y18),"0")</f>
        <v>19</v>
      </c>
      <c r="Z21" s="143" t="s">
        <v>53</v>
      </c>
      <c r="AA21" s="118">
        <f>IFERROR(SUM(AA4:AA18),"0")</f>
        <v>4</v>
      </c>
      <c r="AB21" s="111" t="s">
        <v>54</v>
      </c>
      <c r="AC21" s="143">
        <f>IFERROR(SUM(AC4:AC18),"0")</f>
        <v>6.6999999999999993</v>
      </c>
      <c r="AD21" s="118" t="s">
        <v>52</v>
      </c>
      <c r="AE21" s="146">
        <f>IFERROR(SUM(AE4:AE18),"0")</f>
        <v>9</v>
      </c>
      <c r="AF21" s="129"/>
      <c r="AG21" s="144">
        <f>IFERROR(SUM(AG4:AG18),"0")</f>
        <v>19</v>
      </c>
      <c r="AH21" s="118" t="s">
        <v>52</v>
      </c>
      <c r="AI21" s="145">
        <f>IFERROR(SUM(AI4:AI18),"0")</f>
        <v>43</v>
      </c>
      <c r="AJ21" s="143" t="s">
        <v>53</v>
      </c>
      <c r="AK21" s="118">
        <f>IFERROR(SUM(AK4:AK18),"0")</f>
        <v>10</v>
      </c>
      <c r="AL21" s="145" t="s">
        <v>54</v>
      </c>
      <c r="AM21" s="143">
        <f>IFERROR(SUM(AM4:AM18),"0")</f>
        <v>9</v>
      </c>
      <c r="AN21" s="118" t="s">
        <v>52</v>
      </c>
      <c r="AO21" s="145">
        <f>IFERROR(SUM(AO4:AO18),"0")</f>
        <v>14</v>
      </c>
      <c r="AP21" s="143" t="s">
        <v>53</v>
      </c>
      <c r="AQ21" s="111">
        <f>IFERROR(SUM(AQ4:AQ18),"0")</f>
        <v>5</v>
      </c>
      <c r="AR21" s="111" t="s">
        <v>54</v>
      </c>
      <c r="AS21" s="143">
        <f>IFERROR(SUM(AS4:AS18),"0")</f>
        <v>6</v>
      </c>
      <c r="AT21" s="118" t="s">
        <v>52</v>
      </c>
      <c r="AU21" s="145">
        <f>IFERROR(SUM(AU4:AU18),"0")</f>
        <v>14</v>
      </c>
      <c r="AV21" s="143" t="s">
        <v>53</v>
      </c>
      <c r="AW21" s="111">
        <f>IFERROR(SUM(AW4:AW18),"0")</f>
        <v>1</v>
      </c>
      <c r="AX21" s="111" t="s">
        <v>54</v>
      </c>
      <c r="AY21" s="111">
        <f>IFERROR(SUM(AY4:AY18),"0")</f>
        <v>4</v>
      </c>
      <c r="AZ21" s="118" t="s">
        <v>52</v>
      </c>
      <c r="BA21" s="145">
        <f>IFERROR(SUM(BA4:BA18),"0")</f>
        <v>15</v>
      </c>
      <c r="BB21" s="143" t="s">
        <v>53</v>
      </c>
      <c r="BC21" s="118">
        <f>IFERROR(SUM(BC4:BC18),"0")</f>
        <v>4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3</v>
      </c>
      <c r="BJ21" s="118" t="s">
        <v>52</v>
      </c>
      <c r="BK21" s="145">
        <f>IFERROR(SUM(BK4:BK18),"0")</f>
        <v>6</v>
      </c>
      <c r="BL21" s="143" t="s">
        <v>53</v>
      </c>
      <c r="BM21" s="118">
        <f>IFERROR(SUM(BM4:BM18),"0")</f>
        <v>0</v>
      </c>
      <c r="BN21" s="145" t="s">
        <v>54</v>
      </c>
      <c r="BO21" s="143">
        <f>IFERROR(SUM(BO4:BO18),"0")</f>
        <v>2</v>
      </c>
      <c r="BP21" s="118" t="s">
        <v>52</v>
      </c>
      <c r="BQ21" s="145">
        <f>IFERROR(SUM(BQ4:BQ18),"0")</f>
        <v>2</v>
      </c>
      <c r="BR21" s="143" t="s">
        <v>53</v>
      </c>
      <c r="BS21" s="118">
        <f>IFERROR(SUM(BS4:BS18),"0")</f>
        <v>0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1</v>
      </c>
      <c r="CB21" s="118" t="s">
        <v>52</v>
      </c>
      <c r="CC21" s="145">
        <f>IFERROR(SUM(CC4:CC18),"0")</f>
        <v>4</v>
      </c>
      <c r="CD21" s="143" t="s">
        <v>53</v>
      </c>
      <c r="CE21" s="118">
        <f>IFERROR(SUM(CE4:CE18),"0")</f>
        <v>0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4</v>
      </c>
      <c r="CK21" s="129">
        <f>IFERROR(SUM(CK4:CK20),"0")</f>
        <v>23</v>
      </c>
      <c r="CL21" s="129">
        <f>IFERROR(SUM(CL4:CL20),"0")</f>
        <v>11</v>
      </c>
      <c r="CM21" s="129">
        <f t="shared" ref="CM21" si="85">IFERROR(SUM(CM4:CM20),"0")</f>
        <v>11</v>
      </c>
      <c r="CN21" s="129">
        <f t="shared" si="84"/>
        <v>27</v>
      </c>
      <c r="CO21" s="438">
        <f t="shared" si="84"/>
        <v>10</v>
      </c>
      <c r="CP21" s="11">
        <f t="shared" si="84"/>
        <v>17</v>
      </c>
      <c r="CQ21" s="356">
        <f t="shared" si="84"/>
        <v>9</v>
      </c>
      <c r="CR21" s="158">
        <f t="shared" si="84"/>
        <v>9</v>
      </c>
      <c r="CS21" s="129">
        <f t="shared" si="84"/>
        <v>5</v>
      </c>
      <c r="CT21" s="129">
        <f t="shared" si="84"/>
        <v>10</v>
      </c>
      <c r="CU21" s="129">
        <f t="shared" si="84"/>
        <v>1</v>
      </c>
      <c r="CV21" s="209">
        <f t="shared" si="84"/>
        <v>55.7</v>
      </c>
      <c r="CW21" s="11"/>
      <c r="CX21" s="150">
        <f>DG21</f>
        <v>0.5</v>
      </c>
      <c r="CY21" s="151">
        <f>DN21</f>
        <v>0.16996291196121846</v>
      </c>
      <c r="CZ21" s="151">
        <f>DH21</f>
        <v>0.14814814814814814</v>
      </c>
      <c r="DA21" s="156">
        <f>FA21</f>
        <v>0.18367346938775511</v>
      </c>
      <c r="DB21" s="149" t="s">
        <v>219</v>
      </c>
      <c r="DC21" s="123"/>
      <c r="DD21" s="34"/>
      <c r="DE21" s="34"/>
      <c r="DF21" s="35"/>
      <c r="DG21" s="37">
        <f>IFERROR(((E21-W21)+1.5*W21)/G21,"0")</f>
        <v>0.5</v>
      </c>
      <c r="DH21" s="37">
        <f>IFERROR(CJ21/(CJ21+CK21),"0")</f>
        <v>0.14814814814814814</v>
      </c>
      <c r="DI21" s="34"/>
      <c r="DJ21" s="35"/>
      <c r="DK21" s="35"/>
      <c r="DL21" s="35"/>
      <c r="DM21" s="35"/>
      <c r="DN21" s="37">
        <f>IFERROR(CT21/EG21,"0")</f>
        <v>0.16996291196121846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IFERROR(SUM(EG4:EG20),"0")</f>
        <v>58.836365443549028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6.6999999999999993</v>
      </c>
      <c r="EY21" s="6">
        <f>IFERROR(SUM(EY4:EY18),"0")</f>
        <v>9</v>
      </c>
      <c r="EZ21" s="6">
        <f>IFERROR(E21+(1-(1-(EX21/EY21))^2)*EY21*0.4,"0")</f>
        <v>25.364888888888888</v>
      </c>
      <c r="FA21" s="6">
        <f>IFERROR(EY21/G21,"0")</f>
        <v>0.18367346938775511</v>
      </c>
      <c r="FC21" s="234"/>
      <c r="FD21" s="235"/>
      <c r="FE21" s="236" t="s">
        <v>219</v>
      </c>
      <c r="FF21" s="237">
        <f t="shared" ref="FF21:FG23" si="86">D21</f>
        <v>122.5</v>
      </c>
      <c r="FG21" s="206">
        <f t="shared" si="86"/>
        <v>22</v>
      </c>
      <c r="FH21" s="238" t="s">
        <v>52</v>
      </c>
      <c r="FI21" s="210">
        <f t="shared" si="73"/>
        <v>49</v>
      </c>
      <c r="FJ21" s="239">
        <f t="shared" si="74"/>
        <v>0.44897959183673469</v>
      </c>
      <c r="FK21" s="234">
        <f>W21</f>
        <v>5</v>
      </c>
      <c r="FL21" s="238" t="s">
        <v>52</v>
      </c>
      <c r="FM21" s="240">
        <f>Y21</f>
        <v>19</v>
      </c>
      <c r="FN21" s="239">
        <f t="shared" si="75"/>
        <v>0.26315789473684209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8"/>
        <v>0</v>
      </c>
      <c r="FS21" s="235">
        <f t="shared" si="36"/>
        <v>4</v>
      </c>
      <c r="FT21" s="235">
        <f t="shared" si="36"/>
        <v>23</v>
      </c>
      <c r="FU21" s="235">
        <f t="shared" si="82"/>
        <v>27</v>
      </c>
      <c r="FV21" s="241">
        <f t="shared" si="82"/>
        <v>10</v>
      </c>
      <c r="FW21" s="235">
        <f t="shared" si="82"/>
        <v>17</v>
      </c>
      <c r="FX21" s="235">
        <f t="shared" si="82"/>
        <v>9</v>
      </c>
      <c r="FY21" s="235">
        <f t="shared" si="82"/>
        <v>9</v>
      </c>
      <c r="FZ21" s="235">
        <f t="shared" si="82"/>
        <v>5</v>
      </c>
      <c r="GA21" s="235">
        <f t="shared" si="83"/>
        <v>10</v>
      </c>
      <c r="GB21" s="235">
        <f t="shared" si="83"/>
        <v>1</v>
      </c>
      <c r="GC21" s="241">
        <f t="shared" si="83"/>
        <v>55.7</v>
      </c>
      <c r="GD21" s="204">
        <f t="shared" ref="GD21:GG23" si="87">CX21</f>
        <v>0.5</v>
      </c>
      <c r="GE21" s="205">
        <f t="shared" si="87"/>
        <v>0.16996291196121846</v>
      </c>
      <c r="GF21" s="205">
        <f t="shared" si="87"/>
        <v>0.14814814814814814</v>
      </c>
      <c r="GG21" s="152">
        <f t="shared" si="87"/>
        <v>0.18367346938775511</v>
      </c>
      <c r="GH21" s="242"/>
      <c r="GO21" s="472"/>
    </row>
    <row r="22" spans="1:197" x14ac:dyDescent="0.2">
      <c r="A22" s="139"/>
      <c r="B22" s="139"/>
      <c r="C22" s="432" t="s">
        <v>116</v>
      </c>
      <c r="D22" s="121">
        <f>IFERROR(SUMIFS(D4:D20,B4:B20,"R"),"0")</f>
        <v>61.250000000000007</v>
      </c>
      <c r="E22" s="162">
        <f>IFERROR(SUMIFS(E4:E20,B4:B20,"R"),"0")</f>
        <v>2</v>
      </c>
      <c r="F22" s="143" t="s">
        <v>52</v>
      </c>
      <c r="G22" s="145">
        <f>IFERROR(SUMIFS(G4:G20,B4:B20,"R"),"0")</f>
        <v>18</v>
      </c>
      <c r="H22" s="143" t="s">
        <v>53</v>
      </c>
      <c r="I22" s="118">
        <f>IFERROR(SUMIFS(I4:I20,B4:B20,"R"),"0")</f>
        <v>0</v>
      </c>
      <c r="J22" s="145" t="s">
        <v>54</v>
      </c>
      <c r="K22" s="143">
        <f>IFERROR(SUMIFS(K4:K20,B4:B20,"R"),"0")</f>
        <v>1</v>
      </c>
      <c r="L22" s="143" t="s">
        <v>52</v>
      </c>
      <c r="M22" s="145">
        <f>IFERROR(SUMIFS(M4:M20,B4:B20,"R"),"0")</f>
        <v>4</v>
      </c>
      <c r="N22" s="143" t="s">
        <v>53</v>
      </c>
      <c r="O22" s="118">
        <f>IFERROR(SUMIFS(O4:O20,B4:B20,"R"),"0")</f>
        <v>0</v>
      </c>
      <c r="P22" s="145" t="s">
        <v>54</v>
      </c>
      <c r="Q22" s="111">
        <f>IFERROR(SUMIFS(Q4:Q20,B4:B20,"R"),"0")</f>
        <v>1</v>
      </c>
      <c r="R22" s="143" t="s">
        <v>52</v>
      </c>
      <c r="S22" s="145">
        <f>IFERROR(SUMIFS(S4:S20,B4:B20,"R"),"0")</f>
        <v>6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0</v>
      </c>
      <c r="X22" s="143" t="s">
        <v>52</v>
      </c>
      <c r="Y22" s="145">
        <f>IFERROR(SUMIFS(Y4:Y20,B4:B20,"R"),"0")</f>
        <v>8</v>
      </c>
      <c r="Z22" s="143" t="s">
        <v>53</v>
      </c>
      <c r="AA22" s="118">
        <f>IFERROR(SUMIFS(AA4:AA20,B4:B20,"R"),"0")</f>
        <v>0</v>
      </c>
      <c r="AB22" s="111" t="s">
        <v>54</v>
      </c>
      <c r="AC22" s="143">
        <f>IFERROR(SUMIFS(AC4:AC20,B4:B20,"R"),"0")</f>
        <v>2.15</v>
      </c>
      <c r="AD22" s="143" t="s">
        <v>52</v>
      </c>
      <c r="AE22" s="146">
        <f>IFERROR(SUMIFS(AE4:AE20,B4:B20,"R"),"0")</f>
        <v>3</v>
      </c>
      <c r="AF22" s="143"/>
      <c r="AG22" s="144">
        <f>IFERROR(SUMIFS(AG4:AG20,B4:B20,"R"),"0")</f>
        <v>1</v>
      </c>
      <c r="AH22" s="143" t="s">
        <v>52</v>
      </c>
      <c r="AI22" s="145">
        <f>IFERROR(SUMIFS(AI4:AI20,B4:B20,"R"),"0")</f>
        <v>15</v>
      </c>
      <c r="AJ22" s="143" t="s">
        <v>53</v>
      </c>
      <c r="AK22" s="118">
        <f>IFERROR(SUMIFS(AK4:AK20,B4:B20,"R"),"0")</f>
        <v>0</v>
      </c>
      <c r="AL22" s="145" t="s">
        <v>54</v>
      </c>
      <c r="AM22" s="143">
        <f>IFERROR(SUMIFS(AM4:AM20,B4:B20,"R"),"0")</f>
        <v>0</v>
      </c>
      <c r="AN22" s="143" t="s">
        <v>52</v>
      </c>
      <c r="AO22" s="145">
        <f>IFERROR(SUMIFS(AO4:AO20,B4:B20,"R"),"0")</f>
        <v>3</v>
      </c>
      <c r="AP22" s="143" t="s">
        <v>53</v>
      </c>
      <c r="AQ22" s="111">
        <f>IFERROR(SUMIFS(AQ4:AQ20,B4:B20,"R"),"0")</f>
        <v>0</v>
      </c>
      <c r="AR22" s="111" t="s">
        <v>54</v>
      </c>
      <c r="AS22" s="143">
        <f>IFERROR(SUMIFS(AS4:AS20,B4:B20,"R"),"0")</f>
        <v>1</v>
      </c>
      <c r="AT22" s="143" t="s">
        <v>52</v>
      </c>
      <c r="AU22" s="145">
        <f>IFERROR(SUMIFS(AU4:AU20,B4:B20,"R"),"0")</f>
        <v>6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0</v>
      </c>
      <c r="AZ22" s="143" t="s">
        <v>52</v>
      </c>
      <c r="BA22" s="145">
        <f>IFERROR(SUMIFS(BA4:BA20,B4:B20,"R"),"0")</f>
        <v>6</v>
      </c>
      <c r="BB22" s="143" t="s">
        <v>53</v>
      </c>
      <c r="BC22" s="118">
        <f>IFERROR(SUMIFS(BC4:BC20,B4:B20,"R"),"0")</f>
        <v>0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1</v>
      </c>
      <c r="BJ22" s="143" t="s">
        <v>52</v>
      </c>
      <c r="BK22" s="145">
        <f>IFERROR(SUMIFS(BK4:BK20,B4:B20,"R"),"0")</f>
        <v>3</v>
      </c>
      <c r="BL22" s="143" t="s">
        <v>53</v>
      </c>
      <c r="BM22" s="118">
        <f>IFERROR(SUMIFS(BM4:BM20,B4:B20,"R"),"0")</f>
        <v>0</v>
      </c>
      <c r="BN22" s="145" t="s">
        <v>54</v>
      </c>
      <c r="BO22" s="143">
        <f>IFERROR(SUMIFS(BO4:BO20,B4:B20,"R"),"0")</f>
        <v>1</v>
      </c>
      <c r="BP22" s="143" t="s">
        <v>52</v>
      </c>
      <c r="BQ22" s="145">
        <f>IFERROR(SUMIFS(BQ4:BQ20,B4:B20,"R"),"0")</f>
        <v>1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0</v>
      </c>
      <c r="CB22" s="143" t="s">
        <v>52</v>
      </c>
      <c r="CC22" s="145">
        <f>IFERROR(SUMIFS(CC4:CC20,B4:B20,"R"),"0")</f>
        <v>2</v>
      </c>
      <c r="CD22" s="143" t="s">
        <v>53</v>
      </c>
      <c r="CE22" s="118">
        <f>IFERROR(SUMIFS(CE4:CE20,B4:B20,"R"),"0")</f>
        <v>0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3</v>
      </c>
      <c r="CK22" s="118">
        <f>IFERROR(SUMIFS(CK4:CK20,B4:B20,"R"),"0")</f>
        <v>10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13</v>
      </c>
      <c r="CO22" s="175">
        <f>IFERROR(SUMIFS(CO4:CO20,B4:B20,"R"),"0")</f>
        <v>0</v>
      </c>
      <c r="CP22" s="118">
        <f>IFERROR(SUMIFS(CP4:CP20,B4:B20,"R"),"0")</f>
        <v>6</v>
      </c>
      <c r="CQ22" s="175">
        <f>IFERROR(SUMIFS(CQ4:CQ20,B4:B20,"R"),"0")</f>
        <v>6</v>
      </c>
      <c r="CR22" s="118">
        <f>IFERROR(SUMIFS(CR4:CR20,B4:B20,"R"),"0")</f>
        <v>3</v>
      </c>
      <c r="CS22" s="118">
        <f>IFERROR(SUMIFS(CS4:CS20,B4:B20,"R"),"0")</f>
        <v>3</v>
      </c>
      <c r="CT22" s="118">
        <f>IFERROR(SUMIFS(CT4:CT20,B4:B20,"R"),"0")</f>
        <v>4</v>
      </c>
      <c r="CU22" s="118">
        <f>IFERROR(SUMIFS(CU4:CU20,B4:B20,"R"),"0")</f>
        <v>0</v>
      </c>
      <c r="CV22" s="119">
        <f>IFERROR(SUMIFS(CV4:CV20,B4:B20,"R"),"0")</f>
        <v>6.15</v>
      </c>
      <c r="CW22" s="118"/>
      <c r="CX22" s="134">
        <f>DG22</f>
        <v>0.1111111111111111</v>
      </c>
      <c r="CY22" s="121">
        <f>DN22</f>
        <v>0.20117926942612124</v>
      </c>
      <c r="CZ22" s="121">
        <f>DH22</f>
        <v>0.1875</v>
      </c>
      <c r="DA22" s="135">
        <f>FA22</f>
        <v>0.16666666666666666</v>
      </c>
      <c r="DB22" s="433" t="s">
        <v>231</v>
      </c>
      <c r="DC22" s="116"/>
      <c r="DD22" s="34"/>
      <c r="DE22" s="34"/>
      <c r="DF22" s="35"/>
      <c r="DG22" s="37">
        <f>IFERROR(((E22-W22)+1.5*W22)/G22,"0")</f>
        <v>0.1111111111111111</v>
      </c>
      <c r="DH22" s="37">
        <f>IFERROR(CJ22/(CJ22+CK23),"0")</f>
        <v>0.1875</v>
      </c>
      <c r="DI22" s="34"/>
      <c r="DJ22" s="35"/>
      <c r="DK22" s="35"/>
      <c r="DL22" s="35"/>
      <c r="DM22" s="35"/>
      <c r="DN22" s="37">
        <f>IFERROR(CT22/EG22,"0")</f>
        <v>0.20117926942612124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19.88276431965528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2.15</v>
      </c>
      <c r="EY22" s="6">
        <f>IFERROR(SUMIFS(EY4:EY20,B4:B20,"R"),"0")</f>
        <v>3</v>
      </c>
      <c r="EZ22" s="6">
        <f t="shared" ref="EZ22:EZ23" si="89">IFERROR(E22+(1-(1-(EX22/EY22))^2)*EY22*0.4,"0")</f>
        <v>3.1036666666666668</v>
      </c>
      <c r="FA22" s="6">
        <f>IFERROR(EY22/G22,"0")</f>
        <v>0.16666666666666666</v>
      </c>
      <c r="FC22" s="139"/>
      <c r="FD22" s="139"/>
      <c r="FE22" s="437" t="s">
        <v>232</v>
      </c>
      <c r="FF22" s="121">
        <f t="shared" si="86"/>
        <v>61.250000000000007</v>
      </c>
      <c r="FG22" s="144">
        <f t="shared" si="86"/>
        <v>2</v>
      </c>
      <c r="FH22" s="468" t="s">
        <v>52</v>
      </c>
      <c r="FI22" s="145">
        <f t="shared" si="73"/>
        <v>18</v>
      </c>
      <c r="FJ22" s="194">
        <f t="shared" si="74"/>
        <v>0.1111111111111111</v>
      </c>
      <c r="FK22" s="110">
        <f>W22</f>
        <v>0</v>
      </c>
      <c r="FL22" s="468" t="s">
        <v>52</v>
      </c>
      <c r="FM22" s="168">
        <f>Y22</f>
        <v>8</v>
      </c>
      <c r="FN22" s="194">
        <f t="shared" si="75"/>
        <v>0</v>
      </c>
      <c r="FO22" s="110">
        <f>IFERROR(SUMIFS(FO4:FO20,B4:B20,"R"),"0")</f>
        <v>0</v>
      </c>
      <c r="FP22" s="468" t="s">
        <v>52</v>
      </c>
      <c r="FQ22" s="131">
        <f>IFERROR(SUMIFS(FQ4:FQ20,B4:B20,"R"),"0")</f>
        <v>0</v>
      </c>
      <c r="FR22" s="197" t="str">
        <f t="shared" si="78"/>
        <v>0</v>
      </c>
      <c r="FS22" s="118">
        <f t="shared" si="36"/>
        <v>3</v>
      </c>
      <c r="FT22" s="118">
        <f t="shared" si="36"/>
        <v>10</v>
      </c>
      <c r="FU22" s="118">
        <f t="shared" si="82"/>
        <v>13</v>
      </c>
      <c r="FV22" s="175">
        <f t="shared" si="82"/>
        <v>0</v>
      </c>
      <c r="FW22" s="118">
        <f t="shared" si="82"/>
        <v>6</v>
      </c>
      <c r="FX22" s="118">
        <f t="shared" si="82"/>
        <v>6</v>
      </c>
      <c r="FY22" s="118">
        <f t="shared" si="82"/>
        <v>3</v>
      </c>
      <c r="FZ22" s="118">
        <f t="shared" si="82"/>
        <v>3</v>
      </c>
      <c r="GA22" s="118">
        <f t="shared" si="83"/>
        <v>4</v>
      </c>
      <c r="GB22" s="118">
        <f t="shared" si="83"/>
        <v>0</v>
      </c>
      <c r="GC22" s="175">
        <f t="shared" si="83"/>
        <v>6.15</v>
      </c>
      <c r="GD22" s="134">
        <f t="shared" si="87"/>
        <v>0.1111111111111111</v>
      </c>
      <c r="GE22" s="121">
        <f t="shared" si="87"/>
        <v>0.20117926942612124</v>
      </c>
      <c r="GF22" s="121">
        <f t="shared" si="87"/>
        <v>0.1875</v>
      </c>
      <c r="GG22" s="135">
        <f t="shared" si="87"/>
        <v>0.16666666666666666</v>
      </c>
      <c r="GH22" s="208"/>
      <c r="GO22" s="472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61.25</v>
      </c>
      <c r="E23" s="162">
        <f>IFERROR(SUMIFS(E4:E20,B4:B20,"W"),"0")</f>
        <v>20</v>
      </c>
      <c r="F23" s="143" t="s">
        <v>52</v>
      </c>
      <c r="G23" s="145">
        <f>IFERROR(SUMIFS(G4:G20,B4:B20,"W"),"0")</f>
        <v>31</v>
      </c>
      <c r="H23" s="143" t="s">
        <v>53</v>
      </c>
      <c r="I23" s="118">
        <f>IFERROR(SUMIFS(I4:I20,B4:B20,"W"),"0")</f>
        <v>10</v>
      </c>
      <c r="J23" s="145" t="s">
        <v>54</v>
      </c>
      <c r="K23" s="143">
        <f>IFERROR(SUMIFS(K4:K20,B4:B20,"W"),"0")</f>
        <v>10</v>
      </c>
      <c r="L23" s="143" t="s">
        <v>52</v>
      </c>
      <c r="M23" s="145">
        <f>IFERROR(SUMIFS(M4:M20,B4:B20,"W"),"0")</f>
        <v>12</v>
      </c>
      <c r="N23" s="143" t="s">
        <v>53</v>
      </c>
      <c r="O23" s="118">
        <f>IFERROR(SUMIFS(O4:O20,B4:B20,"W"),"0")</f>
        <v>5</v>
      </c>
      <c r="P23" s="145" t="s">
        <v>54</v>
      </c>
      <c r="Q23" s="111">
        <f>IFERROR(SUMIFS(Q4:Q20,B4:B20,"W"),"0")</f>
        <v>5</v>
      </c>
      <c r="R23" s="143" t="s">
        <v>52</v>
      </c>
      <c r="S23" s="145">
        <f>IFERROR(SUMIFS(S4:S20,B4:B20,"W"),"0")</f>
        <v>8</v>
      </c>
      <c r="T23" s="143" t="s">
        <v>53</v>
      </c>
      <c r="U23" s="118">
        <f>IFERROR(SUMIFS(U4:U20,B4:B20,"W"),"0")</f>
        <v>1</v>
      </c>
      <c r="V23" s="145" t="s">
        <v>54</v>
      </c>
      <c r="W23" s="143">
        <f>IFERROR(SUMIFS(W4:W20,B4:B20,"W"),"0")</f>
        <v>5</v>
      </c>
      <c r="X23" s="143" t="s">
        <v>52</v>
      </c>
      <c r="Y23" s="145">
        <f>IFERROR(SUMIFS(Y4:Y20,B4:B20,"W"),"0")</f>
        <v>11</v>
      </c>
      <c r="Z23" s="143" t="s">
        <v>53</v>
      </c>
      <c r="AA23" s="118">
        <f>IFERROR(SUMIFS(AA4:AA20,B4:B20,"W"),"0")</f>
        <v>4</v>
      </c>
      <c r="AB23" s="111" t="s">
        <v>54</v>
      </c>
      <c r="AC23" s="143">
        <f>IFERROR(SUMIFS(AC4:AC20,B4:B20,"W"),"0")</f>
        <v>4.5500000000000007</v>
      </c>
      <c r="AD23" s="143" t="s">
        <v>52</v>
      </c>
      <c r="AE23" s="146">
        <f>IFERROR(SUMIFS(AE4:AE20,B4:B20,"W"),"0")</f>
        <v>6</v>
      </c>
      <c r="AF23" s="143"/>
      <c r="AG23" s="144">
        <f>IFERROR(SUMIFS(AG4:AG20,B4:B20,"W"),"0")</f>
        <v>18</v>
      </c>
      <c r="AH23" s="143" t="s">
        <v>52</v>
      </c>
      <c r="AI23" s="145">
        <f>IFERROR(SUMIFS(AI4:AI20,B4:B20,"W"),"0")</f>
        <v>28</v>
      </c>
      <c r="AJ23" s="143" t="s">
        <v>53</v>
      </c>
      <c r="AK23" s="118">
        <f>IFERROR(SUMIFS(AK4:AK20,B4:B20,"W"),"0")</f>
        <v>10</v>
      </c>
      <c r="AL23" s="145" t="s">
        <v>54</v>
      </c>
      <c r="AM23" s="143">
        <f>IFERROR(SUMIFS(AM4:AM20,B4:B20,"W"),"0")</f>
        <v>9</v>
      </c>
      <c r="AN23" s="143" t="s">
        <v>52</v>
      </c>
      <c r="AO23" s="145">
        <f>IFERROR(SUMIFS(AO4:AO20,B4:B20,"W"),"0")</f>
        <v>11</v>
      </c>
      <c r="AP23" s="143" t="s">
        <v>53</v>
      </c>
      <c r="AQ23" s="111">
        <f>IFERROR(SUMIFS(AQ4:AQ20,B4:B20,"W"),"0")</f>
        <v>5</v>
      </c>
      <c r="AR23" s="111" t="s">
        <v>54</v>
      </c>
      <c r="AS23" s="143">
        <f>IFERROR(SUMIFS(AS4:AS20,B4:B20,"W"),"0")</f>
        <v>5</v>
      </c>
      <c r="AT23" s="143" t="s">
        <v>52</v>
      </c>
      <c r="AU23" s="145">
        <f>IFERROR(SUMIFS(AU4:AU20,B4:B20,"W"),"0")</f>
        <v>8</v>
      </c>
      <c r="AV23" s="143" t="s">
        <v>53</v>
      </c>
      <c r="AW23" s="111">
        <f>IFERROR(SUMIFS(AW4:AW20,B4:B20,"W"),"0")</f>
        <v>1</v>
      </c>
      <c r="AX23" s="111" t="s">
        <v>54</v>
      </c>
      <c r="AY23" s="111">
        <f>IFERROR(SUMIFS(AY4:AY20,B4:B20,"W"),"0")</f>
        <v>4</v>
      </c>
      <c r="AZ23" s="143" t="s">
        <v>52</v>
      </c>
      <c r="BA23" s="145">
        <f>IFERROR(SUMIFS(BA4:BA20,B4:B20,"W"),"0")</f>
        <v>9</v>
      </c>
      <c r="BB23" s="143" t="s">
        <v>53</v>
      </c>
      <c r="BC23" s="118">
        <f>IFERROR(SUMIFS(BC4:BC20,B4:B20,"W"),"0")</f>
        <v>4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2</v>
      </c>
      <c r="BJ23" s="143" t="s">
        <v>52</v>
      </c>
      <c r="BK23" s="145">
        <f>IFERROR(SUMIFS(BK4:BK20,B4:B20,"W"),"0")</f>
        <v>3</v>
      </c>
      <c r="BL23" s="143" t="s">
        <v>53</v>
      </c>
      <c r="BM23" s="118">
        <f>IFERROR(SUMIFS(BM4:BM20,B4:B20,"W"),"0")</f>
        <v>0</v>
      </c>
      <c r="BN23" s="145" t="s">
        <v>54</v>
      </c>
      <c r="BO23" s="143">
        <f>IFERROR(SUMIFS(BO4:BO20,B4:B20,"W"),"0")</f>
        <v>1</v>
      </c>
      <c r="BP23" s="143" t="s">
        <v>52</v>
      </c>
      <c r="BQ23" s="145">
        <f>IFERROR(SUMIFS(BQ4:BQ20,B4:B20,"W"),"0")</f>
        <v>1</v>
      </c>
      <c r="BR23" s="143" t="s">
        <v>53</v>
      </c>
      <c r="BS23" s="143">
        <f>IFERROR(SUMIFS(BS4:BS20,B4:B20,"W"),"0")</f>
        <v>0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1</v>
      </c>
      <c r="CB23" s="143" t="s">
        <v>52</v>
      </c>
      <c r="CC23" s="145">
        <f>IFERROR(SUMIFS(CC4:CC20,B4:B20,"W"),"0")</f>
        <v>2</v>
      </c>
      <c r="CD23" s="143" t="s">
        <v>53</v>
      </c>
      <c r="CE23" s="118">
        <f>IFERROR(SUMIFS(CE4:CE20,B4:B20,"W"),"0")</f>
        <v>0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1</v>
      </c>
      <c r="CK23" s="118">
        <f>IFERROR(SUMIFS(CK4:CK20,B4:B20,"W"),"0")</f>
        <v>13</v>
      </c>
      <c r="CL23" s="118">
        <f t="shared" ref="CL23:CM23" si="90">IFERROR(SUMIFS(CL4:CL20,C4:C20,"W"),"0")</f>
        <v>0</v>
      </c>
      <c r="CM23" s="118">
        <f t="shared" si="90"/>
        <v>0</v>
      </c>
      <c r="CN23" s="118">
        <f>IFERROR(SUMIFS(CN4:CN20,B4:B20,"W"),"0")</f>
        <v>14</v>
      </c>
      <c r="CO23" s="175">
        <f>IFERROR(SUMIFS(CO4:CO20,B4:B20,"W"),"0")</f>
        <v>10</v>
      </c>
      <c r="CP23" s="118">
        <f>IFERROR(SUMIFS(CP4:CP20,B4:B20,"W"),"0")</f>
        <v>11</v>
      </c>
      <c r="CQ23" s="175">
        <f>IFERROR(SUMIFS(CQ4:CQ20,B4:B20,"W"),"0")</f>
        <v>3</v>
      </c>
      <c r="CR23" s="118">
        <f>IFERROR(SUMIFS(CR4:CR20,B4:B20,"W"),"0")</f>
        <v>6</v>
      </c>
      <c r="CS23" s="119">
        <f>IFERROR(SUMIFS(CS4:CS20,B4:B20,"W"),"0")</f>
        <v>2</v>
      </c>
      <c r="CT23" s="118">
        <f>IFERROR(SUMIFS(CT4:CT20,B4:B20,"W"),"0")</f>
        <v>6</v>
      </c>
      <c r="CU23" s="118">
        <f>IFERROR(SUMIFS(CU4:CU20,B4:B20,"W"),"0")</f>
        <v>1</v>
      </c>
      <c r="CV23" s="119">
        <f>IFERROR(SUMIFS(CV4:CV20,B4:B20,"W"),"0")</f>
        <v>49.55</v>
      </c>
      <c r="CW23" s="118"/>
      <c r="CX23" s="136">
        <f>DG23</f>
        <v>0.72580645161290325</v>
      </c>
      <c r="CY23" s="137">
        <f>DN23</f>
        <v>0.15402940490448419</v>
      </c>
      <c r="CZ23" s="137">
        <f>DH23</f>
        <v>9.0909090909090912E-2</v>
      </c>
      <c r="DA23" s="138">
        <f>FA23</f>
        <v>0.19354838709677419</v>
      </c>
      <c r="DB23" s="232" t="s">
        <v>84</v>
      </c>
      <c r="DC23" s="116"/>
      <c r="DG23" s="37">
        <f>IFERROR(((E23-W23)+1.5*W23)/G23,"0")</f>
        <v>0.72580645161290325</v>
      </c>
      <c r="DH23" s="37">
        <f>IFERROR(CJ23/(CJ23+CK22),"0")</f>
        <v>9.0909090909090912E-2</v>
      </c>
      <c r="DN23" s="37">
        <f>IFERROR(CT23/EG23,"0")</f>
        <v>0.15402940490448419</v>
      </c>
      <c r="DS23" s="10"/>
      <c r="DT23" s="10"/>
      <c r="EF23" s="233" t="s">
        <v>89</v>
      </c>
      <c r="EG23" s="28">
        <f>IFERROR(SUMIFS(EG4:EG20,B4:B20,"W"),"0")</f>
        <v>38.953601123893748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4.5500000000000007</v>
      </c>
      <c r="EY23" s="6">
        <f>IFERROR(SUMIFS(EY4:EY20,B4:B20,"W"),"0")</f>
        <v>6</v>
      </c>
      <c r="EZ23" s="6">
        <f t="shared" si="89"/>
        <v>22.259833333333333</v>
      </c>
      <c r="FA23" s="6">
        <f>IFERROR(EY23/G23,"0")</f>
        <v>0.19354838709677419</v>
      </c>
      <c r="FC23" s="139"/>
      <c r="FD23" s="139"/>
      <c r="FE23" s="116" t="s">
        <v>89</v>
      </c>
      <c r="FF23" s="121">
        <f t="shared" si="86"/>
        <v>61.25</v>
      </c>
      <c r="FG23" s="169">
        <f t="shared" si="86"/>
        <v>20</v>
      </c>
      <c r="FH23" s="166" t="s">
        <v>52</v>
      </c>
      <c r="FI23" s="170">
        <f t="shared" si="73"/>
        <v>31</v>
      </c>
      <c r="FJ23" s="195">
        <f t="shared" si="74"/>
        <v>0.64516129032258063</v>
      </c>
      <c r="FK23" s="171">
        <f>W23</f>
        <v>5</v>
      </c>
      <c r="FL23" s="166" t="s">
        <v>52</v>
      </c>
      <c r="FM23" s="172">
        <f>Y23</f>
        <v>11</v>
      </c>
      <c r="FN23" s="195">
        <f t="shared" si="75"/>
        <v>0.45454545454545453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8"/>
        <v>0</v>
      </c>
      <c r="FS23" s="118">
        <f t="shared" si="36"/>
        <v>1</v>
      </c>
      <c r="FT23" s="118">
        <f t="shared" si="36"/>
        <v>13</v>
      </c>
      <c r="FU23" s="118">
        <f t="shared" si="82"/>
        <v>14</v>
      </c>
      <c r="FV23" s="175">
        <f t="shared" si="82"/>
        <v>10</v>
      </c>
      <c r="FW23" s="118">
        <f t="shared" si="82"/>
        <v>11</v>
      </c>
      <c r="FX23" s="118">
        <f t="shared" si="82"/>
        <v>3</v>
      </c>
      <c r="FY23" s="118">
        <f t="shared" si="82"/>
        <v>6</v>
      </c>
      <c r="FZ23" s="118">
        <f t="shared" si="82"/>
        <v>2</v>
      </c>
      <c r="GA23" s="118">
        <f t="shared" si="83"/>
        <v>6</v>
      </c>
      <c r="GB23" s="118">
        <f t="shared" si="83"/>
        <v>1</v>
      </c>
      <c r="GC23" s="175">
        <f t="shared" si="83"/>
        <v>49.55</v>
      </c>
      <c r="GD23" s="136">
        <f t="shared" si="87"/>
        <v>0.72580645161290325</v>
      </c>
      <c r="GE23" s="137">
        <f t="shared" si="87"/>
        <v>0.15402940490448419</v>
      </c>
      <c r="GF23" s="137">
        <f t="shared" si="87"/>
        <v>9.0909090909090912E-2</v>
      </c>
      <c r="GG23" s="138">
        <f t="shared" si="87"/>
        <v>0.19354838709677419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8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72"/>
      <c r="EY24" s="472"/>
      <c r="EZ24" s="472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61.250000000000007</v>
      </c>
      <c r="E25" s="86">
        <f>IFERROR(IF(B4="W",$E$23,$E$22),"0")</f>
        <v>2</v>
      </c>
      <c r="F25" s="33" t="s">
        <v>52</v>
      </c>
      <c r="G25" s="49">
        <f>IFERROR(IF(B4="W",$G$23,$G$22),"0")</f>
        <v>18</v>
      </c>
      <c r="H25" s="12" t="s">
        <v>53</v>
      </c>
      <c r="I25" s="33">
        <f>IFERROR(IF(B4="W",I$23,I$22),"0")</f>
        <v>0</v>
      </c>
      <c r="J25" s="49" t="s">
        <v>54</v>
      </c>
      <c r="K25" s="12">
        <f>IFERROR(IF(B4="W",K$23,K$22),"0")</f>
        <v>1</v>
      </c>
      <c r="L25" s="33" t="s">
        <v>52</v>
      </c>
      <c r="M25" s="49">
        <f>IFERROR(IF(B4="W",M$23,M$22),"0")</f>
        <v>4</v>
      </c>
      <c r="N25" s="12" t="s">
        <v>53</v>
      </c>
      <c r="O25" s="33">
        <f>IFERROR(IF(B4="W",O$23,O$22),"0")</f>
        <v>0</v>
      </c>
      <c r="P25" s="49" t="s">
        <v>54</v>
      </c>
      <c r="Q25" s="12">
        <f>IFERROR(IF(B4="W",Q$23,Q$22),"0")</f>
        <v>1</v>
      </c>
      <c r="R25" s="33" t="s">
        <v>52</v>
      </c>
      <c r="S25" s="49">
        <f>IFERROR(IF(B4="W",S$23,S$22),"0")</f>
        <v>6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0</v>
      </c>
      <c r="X25" s="33" t="s">
        <v>52</v>
      </c>
      <c r="Y25" s="49">
        <f>IFERROR(IF(B4="W",Y$23,Y$22),"0")</f>
        <v>8</v>
      </c>
      <c r="Z25" s="12" t="s">
        <v>53</v>
      </c>
      <c r="AA25" s="33">
        <f>IFERROR(IF(B4="W",AA$23,AA$22),"0")</f>
        <v>0</v>
      </c>
      <c r="AB25" s="49" t="s">
        <v>54</v>
      </c>
      <c r="AC25" s="12">
        <f>IFERROR(IF(B4="W",AC$23,AC$22),"0")</f>
        <v>2.15</v>
      </c>
      <c r="AD25" s="33" t="s">
        <v>52</v>
      </c>
      <c r="AE25" s="53">
        <f>IFERROR(IF(B4="W",AE$23,AE$22),"0")</f>
        <v>3</v>
      </c>
      <c r="AF25" s="12"/>
      <c r="AG25" s="43">
        <f>IFERROR(IF(B4="W",AG$23,AG$22),"0")</f>
        <v>1</v>
      </c>
      <c r="AH25" s="33" t="s">
        <v>52</v>
      </c>
      <c r="AI25" s="49">
        <f>IFERROR(IF(B4="W",AI$23,AI$22),"0")</f>
        <v>15</v>
      </c>
      <c r="AJ25" s="12" t="s">
        <v>53</v>
      </c>
      <c r="AK25" s="33">
        <f>IFERROR(IF(B4="W",AK$23,AK$22),"0")</f>
        <v>0</v>
      </c>
      <c r="AL25" s="49" t="s">
        <v>54</v>
      </c>
      <c r="AM25" s="12">
        <f>IFERROR(IF(B4="W",AM$23,AM$22),"0")</f>
        <v>0</v>
      </c>
      <c r="AN25" s="33" t="s">
        <v>52</v>
      </c>
      <c r="AO25" s="49">
        <f>IFERROR(IF(B4="W",AO$23,AO$22),"0")</f>
        <v>3</v>
      </c>
      <c r="AP25" s="12" t="s">
        <v>53</v>
      </c>
      <c r="AQ25" s="33">
        <f>IFERROR(IF(B4="W",AQ$23,AQ$22),"0")</f>
        <v>0</v>
      </c>
      <c r="AR25" s="49" t="s">
        <v>54</v>
      </c>
      <c r="AS25" s="12">
        <f>IFERROR(IF(B4="W",AS$23,AS$22),"0")</f>
        <v>1</v>
      </c>
      <c r="AT25" s="33" t="s">
        <v>52</v>
      </c>
      <c r="AU25" s="49">
        <f>IFERROR(IF(B4="W",AU$23,AU$22),"0")</f>
        <v>6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0</v>
      </c>
      <c r="AZ25" s="33" t="s">
        <v>52</v>
      </c>
      <c r="BA25" s="49">
        <f>IFERROR(IF(B4="W",BA$23,BA$22),"0")</f>
        <v>6</v>
      </c>
      <c r="BB25" s="12" t="s">
        <v>53</v>
      </c>
      <c r="BC25" s="33">
        <f>IFERROR(IF(B4="W",BC$23,BC$22),"0")</f>
        <v>0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1</v>
      </c>
      <c r="BJ25" s="33" t="s">
        <v>52</v>
      </c>
      <c r="BK25" s="49">
        <f>IFERROR(IF($B$4="W",BK23,BK22),"0")</f>
        <v>3</v>
      </c>
      <c r="BL25" s="12" t="s">
        <v>53</v>
      </c>
      <c r="BM25" s="33">
        <f>IFERROR(IF($B$4="W",BM23,BM22),"0")</f>
        <v>0</v>
      </c>
      <c r="BN25" s="49" t="s">
        <v>54</v>
      </c>
      <c r="BO25" s="12">
        <f>IFERROR(IF($B$4="W",BO23,BO22),"0")</f>
        <v>1</v>
      </c>
      <c r="BP25" s="33" t="s">
        <v>52</v>
      </c>
      <c r="BQ25" s="49">
        <f>IFERROR(IF($B$4="W",BQ23,BQ22),"0")</f>
        <v>1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0</v>
      </c>
      <c r="CB25" s="33" t="s">
        <v>52</v>
      </c>
      <c r="CC25" s="49">
        <f>IFERROR(IF($B$4="W",CC23,CC22),"0")</f>
        <v>2</v>
      </c>
      <c r="CD25" s="12" t="s">
        <v>53</v>
      </c>
      <c r="CE25" s="33">
        <f>IFERROR(IF($B$4="W",CE23,CE22),"0")</f>
        <v>0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3</v>
      </c>
      <c r="CK25" s="33">
        <f>IFERROR(IF($B$4="W",CK23,CK22),"0")</f>
        <v>10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13</v>
      </c>
      <c r="CO25" s="33">
        <f t="shared" si="91"/>
        <v>0</v>
      </c>
      <c r="CP25" s="33">
        <f t="shared" si="91"/>
        <v>6</v>
      </c>
      <c r="CQ25" s="33">
        <f t="shared" si="91"/>
        <v>6</v>
      </c>
      <c r="CR25" s="33">
        <f t="shared" si="91"/>
        <v>3</v>
      </c>
      <c r="CS25" s="33">
        <f t="shared" si="91"/>
        <v>3</v>
      </c>
      <c r="CT25" s="33">
        <f t="shared" si="91"/>
        <v>4</v>
      </c>
      <c r="CU25" s="33">
        <f t="shared" si="91"/>
        <v>0</v>
      </c>
      <c r="CV25" s="58">
        <f t="shared" si="91"/>
        <v>6.15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19.88276431965528</v>
      </c>
      <c r="EW25" s="12" t="s">
        <v>73</v>
      </c>
      <c r="EX25" s="6">
        <f t="shared" ref="EX25:EX39" si="94">IFERROR(IF(B4="W",$EX$23,$EX$22),"0")</f>
        <v>2.15</v>
      </c>
      <c r="EY25" s="6">
        <f t="shared" ref="EY25:EY39" si="95">IFERROR(IF(B4="W",$EY$23,$EY$22),"0")</f>
        <v>3</v>
      </c>
      <c r="EZ25" s="6">
        <f>IFERROR(IF(B4="W",$EZ$23,$EZ$22),"0")</f>
        <v>3.1036666666666668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61.25</v>
      </c>
      <c r="E26" s="86">
        <f t="shared" ref="E26:E39" si="96">IFERROR(IF(B5="W",$E$23,$E$22),"0")</f>
        <v>20</v>
      </c>
      <c r="F26" s="33" t="s">
        <v>52</v>
      </c>
      <c r="G26" s="49">
        <f t="shared" ref="G26:G39" si="97">IFERROR(IF(B5="W",$G$23,$G$22),"0")</f>
        <v>31</v>
      </c>
      <c r="H26" s="12" t="s">
        <v>53</v>
      </c>
      <c r="I26" s="33">
        <f t="shared" ref="I26:I39" si="98">IFERROR(IF(B5="W",I$23,I$22),"0")</f>
        <v>10</v>
      </c>
      <c r="J26" s="49" t="s">
        <v>54</v>
      </c>
      <c r="K26" s="12">
        <f t="shared" ref="K26:K39" si="99">IFERROR(IF(B5="W",K$23,K$22),"0")</f>
        <v>10</v>
      </c>
      <c r="L26" s="33" t="s">
        <v>52</v>
      </c>
      <c r="M26" s="49">
        <f t="shared" ref="M26:M39" si="100">IFERROR(IF(B5="W",M$23,M$22),"0")</f>
        <v>12</v>
      </c>
      <c r="N26" s="12" t="s">
        <v>53</v>
      </c>
      <c r="O26" s="33">
        <f t="shared" ref="O26:O39" si="101">IFERROR(IF(B5="W",O$23,O$22),"0")</f>
        <v>5</v>
      </c>
      <c r="P26" s="49" t="s">
        <v>54</v>
      </c>
      <c r="Q26" s="12">
        <f t="shared" ref="Q26:Q39" si="102">IFERROR(IF(B5="W",Q$23,Q$22),"0")</f>
        <v>5</v>
      </c>
      <c r="R26" s="33" t="s">
        <v>52</v>
      </c>
      <c r="S26" s="49">
        <f t="shared" ref="S26:S39" si="103">IFERROR(IF(B5="W",S$23,S$22),"0")</f>
        <v>8</v>
      </c>
      <c r="T26" s="12" t="s">
        <v>53</v>
      </c>
      <c r="U26" s="33">
        <f t="shared" ref="U26:U39" si="104">IFERROR(IF(B5="W",U$23,U$22),"0")</f>
        <v>1</v>
      </c>
      <c r="V26" s="49" t="s">
        <v>54</v>
      </c>
      <c r="W26" s="12">
        <f t="shared" ref="W26:W39" si="105">IFERROR(IF(B5="W",W$23,W$22),"0")</f>
        <v>5</v>
      </c>
      <c r="X26" s="33" t="s">
        <v>52</v>
      </c>
      <c r="Y26" s="49">
        <f t="shared" ref="Y26:Y39" si="106">IFERROR(IF(B5="W",Y$23,Y$22),"0")</f>
        <v>11</v>
      </c>
      <c r="Z26" s="12" t="s">
        <v>53</v>
      </c>
      <c r="AA26" s="33">
        <f t="shared" ref="AA26:AA39" si="107">IFERROR(IF(B5="W",AA$23,AA$22),"0")</f>
        <v>4</v>
      </c>
      <c r="AB26" s="49" t="s">
        <v>54</v>
      </c>
      <c r="AC26" s="12">
        <f t="shared" ref="AC26:AC39" si="108">IFERROR(IF(B5="W",AC$23,AC$22),"0")</f>
        <v>4.5500000000000007</v>
      </c>
      <c r="AD26" s="33" t="s">
        <v>52</v>
      </c>
      <c r="AE26" s="53">
        <f t="shared" ref="AE26:AE39" si="109">IFERROR(IF(B5="W",AE$23,AE$22),"0")</f>
        <v>6</v>
      </c>
      <c r="AF26" s="12"/>
      <c r="AG26" s="43">
        <f t="shared" ref="AG26:AG39" si="110">IFERROR(IF(B5="W",AG$23,AG$22),"0")</f>
        <v>18</v>
      </c>
      <c r="AH26" s="33" t="s">
        <v>52</v>
      </c>
      <c r="AI26" s="49">
        <f t="shared" ref="AI26:AI39" si="111">IFERROR(IF(B5="W",AI$23,AI$22),"0")</f>
        <v>28</v>
      </c>
      <c r="AJ26" s="12" t="s">
        <v>53</v>
      </c>
      <c r="AK26" s="33">
        <f t="shared" ref="AK26:AK39" si="112">IFERROR(IF(B5="W",AK$23,AK$22),"0")</f>
        <v>10</v>
      </c>
      <c r="AL26" s="49" t="s">
        <v>54</v>
      </c>
      <c r="AM26" s="12">
        <f t="shared" ref="AM26:AM39" si="113">IFERROR(IF(B5="W",AM$23,AM$22),"0")</f>
        <v>9</v>
      </c>
      <c r="AN26" s="33" t="s">
        <v>52</v>
      </c>
      <c r="AO26" s="49">
        <f t="shared" ref="AO26:AO39" si="114">IFERROR(IF(B5="W",AO$23,AO$22),"0")</f>
        <v>11</v>
      </c>
      <c r="AP26" s="12" t="s">
        <v>53</v>
      </c>
      <c r="AQ26" s="33">
        <f t="shared" ref="AQ26:AQ39" si="115">IFERROR(IF(B5="W",AQ$23,AQ$22),"0")</f>
        <v>5</v>
      </c>
      <c r="AR26" s="49" t="s">
        <v>54</v>
      </c>
      <c r="AS26" s="12">
        <f t="shared" ref="AS26:AS39" si="116">IFERROR(IF(B5="W",AS$23,AS$22),"0")</f>
        <v>5</v>
      </c>
      <c r="AT26" s="33" t="s">
        <v>52</v>
      </c>
      <c r="AU26" s="49">
        <f t="shared" ref="AU26:AU39" si="117">IFERROR(IF(B5="W",AU$23,AU$22),"0")</f>
        <v>8</v>
      </c>
      <c r="AV26" s="12" t="s">
        <v>53</v>
      </c>
      <c r="AW26" s="33">
        <f t="shared" ref="AW26:AW39" si="118">IFERROR(IF(B5="W",AW$23,AW$22),"0")</f>
        <v>1</v>
      </c>
      <c r="AX26" s="49" t="s">
        <v>54</v>
      </c>
      <c r="AY26" s="12">
        <f t="shared" ref="AY26:AY39" si="119">IFERROR(IF(B5="W",AY$23,AY$22),"0")</f>
        <v>4</v>
      </c>
      <c r="AZ26" s="33" t="s">
        <v>52</v>
      </c>
      <c r="BA26" s="49">
        <f t="shared" ref="BA26:BA39" si="120">IFERROR(IF(B5="W",BA$23,BA$22),"0")</f>
        <v>9</v>
      </c>
      <c r="BB26" s="12" t="s">
        <v>53</v>
      </c>
      <c r="BC26" s="33">
        <f t="shared" ref="BC26:BC39" si="121">IFERROR(IF(B5="W",BC$23,BC$22),"0")</f>
        <v>4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2</v>
      </c>
      <c r="BJ26" s="33" t="s">
        <v>52</v>
      </c>
      <c r="BK26" s="49">
        <f>IFERROR(IF($B$5="W",BK23,BK22),"0")</f>
        <v>3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1</v>
      </c>
      <c r="BP26" s="33" t="s">
        <v>52</v>
      </c>
      <c r="BQ26" s="49">
        <f>IFERROR(IF($B$5="W",BQ23,BQ22),"0")</f>
        <v>1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1</v>
      </c>
      <c r="CB26" s="33" t="s">
        <v>52</v>
      </c>
      <c r="CC26" s="49">
        <f>IFERROR(IF($B$5="W",CC23,CC22),"0")</f>
        <v>2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1</v>
      </c>
      <c r="CK26" s="33">
        <f t="shared" si="124"/>
        <v>13</v>
      </c>
      <c r="CL26" s="33">
        <f t="shared" si="124"/>
        <v>0</v>
      </c>
      <c r="CM26" s="33">
        <f t="shared" si="124"/>
        <v>0</v>
      </c>
      <c r="CN26" s="33">
        <f t="shared" si="124"/>
        <v>14</v>
      </c>
      <c r="CO26" s="33">
        <f t="shared" si="124"/>
        <v>10</v>
      </c>
      <c r="CP26" s="33">
        <f t="shared" si="124"/>
        <v>11</v>
      </c>
      <c r="CQ26" s="33">
        <f t="shared" si="124"/>
        <v>3</v>
      </c>
      <c r="CR26" s="33">
        <f t="shared" si="124"/>
        <v>6</v>
      </c>
      <c r="CS26" s="33">
        <f t="shared" si="124"/>
        <v>2</v>
      </c>
      <c r="CT26" s="33">
        <f t="shared" si="124"/>
        <v>6</v>
      </c>
      <c r="CU26" s="33">
        <f t="shared" si="124"/>
        <v>1</v>
      </c>
      <c r="CV26" s="58">
        <f t="shared" si="124"/>
        <v>49.55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38.953601123893748</v>
      </c>
      <c r="EW26" s="228" t="s">
        <v>74</v>
      </c>
      <c r="EX26" s="6">
        <f t="shared" si="94"/>
        <v>4.5500000000000007</v>
      </c>
      <c r="EY26" s="6">
        <f t="shared" si="95"/>
        <v>6</v>
      </c>
      <c r="EZ26" s="6">
        <f t="shared" ref="EZ26:EZ39" si="125">IFERROR(IF(B5="W",$EZ$23,$EZ$22),"0")</f>
        <v>22.259833333333333</v>
      </c>
    </row>
    <row r="27" spans="1:197" x14ac:dyDescent="0.2">
      <c r="C27" s="228" t="s">
        <v>75</v>
      </c>
      <c r="D27" s="28">
        <f>IFERROR(IF(B6="W",D23,D22),"0")</f>
        <v>61.25</v>
      </c>
      <c r="E27" s="86">
        <f t="shared" si="96"/>
        <v>20</v>
      </c>
      <c r="F27" s="33" t="s">
        <v>52</v>
      </c>
      <c r="G27" s="49">
        <f t="shared" si="97"/>
        <v>31</v>
      </c>
      <c r="H27" s="12" t="s">
        <v>53</v>
      </c>
      <c r="I27" s="33">
        <f t="shared" si="98"/>
        <v>10</v>
      </c>
      <c r="J27" s="49" t="s">
        <v>54</v>
      </c>
      <c r="K27" s="12">
        <f t="shared" si="99"/>
        <v>10</v>
      </c>
      <c r="L27" s="33" t="s">
        <v>52</v>
      </c>
      <c r="M27" s="49">
        <f t="shared" si="100"/>
        <v>12</v>
      </c>
      <c r="N27" s="12" t="s">
        <v>53</v>
      </c>
      <c r="O27" s="33">
        <f t="shared" si="101"/>
        <v>5</v>
      </c>
      <c r="P27" s="49" t="s">
        <v>54</v>
      </c>
      <c r="Q27" s="12">
        <f t="shared" si="102"/>
        <v>5</v>
      </c>
      <c r="R27" s="33" t="s">
        <v>52</v>
      </c>
      <c r="S27" s="49">
        <f t="shared" si="103"/>
        <v>8</v>
      </c>
      <c r="T27" s="12" t="s">
        <v>53</v>
      </c>
      <c r="U27" s="33">
        <f t="shared" si="104"/>
        <v>1</v>
      </c>
      <c r="V27" s="49" t="s">
        <v>54</v>
      </c>
      <c r="W27" s="12">
        <f t="shared" si="105"/>
        <v>5</v>
      </c>
      <c r="X27" s="33" t="s">
        <v>52</v>
      </c>
      <c r="Y27" s="49">
        <f t="shared" si="106"/>
        <v>11</v>
      </c>
      <c r="Z27" s="12" t="s">
        <v>53</v>
      </c>
      <c r="AA27" s="33">
        <f t="shared" si="107"/>
        <v>4</v>
      </c>
      <c r="AB27" s="49" t="s">
        <v>54</v>
      </c>
      <c r="AC27" s="12">
        <f t="shared" si="108"/>
        <v>4.5500000000000007</v>
      </c>
      <c r="AD27" s="33" t="s">
        <v>52</v>
      </c>
      <c r="AE27" s="53">
        <f t="shared" si="109"/>
        <v>6</v>
      </c>
      <c r="AF27" s="12"/>
      <c r="AG27" s="43">
        <f t="shared" si="110"/>
        <v>18</v>
      </c>
      <c r="AH27" s="33" t="s">
        <v>52</v>
      </c>
      <c r="AI27" s="49">
        <f t="shared" si="111"/>
        <v>28</v>
      </c>
      <c r="AJ27" s="12" t="s">
        <v>53</v>
      </c>
      <c r="AK27" s="33">
        <f t="shared" si="112"/>
        <v>10</v>
      </c>
      <c r="AL27" s="49" t="s">
        <v>54</v>
      </c>
      <c r="AM27" s="12">
        <f t="shared" si="113"/>
        <v>9</v>
      </c>
      <c r="AN27" s="33" t="s">
        <v>52</v>
      </c>
      <c r="AO27" s="49">
        <f t="shared" si="114"/>
        <v>11</v>
      </c>
      <c r="AP27" s="12" t="s">
        <v>53</v>
      </c>
      <c r="AQ27" s="33">
        <f t="shared" si="115"/>
        <v>5</v>
      </c>
      <c r="AR27" s="49" t="s">
        <v>54</v>
      </c>
      <c r="AS27" s="12">
        <f t="shared" si="116"/>
        <v>5</v>
      </c>
      <c r="AT27" s="33" t="s">
        <v>52</v>
      </c>
      <c r="AU27" s="49">
        <f t="shared" si="117"/>
        <v>8</v>
      </c>
      <c r="AV27" s="12" t="s">
        <v>53</v>
      </c>
      <c r="AW27" s="33">
        <f t="shared" si="118"/>
        <v>1</v>
      </c>
      <c r="AX27" s="49" t="s">
        <v>54</v>
      </c>
      <c r="AY27" s="12">
        <f t="shared" si="119"/>
        <v>4</v>
      </c>
      <c r="AZ27" s="33" t="s">
        <v>52</v>
      </c>
      <c r="BA27" s="49">
        <f t="shared" si="120"/>
        <v>9</v>
      </c>
      <c r="BB27" s="12" t="s">
        <v>53</v>
      </c>
      <c r="BC27" s="33">
        <f t="shared" si="121"/>
        <v>4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2</v>
      </c>
      <c r="BJ27" s="33" t="s">
        <v>52</v>
      </c>
      <c r="BK27" s="49">
        <f>IFERROR(IF($B$6="W",BK23,BK22),"0")</f>
        <v>3</v>
      </c>
      <c r="BL27" s="12" t="s">
        <v>53</v>
      </c>
      <c r="BM27" s="33">
        <f>IFERROR(IF($B$6="W",BM23,BM22),"0")</f>
        <v>0</v>
      </c>
      <c r="BN27" s="49" t="s">
        <v>54</v>
      </c>
      <c r="BO27" s="12">
        <f>IFERROR(IF($B$6="W",BO23,BO22),"0")</f>
        <v>1</v>
      </c>
      <c r="BP27" s="33" t="s">
        <v>52</v>
      </c>
      <c r="BQ27" s="49">
        <f>IFERROR(IF($B$6="W",BQ23,BQ22),"0")</f>
        <v>1</v>
      </c>
      <c r="BR27" s="12" t="s">
        <v>53</v>
      </c>
      <c r="BS27" s="33">
        <f>IFERROR(IF($B$6="W",BS23,BS22),"0")</f>
        <v>0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1</v>
      </c>
      <c r="CB27" s="33" t="s">
        <v>52</v>
      </c>
      <c r="CC27" s="49">
        <f>IFERROR(IF($B$6="W",CC23,CC22),"0")</f>
        <v>2</v>
      </c>
      <c r="CD27" s="12" t="s">
        <v>53</v>
      </c>
      <c r="CE27" s="33">
        <f>IFERROR(IF($B$6="W",CE23,CE22),"0")</f>
        <v>0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1</v>
      </c>
      <c r="CK27" s="33">
        <f t="shared" si="126"/>
        <v>13</v>
      </c>
      <c r="CL27" s="33">
        <f t="shared" si="126"/>
        <v>0</v>
      </c>
      <c r="CM27" s="33">
        <f t="shared" si="126"/>
        <v>0</v>
      </c>
      <c r="CN27" s="33">
        <f t="shared" si="126"/>
        <v>14</v>
      </c>
      <c r="CO27" s="33">
        <f t="shared" si="126"/>
        <v>10</v>
      </c>
      <c r="CP27" s="33">
        <f t="shared" si="126"/>
        <v>11</v>
      </c>
      <c r="CQ27" s="33">
        <f t="shared" si="126"/>
        <v>3</v>
      </c>
      <c r="CR27" s="33">
        <f t="shared" si="126"/>
        <v>6</v>
      </c>
      <c r="CS27" s="33">
        <f t="shared" si="126"/>
        <v>2</v>
      </c>
      <c r="CT27" s="33">
        <f t="shared" si="126"/>
        <v>6</v>
      </c>
      <c r="CU27" s="33">
        <f t="shared" si="126"/>
        <v>1</v>
      </c>
      <c r="CV27" s="58">
        <f t="shared" si="126"/>
        <v>49.55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38.953601123893748</v>
      </c>
      <c r="EW27" s="228" t="s">
        <v>75</v>
      </c>
      <c r="EX27" s="6">
        <f t="shared" si="94"/>
        <v>4.5500000000000007</v>
      </c>
      <c r="EY27" s="6">
        <f t="shared" si="95"/>
        <v>6</v>
      </c>
      <c r="EZ27" s="6">
        <f t="shared" si="125"/>
        <v>22.259833333333333</v>
      </c>
    </row>
    <row r="28" spans="1:197" ht="17" thickBot="1" x14ac:dyDescent="0.25">
      <c r="C28" s="228" t="s">
        <v>76</v>
      </c>
      <c r="D28" s="28">
        <f>IFERROR(IF(B7="W",D23,D22),"0")</f>
        <v>61.250000000000007</v>
      </c>
      <c r="E28" s="86">
        <f t="shared" si="96"/>
        <v>2</v>
      </c>
      <c r="F28" s="33" t="s">
        <v>52</v>
      </c>
      <c r="G28" s="49">
        <f t="shared" si="97"/>
        <v>18</v>
      </c>
      <c r="H28" s="12" t="s">
        <v>53</v>
      </c>
      <c r="I28" s="33">
        <f t="shared" si="98"/>
        <v>0</v>
      </c>
      <c r="J28" s="49" t="s">
        <v>54</v>
      </c>
      <c r="K28" s="12">
        <f t="shared" si="99"/>
        <v>1</v>
      </c>
      <c r="L28" s="33" t="s">
        <v>52</v>
      </c>
      <c r="M28" s="49">
        <f t="shared" si="100"/>
        <v>4</v>
      </c>
      <c r="N28" s="12" t="s">
        <v>53</v>
      </c>
      <c r="O28" s="33">
        <f t="shared" si="101"/>
        <v>0</v>
      </c>
      <c r="P28" s="49" t="s">
        <v>54</v>
      </c>
      <c r="Q28" s="12">
        <f t="shared" si="102"/>
        <v>1</v>
      </c>
      <c r="R28" s="33" t="s">
        <v>52</v>
      </c>
      <c r="S28" s="49">
        <f t="shared" si="103"/>
        <v>6</v>
      </c>
      <c r="T28" s="12" t="s">
        <v>53</v>
      </c>
      <c r="U28" s="33">
        <f t="shared" si="104"/>
        <v>0</v>
      </c>
      <c r="V28" s="49" t="s">
        <v>54</v>
      </c>
      <c r="W28" s="12">
        <f t="shared" si="105"/>
        <v>0</v>
      </c>
      <c r="X28" s="33" t="s">
        <v>52</v>
      </c>
      <c r="Y28" s="49">
        <f t="shared" si="106"/>
        <v>8</v>
      </c>
      <c r="Z28" s="12" t="s">
        <v>53</v>
      </c>
      <c r="AA28" s="33">
        <f t="shared" si="107"/>
        <v>0</v>
      </c>
      <c r="AB28" s="49" t="s">
        <v>54</v>
      </c>
      <c r="AC28" s="12">
        <f t="shared" si="108"/>
        <v>2.15</v>
      </c>
      <c r="AD28" s="33" t="s">
        <v>52</v>
      </c>
      <c r="AE28" s="53">
        <f t="shared" si="109"/>
        <v>3</v>
      </c>
      <c r="AF28" s="12"/>
      <c r="AG28" s="43">
        <f t="shared" si="110"/>
        <v>1</v>
      </c>
      <c r="AH28" s="33" t="s">
        <v>52</v>
      </c>
      <c r="AI28" s="49">
        <f t="shared" si="111"/>
        <v>15</v>
      </c>
      <c r="AJ28" s="12" t="s">
        <v>53</v>
      </c>
      <c r="AK28" s="33">
        <f t="shared" si="112"/>
        <v>0</v>
      </c>
      <c r="AL28" s="49" t="s">
        <v>54</v>
      </c>
      <c r="AM28" s="12">
        <f t="shared" si="113"/>
        <v>0</v>
      </c>
      <c r="AN28" s="33" t="s">
        <v>52</v>
      </c>
      <c r="AO28" s="49">
        <f t="shared" si="114"/>
        <v>3</v>
      </c>
      <c r="AP28" s="12" t="s">
        <v>53</v>
      </c>
      <c r="AQ28" s="33">
        <f t="shared" si="115"/>
        <v>0</v>
      </c>
      <c r="AR28" s="49" t="s">
        <v>54</v>
      </c>
      <c r="AS28" s="12">
        <f t="shared" si="116"/>
        <v>1</v>
      </c>
      <c r="AT28" s="33" t="s">
        <v>52</v>
      </c>
      <c r="AU28" s="49">
        <f t="shared" si="117"/>
        <v>6</v>
      </c>
      <c r="AV28" s="12" t="s">
        <v>53</v>
      </c>
      <c r="AW28" s="33">
        <f t="shared" si="118"/>
        <v>0</v>
      </c>
      <c r="AX28" s="49" t="s">
        <v>54</v>
      </c>
      <c r="AY28" s="12">
        <f t="shared" si="119"/>
        <v>0</v>
      </c>
      <c r="AZ28" s="33" t="s">
        <v>52</v>
      </c>
      <c r="BA28" s="49">
        <f t="shared" si="120"/>
        <v>6</v>
      </c>
      <c r="BB28" s="12" t="s">
        <v>53</v>
      </c>
      <c r="BC28" s="33">
        <f t="shared" si="121"/>
        <v>0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1</v>
      </c>
      <c r="BJ28" s="33" t="s">
        <v>52</v>
      </c>
      <c r="BK28" s="49">
        <f>IFERROR(IF($B$7="W",BK23,BK22),"0")</f>
        <v>3</v>
      </c>
      <c r="BL28" s="12" t="s">
        <v>53</v>
      </c>
      <c r="BM28" s="33">
        <f>IFERROR(IF($B$7="W",BM23,BM22),"0")</f>
        <v>0</v>
      </c>
      <c r="BN28" s="49" t="s">
        <v>54</v>
      </c>
      <c r="BO28" s="12">
        <f>IFERROR(IF($B$7="W",BO23,BO22),"0")</f>
        <v>1</v>
      </c>
      <c r="BP28" s="33" t="s">
        <v>52</v>
      </c>
      <c r="BQ28" s="49">
        <f>IFERROR(IF($B$7="W",BQ23,BQ22),"0")</f>
        <v>1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0</v>
      </c>
      <c r="CB28" s="33" t="s">
        <v>52</v>
      </c>
      <c r="CC28" s="49">
        <f>IFERROR(IF($B$7="W",CC23,CC22),"0")</f>
        <v>2</v>
      </c>
      <c r="CD28" s="12" t="s">
        <v>53</v>
      </c>
      <c r="CE28" s="33">
        <f>IFERROR(IF($B$7="W",CE23,CE22),"0")</f>
        <v>0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3</v>
      </c>
      <c r="CK28" s="33">
        <f t="shared" si="127"/>
        <v>10</v>
      </c>
      <c r="CL28" s="33">
        <f t="shared" si="127"/>
        <v>0</v>
      </c>
      <c r="CM28" s="33">
        <f t="shared" si="127"/>
        <v>0</v>
      </c>
      <c r="CN28" s="33">
        <f t="shared" si="127"/>
        <v>13</v>
      </c>
      <c r="CO28" s="33">
        <f t="shared" si="127"/>
        <v>0</v>
      </c>
      <c r="CP28" s="33">
        <f t="shared" si="127"/>
        <v>6</v>
      </c>
      <c r="CQ28" s="33">
        <f t="shared" si="127"/>
        <v>6</v>
      </c>
      <c r="CR28" s="33">
        <f t="shared" si="127"/>
        <v>3</v>
      </c>
      <c r="CS28" s="33">
        <f t="shared" si="127"/>
        <v>3</v>
      </c>
      <c r="CT28" s="33">
        <f t="shared" si="127"/>
        <v>4</v>
      </c>
      <c r="CU28" s="33">
        <f t="shared" si="127"/>
        <v>0</v>
      </c>
      <c r="CV28" s="58">
        <f t="shared" si="127"/>
        <v>6.15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19.88276431965528</v>
      </c>
      <c r="EW28" s="228" t="s">
        <v>76</v>
      </c>
      <c r="EX28" s="6">
        <f t="shared" si="94"/>
        <v>2.15</v>
      </c>
      <c r="EY28" s="6">
        <f t="shared" si="95"/>
        <v>3</v>
      </c>
      <c r="EZ28" s="6">
        <f t="shared" si="125"/>
        <v>3.1036666666666668</v>
      </c>
    </row>
    <row r="29" spans="1:197" x14ac:dyDescent="0.2">
      <c r="C29" s="228" t="s">
        <v>222</v>
      </c>
      <c r="D29" s="28">
        <f>IFERROR(IF(B8="W",D23,D22),"0")</f>
        <v>61.250000000000007</v>
      </c>
      <c r="E29" s="86">
        <f t="shared" si="96"/>
        <v>2</v>
      </c>
      <c r="F29" s="33" t="s">
        <v>52</v>
      </c>
      <c r="G29" s="49">
        <f t="shared" si="97"/>
        <v>18</v>
      </c>
      <c r="H29" s="12" t="s">
        <v>53</v>
      </c>
      <c r="I29" s="33">
        <f t="shared" si="98"/>
        <v>0</v>
      </c>
      <c r="J29" s="49" t="s">
        <v>54</v>
      </c>
      <c r="K29" s="12">
        <f t="shared" si="99"/>
        <v>1</v>
      </c>
      <c r="L29" s="33" t="s">
        <v>52</v>
      </c>
      <c r="M29" s="49">
        <f t="shared" si="100"/>
        <v>4</v>
      </c>
      <c r="N29" s="12" t="s">
        <v>53</v>
      </c>
      <c r="O29" s="33">
        <f t="shared" si="101"/>
        <v>0</v>
      </c>
      <c r="P29" s="49" t="s">
        <v>54</v>
      </c>
      <c r="Q29" s="12">
        <f t="shared" si="102"/>
        <v>1</v>
      </c>
      <c r="R29" s="33" t="s">
        <v>52</v>
      </c>
      <c r="S29" s="49">
        <f t="shared" si="103"/>
        <v>6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0</v>
      </c>
      <c r="X29" s="33" t="s">
        <v>52</v>
      </c>
      <c r="Y29" s="49">
        <f t="shared" si="106"/>
        <v>8</v>
      </c>
      <c r="Z29" s="12" t="s">
        <v>53</v>
      </c>
      <c r="AA29" s="33">
        <f t="shared" si="107"/>
        <v>0</v>
      </c>
      <c r="AB29" s="49" t="s">
        <v>54</v>
      </c>
      <c r="AC29" s="12">
        <f t="shared" si="108"/>
        <v>2.15</v>
      </c>
      <c r="AD29" s="33" t="s">
        <v>52</v>
      </c>
      <c r="AE29" s="53">
        <f t="shared" si="109"/>
        <v>3</v>
      </c>
      <c r="AF29" s="12"/>
      <c r="AG29" s="43">
        <f t="shared" si="110"/>
        <v>1</v>
      </c>
      <c r="AH29" s="33" t="s">
        <v>52</v>
      </c>
      <c r="AI29" s="49">
        <f t="shared" si="111"/>
        <v>15</v>
      </c>
      <c r="AJ29" s="12" t="s">
        <v>53</v>
      </c>
      <c r="AK29" s="33">
        <f t="shared" si="112"/>
        <v>0</v>
      </c>
      <c r="AL29" s="49" t="s">
        <v>54</v>
      </c>
      <c r="AM29" s="12">
        <f t="shared" si="113"/>
        <v>0</v>
      </c>
      <c r="AN29" s="33" t="s">
        <v>52</v>
      </c>
      <c r="AO29" s="49">
        <f t="shared" si="114"/>
        <v>3</v>
      </c>
      <c r="AP29" s="12" t="s">
        <v>53</v>
      </c>
      <c r="AQ29" s="33">
        <f t="shared" si="115"/>
        <v>0</v>
      </c>
      <c r="AR29" s="49" t="s">
        <v>54</v>
      </c>
      <c r="AS29" s="12">
        <f t="shared" si="116"/>
        <v>1</v>
      </c>
      <c r="AT29" s="33" t="s">
        <v>52</v>
      </c>
      <c r="AU29" s="49">
        <f t="shared" si="117"/>
        <v>6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0</v>
      </c>
      <c r="AZ29" s="33" t="s">
        <v>52</v>
      </c>
      <c r="BA29" s="49">
        <f t="shared" si="120"/>
        <v>6</v>
      </c>
      <c r="BB29" s="12" t="s">
        <v>53</v>
      </c>
      <c r="BC29" s="33">
        <f t="shared" si="121"/>
        <v>0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1</v>
      </c>
      <c r="BJ29" s="33" t="s">
        <v>52</v>
      </c>
      <c r="BK29" s="49">
        <f>IFERROR(IF($B$8="W",BK23,BK22),"0")</f>
        <v>3</v>
      </c>
      <c r="BL29" s="12" t="s">
        <v>53</v>
      </c>
      <c r="BM29" s="33">
        <f>IFERROR(IF($B$8="W",BM23,BM22),"0")</f>
        <v>0</v>
      </c>
      <c r="BN29" s="49" t="s">
        <v>54</v>
      </c>
      <c r="BO29" s="12">
        <f>IFERROR(IF($B$8="W",BO23,BO22),"0")</f>
        <v>1</v>
      </c>
      <c r="BP29" s="33" t="s">
        <v>52</v>
      </c>
      <c r="BQ29" s="49">
        <f>IFERROR(IF($B$8="W",BQ23,BQ22),"0")</f>
        <v>1</v>
      </c>
      <c r="BR29" s="12" t="s">
        <v>53</v>
      </c>
      <c r="BS29" s="33">
        <f>IFERROR(IF($B$8="W",BS23,BS22),"0")</f>
        <v>0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0</v>
      </c>
      <c r="CB29" s="33" t="s">
        <v>52</v>
      </c>
      <c r="CC29" s="49">
        <f>IFERROR(IF($B$8="W",CC23,CC22),"0")</f>
        <v>2</v>
      </c>
      <c r="CD29" s="12" t="s">
        <v>53</v>
      </c>
      <c r="CE29" s="33">
        <f>IFERROR(IF($B$8="W",CE23,CE22),"0")</f>
        <v>0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3</v>
      </c>
      <c r="CK29" s="33">
        <f t="shared" si="128"/>
        <v>10</v>
      </c>
      <c r="CL29" s="33">
        <f t="shared" si="128"/>
        <v>0</v>
      </c>
      <c r="CM29" s="33">
        <f t="shared" si="128"/>
        <v>0</v>
      </c>
      <c r="CN29" s="33">
        <f t="shared" si="128"/>
        <v>13</v>
      </c>
      <c r="CO29" s="33">
        <f t="shared" si="128"/>
        <v>0</v>
      </c>
      <c r="CP29" s="33">
        <f t="shared" si="128"/>
        <v>6</v>
      </c>
      <c r="CQ29" s="33">
        <f t="shared" si="128"/>
        <v>6</v>
      </c>
      <c r="CR29" s="33">
        <f t="shared" si="128"/>
        <v>3</v>
      </c>
      <c r="CS29" s="33">
        <f t="shared" si="128"/>
        <v>3</v>
      </c>
      <c r="CT29" s="33">
        <f t="shared" si="128"/>
        <v>4</v>
      </c>
      <c r="CU29" s="33">
        <f t="shared" si="128"/>
        <v>0</v>
      </c>
      <c r="CV29" s="58">
        <f t="shared" si="128"/>
        <v>6.15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19.88276431965528</v>
      </c>
      <c r="EW29" s="228" t="s">
        <v>222</v>
      </c>
      <c r="EX29" s="6">
        <f t="shared" si="94"/>
        <v>2.15</v>
      </c>
      <c r="EY29" s="6">
        <f t="shared" si="95"/>
        <v>3</v>
      </c>
      <c r="EZ29" s="6">
        <f t="shared" si="125"/>
        <v>3.1036666666666668</v>
      </c>
    </row>
    <row r="30" spans="1:197" x14ac:dyDescent="0.2">
      <c r="C30" s="228" t="s">
        <v>77</v>
      </c>
      <c r="D30" s="28">
        <f>IFERROR(IF(B9="W",D23,D22),"0")</f>
        <v>61.25</v>
      </c>
      <c r="E30" s="86">
        <f t="shared" si="96"/>
        <v>20</v>
      </c>
      <c r="F30" s="33" t="s">
        <v>52</v>
      </c>
      <c r="G30" s="49">
        <f t="shared" si="97"/>
        <v>31</v>
      </c>
      <c r="H30" s="12" t="s">
        <v>53</v>
      </c>
      <c r="I30" s="33">
        <f t="shared" si="98"/>
        <v>10</v>
      </c>
      <c r="J30" s="49" t="s">
        <v>54</v>
      </c>
      <c r="K30" s="12">
        <f t="shared" si="99"/>
        <v>10</v>
      </c>
      <c r="L30" s="33" t="s">
        <v>52</v>
      </c>
      <c r="M30" s="49">
        <f t="shared" si="100"/>
        <v>12</v>
      </c>
      <c r="N30" s="12" t="s">
        <v>53</v>
      </c>
      <c r="O30" s="33">
        <f t="shared" si="101"/>
        <v>5</v>
      </c>
      <c r="P30" s="49" t="s">
        <v>54</v>
      </c>
      <c r="Q30" s="12">
        <f t="shared" si="102"/>
        <v>5</v>
      </c>
      <c r="R30" s="33" t="s">
        <v>52</v>
      </c>
      <c r="S30" s="49">
        <f t="shared" si="103"/>
        <v>8</v>
      </c>
      <c r="T30" s="12" t="s">
        <v>53</v>
      </c>
      <c r="U30" s="33">
        <f t="shared" si="104"/>
        <v>1</v>
      </c>
      <c r="V30" s="49" t="s">
        <v>54</v>
      </c>
      <c r="W30" s="12">
        <f t="shared" si="105"/>
        <v>5</v>
      </c>
      <c r="X30" s="33" t="s">
        <v>52</v>
      </c>
      <c r="Y30" s="49">
        <f t="shared" si="106"/>
        <v>11</v>
      </c>
      <c r="Z30" s="12" t="s">
        <v>53</v>
      </c>
      <c r="AA30" s="33">
        <f t="shared" si="107"/>
        <v>4</v>
      </c>
      <c r="AB30" s="49" t="s">
        <v>54</v>
      </c>
      <c r="AC30" s="12">
        <f t="shared" si="108"/>
        <v>4.5500000000000007</v>
      </c>
      <c r="AD30" s="33" t="s">
        <v>52</v>
      </c>
      <c r="AE30" s="53">
        <f t="shared" si="109"/>
        <v>6</v>
      </c>
      <c r="AF30" s="12"/>
      <c r="AG30" s="43">
        <f t="shared" si="110"/>
        <v>18</v>
      </c>
      <c r="AH30" s="33" t="s">
        <v>52</v>
      </c>
      <c r="AI30" s="49">
        <f t="shared" si="111"/>
        <v>28</v>
      </c>
      <c r="AJ30" s="12" t="s">
        <v>53</v>
      </c>
      <c r="AK30" s="33">
        <f t="shared" si="112"/>
        <v>10</v>
      </c>
      <c r="AL30" s="49" t="s">
        <v>54</v>
      </c>
      <c r="AM30" s="12">
        <f t="shared" si="113"/>
        <v>9</v>
      </c>
      <c r="AN30" s="33" t="s">
        <v>52</v>
      </c>
      <c r="AO30" s="49">
        <f t="shared" si="114"/>
        <v>11</v>
      </c>
      <c r="AP30" s="12" t="s">
        <v>53</v>
      </c>
      <c r="AQ30" s="33">
        <f t="shared" si="115"/>
        <v>5</v>
      </c>
      <c r="AR30" s="49" t="s">
        <v>54</v>
      </c>
      <c r="AS30" s="12">
        <f t="shared" si="116"/>
        <v>5</v>
      </c>
      <c r="AT30" s="33" t="s">
        <v>52</v>
      </c>
      <c r="AU30" s="49">
        <f t="shared" si="117"/>
        <v>8</v>
      </c>
      <c r="AV30" s="12" t="s">
        <v>53</v>
      </c>
      <c r="AW30" s="33">
        <f t="shared" si="118"/>
        <v>1</v>
      </c>
      <c r="AX30" s="49" t="s">
        <v>54</v>
      </c>
      <c r="AY30" s="12">
        <f t="shared" si="119"/>
        <v>4</v>
      </c>
      <c r="AZ30" s="33" t="s">
        <v>52</v>
      </c>
      <c r="BA30" s="49">
        <f t="shared" si="120"/>
        <v>9</v>
      </c>
      <c r="BB30" s="12" t="s">
        <v>53</v>
      </c>
      <c r="BC30" s="33">
        <f t="shared" si="121"/>
        <v>4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2</v>
      </c>
      <c r="BJ30" s="33" t="s">
        <v>52</v>
      </c>
      <c r="BK30" s="49">
        <f>IFERROR(IF($B$9="W",BK23,BK22),"0")</f>
        <v>3</v>
      </c>
      <c r="BL30" s="12" t="s">
        <v>53</v>
      </c>
      <c r="BM30" s="33">
        <f>IFERROR(IF($B$9="W",BM23,BM22),"0")</f>
        <v>0</v>
      </c>
      <c r="BN30" s="49" t="s">
        <v>54</v>
      </c>
      <c r="BO30" s="12">
        <f>IFERROR(IF($B$9="W",BO23,BO22),"0")</f>
        <v>1</v>
      </c>
      <c r="BP30" s="33" t="s">
        <v>52</v>
      </c>
      <c r="BQ30" s="49">
        <f>IFERROR(IF($B$9="W",BQ23,BQ22),"0")</f>
        <v>1</v>
      </c>
      <c r="BR30" s="12" t="s">
        <v>53</v>
      </c>
      <c r="BS30" s="33">
        <f>IFERROR(IF($B$9="W",BS23,BS22),"0")</f>
        <v>0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1</v>
      </c>
      <c r="CB30" s="33" t="s">
        <v>52</v>
      </c>
      <c r="CC30" s="49">
        <f>IFERROR(IF($B$9="W",CC23,CC22),"0")</f>
        <v>2</v>
      </c>
      <c r="CD30" s="12" t="s">
        <v>53</v>
      </c>
      <c r="CE30" s="33">
        <f>IFERROR(IF($B$9="W",CE23,CE22),"0")</f>
        <v>0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1</v>
      </c>
      <c r="CK30" s="33">
        <f t="shared" si="129"/>
        <v>13</v>
      </c>
      <c r="CL30" s="33">
        <f t="shared" si="129"/>
        <v>0</v>
      </c>
      <c r="CM30" s="33">
        <f t="shared" si="129"/>
        <v>0</v>
      </c>
      <c r="CN30" s="33">
        <f t="shared" si="129"/>
        <v>14</v>
      </c>
      <c r="CO30" s="33">
        <f t="shared" si="129"/>
        <v>10</v>
      </c>
      <c r="CP30" s="33">
        <f t="shared" si="129"/>
        <v>11</v>
      </c>
      <c r="CQ30" s="33">
        <f t="shared" si="129"/>
        <v>3</v>
      </c>
      <c r="CR30" s="33">
        <f t="shared" si="129"/>
        <v>6</v>
      </c>
      <c r="CS30" s="33">
        <f t="shared" si="129"/>
        <v>2</v>
      </c>
      <c r="CT30" s="33">
        <f t="shared" si="129"/>
        <v>6</v>
      </c>
      <c r="CU30" s="33">
        <f t="shared" si="129"/>
        <v>1</v>
      </c>
      <c r="CV30" s="58">
        <f t="shared" si="129"/>
        <v>49.55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38.953601123893748</v>
      </c>
      <c r="EW30" s="228" t="s">
        <v>77</v>
      </c>
      <c r="EX30" s="6">
        <f t="shared" si="94"/>
        <v>4.5500000000000007</v>
      </c>
      <c r="EY30" s="6">
        <f t="shared" si="95"/>
        <v>6</v>
      </c>
      <c r="EZ30" s="6">
        <f t="shared" si="125"/>
        <v>22.259833333333333</v>
      </c>
    </row>
    <row r="31" spans="1:197" ht="17" thickBot="1" x14ac:dyDescent="0.25">
      <c r="C31" s="228" t="s">
        <v>78</v>
      </c>
      <c r="D31" s="28">
        <f>IFERROR(IF(B10="W",D23,D22),"0")</f>
        <v>61.250000000000007</v>
      </c>
      <c r="E31" s="86">
        <f t="shared" si="96"/>
        <v>2</v>
      </c>
      <c r="F31" s="33" t="s">
        <v>52</v>
      </c>
      <c r="G31" s="49">
        <f t="shared" si="97"/>
        <v>18</v>
      </c>
      <c r="H31" s="12" t="s">
        <v>53</v>
      </c>
      <c r="I31" s="33">
        <f t="shared" si="98"/>
        <v>0</v>
      </c>
      <c r="J31" s="49" t="s">
        <v>54</v>
      </c>
      <c r="K31" s="12">
        <f t="shared" si="99"/>
        <v>1</v>
      </c>
      <c r="L31" s="33" t="s">
        <v>52</v>
      </c>
      <c r="M31" s="49">
        <f t="shared" si="100"/>
        <v>4</v>
      </c>
      <c r="N31" s="12" t="s">
        <v>53</v>
      </c>
      <c r="O31" s="33">
        <f t="shared" si="101"/>
        <v>0</v>
      </c>
      <c r="P31" s="49" t="s">
        <v>54</v>
      </c>
      <c r="Q31" s="12">
        <f t="shared" si="102"/>
        <v>1</v>
      </c>
      <c r="R31" s="33" t="s">
        <v>52</v>
      </c>
      <c r="S31" s="49">
        <f t="shared" si="103"/>
        <v>6</v>
      </c>
      <c r="T31" s="12" t="s">
        <v>53</v>
      </c>
      <c r="U31" s="33">
        <f t="shared" si="104"/>
        <v>0</v>
      </c>
      <c r="V31" s="49" t="s">
        <v>54</v>
      </c>
      <c r="W31" s="12">
        <f t="shared" si="105"/>
        <v>0</v>
      </c>
      <c r="X31" s="33" t="s">
        <v>52</v>
      </c>
      <c r="Y31" s="49">
        <f t="shared" si="106"/>
        <v>8</v>
      </c>
      <c r="Z31" s="12" t="s">
        <v>53</v>
      </c>
      <c r="AA31" s="33">
        <f t="shared" si="107"/>
        <v>0</v>
      </c>
      <c r="AB31" s="49" t="s">
        <v>54</v>
      </c>
      <c r="AC31" s="12">
        <f t="shared" si="108"/>
        <v>2.15</v>
      </c>
      <c r="AD31" s="33" t="s">
        <v>52</v>
      </c>
      <c r="AE31" s="53">
        <f t="shared" si="109"/>
        <v>3</v>
      </c>
      <c r="AF31" s="12"/>
      <c r="AG31" s="43">
        <f t="shared" si="110"/>
        <v>1</v>
      </c>
      <c r="AH31" s="33" t="s">
        <v>52</v>
      </c>
      <c r="AI31" s="49">
        <f t="shared" si="111"/>
        <v>15</v>
      </c>
      <c r="AJ31" s="12" t="s">
        <v>53</v>
      </c>
      <c r="AK31" s="33">
        <f t="shared" si="112"/>
        <v>0</v>
      </c>
      <c r="AL31" s="49" t="s">
        <v>54</v>
      </c>
      <c r="AM31" s="12">
        <f t="shared" si="113"/>
        <v>0</v>
      </c>
      <c r="AN31" s="33" t="s">
        <v>52</v>
      </c>
      <c r="AO31" s="49">
        <f t="shared" si="114"/>
        <v>3</v>
      </c>
      <c r="AP31" s="12" t="s">
        <v>53</v>
      </c>
      <c r="AQ31" s="33">
        <f t="shared" si="115"/>
        <v>0</v>
      </c>
      <c r="AR31" s="49" t="s">
        <v>54</v>
      </c>
      <c r="AS31" s="12">
        <f t="shared" si="116"/>
        <v>1</v>
      </c>
      <c r="AT31" s="33" t="s">
        <v>52</v>
      </c>
      <c r="AU31" s="49">
        <f t="shared" si="117"/>
        <v>6</v>
      </c>
      <c r="AV31" s="12" t="s">
        <v>53</v>
      </c>
      <c r="AW31" s="33">
        <f t="shared" si="118"/>
        <v>0</v>
      </c>
      <c r="AX31" s="49" t="s">
        <v>54</v>
      </c>
      <c r="AY31" s="12">
        <f t="shared" si="119"/>
        <v>0</v>
      </c>
      <c r="AZ31" s="33" t="s">
        <v>52</v>
      </c>
      <c r="BA31" s="49">
        <f t="shared" si="120"/>
        <v>6</v>
      </c>
      <c r="BB31" s="12" t="s">
        <v>53</v>
      </c>
      <c r="BC31" s="33">
        <f t="shared" si="121"/>
        <v>0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1</v>
      </c>
      <c r="BJ31" s="33" t="s">
        <v>52</v>
      </c>
      <c r="BK31" s="49">
        <f>IFERROR(IF($B$10="W",BK23,BK22),"0")</f>
        <v>3</v>
      </c>
      <c r="BL31" s="12" t="s">
        <v>53</v>
      </c>
      <c r="BM31" s="33">
        <f>IFERROR(IF($B$10="W",BM23,BM22),"0")</f>
        <v>0</v>
      </c>
      <c r="BN31" s="49" t="s">
        <v>54</v>
      </c>
      <c r="BO31" s="12">
        <f>IFERROR(IF($B$10="W",BO23,BO22),"0")</f>
        <v>1</v>
      </c>
      <c r="BP31" s="33" t="s">
        <v>52</v>
      </c>
      <c r="BQ31" s="49">
        <f>IFERROR(IF($B$10="W",BQ23,BQ22),"0")</f>
        <v>1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0</v>
      </c>
      <c r="CB31" s="33" t="s">
        <v>52</v>
      </c>
      <c r="CC31" s="49">
        <f>IFERROR(IF($B$10="W",CC23,CC22),"0")</f>
        <v>2</v>
      </c>
      <c r="CD31" s="12" t="s">
        <v>53</v>
      </c>
      <c r="CE31" s="33">
        <f>IFERROR(IF($B$10="W",CE23,CE22),"0")</f>
        <v>0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3</v>
      </c>
      <c r="CK31" s="33">
        <f t="shared" si="130"/>
        <v>10</v>
      </c>
      <c r="CL31" s="33">
        <f t="shared" si="130"/>
        <v>0</v>
      </c>
      <c r="CM31" s="33">
        <f t="shared" si="130"/>
        <v>0</v>
      </c>
      <c r="CN31" s="33">
        <f t="shared" si="130"/>
        <v>13</v>
      </c>
      <c r="CO31" s="33">
        <f t="shared" si="130"/>
        <v>0</v>
      </c>
      <c r="CP31" s="33">
        <f t="shared" si="130"/>
        <v>6</v>
      </c>
      <c r="CQ31" s="33">
        <f t="shared" si="130"/>
        <v>6</v>
      </c>
      <c r="CR31" s="33">
        <f t="shared" si="130"/>
        <v>3</v>
      </c>
      <c r="CS31" s="33">
        <f t="shared" si="130"/>
        <v>3</v>
      </c>
      <c r="CT31" s="33">
        <f t="shared" si="130"/>
        <v>4</v>
      </c>
      <c r="CU31" s="33">
        <f t="shared" si="130"/>
        <v>0</v>
      </c>
      <c r="CV31" s="58">
        <f t="shared" si="130"/>
        <v>6.15</v>
      </c>
      <c r="CW31" s="33"/>
      <c r="CX31" s="4"/>
      <c r="CY31" s="289">
        <f>(G21-E21)+((SUM(EW4:EW18))-(SUM(EV4:EV18)))</f>
        <v>27</v>
      </c>
      <c r="CZ31" s="290">
        <f>CN21</f>
        <v>27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19.88276431965528</v>
      </c>
      <c r="EW31" s="228" t="s">
        <v>78</v>
      </c>
      <c r="EX31" s="6">
        <f t="shared" si="94"/>
        <v>2.15</v>
      </c>
      <c r="EY31" s="6">
        <f t="shared" si="95"/>
        <v>3</v>
      </c>
      <c r="EZ31" s="6">
        <f t="shared" si="125"/>
        <v>3.1036666666666668</v>
      </c>
    </row>
    <row r="32" spans="1:197" x14ac:dyDescent="0.2">
      <c r="C32" s="228" t="s">
        <v>79</v>
      </c>
      <c r="D32" s="28">
        <f>IFERROR(IF(B11="W",D23,D22),"0")</f>
        <v>61.25</v>
      </c>
      <c r="E32" s="86">
        <f t="shared" si="96"/>
        <v>20</v>
      </c>
      <c r="F32" s="33" t="s">
        <v>52</v>
      </c>
      <c r="G32" s="49">
        <f t="shared" si="97"/>
        <v>31</v>
      </c>
      <c r="H32" s="12" t="s">
        <v>53</v>
      </c>
      <c r="I32" s="33">
        <f t="shared" si="98"/>
        <v>10</v>
      </c>
      <c r="J32" s="49" t="s">
        <v>54</v>
      </c>
      <c r="K32" s="12">
        <f t="shared" si="99"/>
        <v>10</v>
      </c>
      <c r="L32" s="33" t="s">
        <v>52</v>
      </c>
      <c r="M32" s="49">
        <f t="shared" si="100"/>
        <v>12</v>
      </c>
      <c r="N32" s="12" t="s">
        <v>53</v>
      </c>
      <c r="O32" s="33">
        <f t="shared" si="101"/>
        <v>5</v>
      </c>
      <c r="P32" s="49" t="s">
        <v>54</v>
      </c>
      <c r="Q32" s="12">
        <f t="shared" si="102"/>
        <v>5</v>
      </c>
      <c r="R32" s="33" t="s">
        <v>52</v>
      </c>
      <c r="S32" s="49">
        <f t="shared" si="103"/>
        <v>8</v>
      </c>
      <c r="T32" s="12" t="s">
        <v>53</v>
      </c>
      <c r="U32" s="33">
        <f t="shared" si="104"/>
        <v>1</v>
      </c>
      <c r="V32" s="49" t="s">
        <v>54</v>
      </c>
      <c r="W32" s="12">
        <f t="shared" si="105"/>
        <v>5</v>
      </c>
      <c r="X32" s="33" t="s">
        <v>52</v>
      </c>
      <c r="Y32" s="49">
        <f t="shared" si="106"/>
        <v>11</v>
      </c>
      <c r="Z32" s="12" t="s">
        <v>53</v>
      </c>
      <c r="AA32" s="33">
        <f t="shared" si="107"/>
        <v>4</v>
      </c>
      <c r="AB32" s="49" t="s">
        <v>54</v>
      </c>
      <c r="AC32" s="12">
        <f t="shared" si="108"/>
        <v>4.5500000000000007</v>
      </c>
      <c r="AD32" s="33" t="s">
        <v>52</v>
      </c>
      <c r="AE32" s="53">
        <f t="shared" si="109"/>
        <v>6</v>
      </c>
      <c r="AF32" s="12"/>
      <c r="AG32" s="43">
        <f t="shared" si="110"/>
        <v>18</v>
      </c>
      <c r="AH32" s="33" t="s">
        <v>52</v>
      </c>
      <c r="AI32" s="49">
        <f t="shared" si="111"/>
        <v>28</v>
      </c>
      <c r="AJ32" s="12" t="s">
        <v>53</v>
      </c>
      <c r="AK32" s="33">
        <f t="shared" si="112"/>
        <v>10</v>
      </c>
      <c r="AL32" s="49" t="s">
        <v>54</v>
      </c>
      <c r="AM32" s="12">
        <f t="shared" si="113"/>
        <v>9</v>
      </c>
      <c r="AN32" s="33" t="s">
        <v>52</v>
      </c>
      <c r="AO32" s="49">
        <f t="shared" si="114"/>
        <v>11</v>
      </c>
      <c r="AP32" s="12" t="s">
        <v>53</v>
      </c>
      <c r="AQ32" s="33">
        <f t="shared" si="115"/>
        <v>5</v>
      </c>
      <c r="AR32" s="49" t="s">
        <v>54</v>
      </c>
      <c r="AS32" s="12">
        <f t="shared" si="116"/>
        <v>5</v>
      </c>
      <c r="AT32" s="33" t="s">
        <v>52</v>
      </c>
      <c r="AU32" s="49">
        <f t="shared" si="117"/>
        <v>8</v>
      </c>
      <c r="AV32" s="12" t="s">
        <v>53</v>
      </c>
      <c r="AW32" s="33">
        <f t="shared" si="118"/>
        <v>1</v>
      </c>
      <c r="AX32" s="49" t="s">
        <v>54</v>
      </c>
      <c r="AY32" s="12">
        <f t="shared" si="119"/>
        <v>4</v>
      </c>
      <c r="AZ32" s="33" t="s">
        <v>52</v>
      </c>
      <c r="BA32" s="49">
        <f t="shared" si="120"/>
        <v>9</v>
      </c>
      <c r="BB32" s="12" t="s">
        <v>53</v>
      </c>
      <c r="BC32" s="33">
        <f t="shared" si="121"/>
        <v>4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2</v>
      </c>
      <c r="BJ32" s="33" t="s">
        <v>52</v>
      </c>
      <c r="BK32" s="49">
        <f>IFERROR(IF($B$11="W",BK23,BK22),"0")</f>
        <v>3</v>
      </c>
      <c r="BL32" s="12" t="s">
        <v>53</v>
      </c>
      <c r="BM32" s="33">
        <f>IFERROR(IF($B$11="W",BM23,BM22),"0")</f>
        <v>0</v>
      </c>
      <c r="BN32" s="49" t="s">
        <v>54</v>
      </c>
      <c r="BO32" s="12">
        <f>IFERROR(IF($B$11="W",BO23,BO22),"0")</f>
        <v>1</v>
      </c>
      <c r="BP32" s="33" t="s">
        <v>52</v>
      </c>
      <c r="BQ32" s="49">
        <f>IFERROR(IF($B$11="W",BQ23,BQ22),"0")</f>
        <v>1</v>
      </c>
      <c r="BR32" s="12" t="s">
        <v>53</v>
      </c>
      <c r="BS32" s="33">
        <f>IFERROR(IF($B$11="W",BS23,BS22),"0")</f>
        <v>0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1</v>
      </c>
      <c r="CB32" s="33" t="s">
        <v>52</v>
      </c>
      <c r="CC32" s="49">
        <f>IFERROR(IF($B$11="W",CC23,CC22),"0")</f>
        <v>2</v>
      </c>
      <c r="CD32" s="12" t="s">
        <v>53</v>
      </c>
      <c r="CE32" s="33">
        <f>IFERROR(IF($B$11="W",CE23,CE22),"0")</f>
        <v>0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1</v>
      </c>
      <c r="CK32" s="33">
        <f t="shared" si="131"/>
        <v>13</v>
      </c>
      <c r="CL32" s="33">
        <f t="shared" si="131"/>
        <v>0</v>
      </c>
      <c r="CM32" s="33">
        <f t="shared" si="131"/>
        <v>0</v>
      </c>
      <c r="CN32" s="33">
        <f t="shared" si="131"/>
        <v>14</v>
      </c>
      <c r="CO32" s="33">
        <f t="shared" si="131"/>
        <v>10</v>
      </c>
      <c r="CP32" s="33">
        <f t="shared" si="131"/>
        <v>11</v>
      </c>
      <c r="CQ32" s="33">
        <f t="shared" si="131"/>
        <v>3</v>
      </c>
      <c r="CR32" s="33">
        <f t="shared" si="131"/>
        <v>6</v>
      </c>
      <c r="CS32" s="33">
        <f t="shared" si="131"/>
        <v>2</v>
      </c>
      <c r="CT32" s="33">
        <f t="shared" si="131"/>
        <v>6</v>
      </c>
      <c r="CU32" s="33">
        <f t="shared" si="131"/>
        <v>1</v>
      </c>
      <c r="CV32" s="58">
        <f t="shared" si="131"/>
        <v>49.55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38.953601123893748</v>
      </c>
      <c r="EW32" s="228" t="s">
        <v>79</v>
      </c>
      <c r="EX32" s="6">
        <f t="shared" si="94"/>
        <v>4.5500000000000007</v>
      </c>
      <c r="EY32" s="6">
        <f t="shared" si="95"/>
        <v>6</v>
      </c>
      <c r="EZ32" s="6">
        <f t="shared" si="125"/>
        <v>22.259833333333333</v>
      </c>
    </row>
    <row r="33" spans="3:156" x14ac:dyDescent="0.2">
      <c r="C33" s="228" t="s">
        <v>114</v>
      </c>
      <c r="D33" s="28">
        <f>IFERROR(IF(B12="W",D23,D22),"0")</f>
        <v>61.250000000000007</v>
      </c>
      <c r="E33" s="86">
        <f t="shared" si="96"/>
        <v>2</v>
      </c>
      <c r="F33" s="33" t="s">
        <v>52</v>
      </c>
      <c r="G33" s="49">
        <f t="shared" si="97"/>
        <v>18</v>
      </c>
      <c r="H33" s="12" t="s">
        <v>53</v>
      </c>
      <c r="I33" s="33">
        <f t="shared" si="98"/>
        <v>0</v>
      </c>
      <c r="J33" s="49" t="s">
        <v>54</v>
      </c>
      <c r="K33" s="12">
        <f t="shared" si="99"/>
        <v>1</v>
      </c>
      <c r="L33" s="33" t="s">
        <v>52</v>
      </c>
      <c r="M33" s="49">
        <f t="shared" si="100"/>
        <v>4</v>
      </c>
      <c r="N33" s="12" t="s">
        <v>53</v>
      </c>
      <c r="O33" s="33">
        <f t="shared" si="101"/>
        <v>0</v>
      </c>
      <c r="P33" s="49" t="s">
        <v>54</v>
      </c>
      <c r="Q33" s="12">
        <f t="shared" si="102"/>
        <v>1</v>
      </c>
      <c r="R33" s="33" t="s">
        <v>52</v>
      </c>
      <c r="S33" s="49">
        <f t="shared" si="103"/>
        <v>6</v>
      </c>
      <c r="T33" s="12" t="s">
        <v>53</v>
      </c>
      <c r="U33" s="33">
        <f t="shared" si="104"/>
        <v>0</v>
      </c>
      <c r="V33" s="49" t="s">
        <v>54</v>
      </c>
      <c r="W33" s="12">
        <f t="shared" si="105"/>
        <v>0</v>
      </c>
      <c r="X33" s="33" t="s">
        <v>52</v>
      </c>
      <c r="Y33" s="49">
        <f t="shared" si="106"/>
        <v>8</v>
      </c>
      <c r="Z33" s="12" t="s">
        <v>53</v>
      </c>
      <c r="AA33" s="33">
        <f t="shared" si="107"/>
        <v>0</v>
      </c>
      <c r="AB33" s="49" t="s">
        <v>54</v>
      </c>
      <c r="AC33" s="12">
        <f t="shared" si="108"/>
        <v>2.15</v>
      </c>
      <c r="AD33" s="33" t="s">
        <v>52</v>
      </c>
      <c r="AE33" s="53">
        <f t="shared" si="109"/>
        <v>3</v>
      </c>
      <c r="AF33" s="12"/>
      <c r="AG33" s="43">
        <f t="shared" si="110"/>
        <v>1</v>
      </c>
      <c r="AH33" s="33" t="s">
        <v>52</v>
      </c>
      <c r="AI33" s="49">
        <f t="shared" si="111"/>
        <v>15</v>
      </c>
      <c r="AJ33" s="12" t="s">
        <v>53</v>
      </c>
      <c r="AK33" s="33">
        <f t="shared" si="112"/>
        <v>0</v>
      </c>
      <c r="AL33" s="49" t="s">
        <v>54</v>
      </c>
      <c r="AM33" s="12">
        <f t="shared" si="113"/>
        <v>0</v>
      </c>
      <c r="AN33" s="33" t="s">
        <v>52</v>
      </c>
      <c r="AO33" s="49">
        <f t="shared" si="114"/>
        <v>3</v>
      </c>
      <c r="AP33" s="12" t="s">
        <v>53</v>
      </c>
      <c r="AQ33" s="33">
        <f t="shared" si="115"/>
        <v>0</v>
      </c>
      <c r="AR33" s="49" t="s">
        <v>54</v>
      </c>
      <c r="AS33" s="12">
        <f t="shared" si="116"/>
        <v>1</v>
      </c>
      <c r="AT33" s="33" t="s">
        <v>52</v>
      </c>
      <c r="AU33" s="49">
        <f t="shared" si="117"/>
        <v>6</v>
      </c>
      <c r="AV33" s="12" t="s">
        <v>53</v>
      </c>
      <c r="AW33" s="33">
        <f t="shared" si="118"/>
        <v>0</v>
      </c>
      <c r="AX33" s="49" t="s">
        <v>54</v>
      </c>
      <c r="AY33" s="12">
        <f t="shared" si="119"/>
        <v>0</v>
      </c>
      <c r="AZ33" s="33" t="s">
        <v>52</v>
      </c>
      <c r="BA33" s="49">
        <f t="shared" si="120"/>
        <v>6</v>
      </c>
      <c r="BB33" s="12" t="s">
        <v>53</v>
      </c>
      <c r="BC33" s="33">
        <f t="shared" si="121"/>
        <v>0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1</v>
      </c>
      <c r="BJ33" s="33" t="s">
        <v>52</v>
      </c>
      <c r="BK33" s="49">
        <f>IFERROR(IF($B$12="W",BK23,BK22),"0")</f>
        <v>3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1</v>
      </c>
      <c r="BP33" s="33" t="s">
        <v>52</v>
      </c>
      <c r="BQ33" s="49">
        <f>IFERROR(IF($B$12="W",BQ23,BQ22),"0")</f>
        <v>1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0</v>
      </c>
      <c r="CB33" s="33" t="s">
        <v>52</v>
      </c>
      <c r="CC33" s="49">
        <f>IFERROR(IF($B$12="W",CC23,CC22),"0")</f>
        <v>2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3</v>
      </c>
      <c r="CK33" s="33">
        <f t="shared" si="132"/>
        <v>10</v>
      </c>
      <c r="CL33" s="33">
        <f t="shared" si="132"/>
        <v>0</v>
      </c>
      <c r="CM33" s="33">
        <f t="shared" si="132"/>
        <v>0</v>
      </c>
      <c r="CN33" s="33">
        <f t="shared" si="132"/>
        <v>13</v>
      </c>
      <c r="CO33" s="33">
        <f t="shared" si="132"/>
        <v>0</v>
      </c>
      <c r="CP33" s="33">
        <f t="shared" si="132"/>
        <v>6</v>
      </c>
      <c r="CQ33" s="33">
        <f t="shared" si="132"/>
        <v>6</v>
      </c>
      <c r="CR33" s="33">
        <f t="shared" si="132"/>
        <v>3</v>
      </c>
      <c r="CS33" s="33">
        <f t="shared" si="132"/>
        <v>3</v>
      </c>
      <c r="CT33" s="33">
        <f t="shared" si="132"/>
        <v>4</v>
      </c>
      <c r="CU33" s="33">
        <f t="shared" si="132"/>
        <v>0</v>
      </c>
      <c r="CV33" s="58">
        <f t="shared" si="132"/>
        <v>6.15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19.88276431965528</v>
      </c>
      <c r="EW33" s="228" t="s">
        <v>114</v>
      </c>
      <c r="EX33" s="6">
        <f t="shared" si="94"/>
        <v>2.15</v>
      </c>
      <c r="EY33" s="6">
        <f t="shared" si="95"/>
        <v>3</v>
      </c>
      <c r="EZ33" s="6">
        <f t="shared" si="125"/>
        <v>3.1036666666666668</v>
      </c>
    </row>
    <row r="34" spans="3:156" x14ac:dyDescent="0.2">
      <c r="C34" s="228" t="s">
        <v>223</v>
      </c>
      <c r="D34" s="28">
        <f>IFERROR(IF(B13="W",D23,D22),"0")</f>
        <v>61.250000000000007</v>
      </c>
      <c r="E34" s="86">
        <f t="shared" si="96"/>
        <v>2</v>
      </c>
      <c r="F34" s="33" t="s">
        <v>52</v>
      </c>
      <c r="G34" s="49">
        <f t="shared" si="97"/>
        <v>18</v>
      </c>
      <c r="H34" s="12" t="s">
        <v>53</v>
      </c>
      <c r="I34" s="33">
        <f t="shared" si="98"/>
        <v>0</v>
      </c>
      <c r="J34" s="49" t="s">
        <v>54</v>
      </c>
      <c r="K34" s="12">
        <f t="shared" si="99"/>
        <v>1</v>
      </c>
      <c r="L34" s="33" t="s">
        <v>52</v>
      </c>
      <c r="M34" s="49">
        <f t="shared" si="100"/>
        <v>4</v>
      </c>
      <c r="N34" s="12" t="s">
        <v>53</v>
      </c>
      <c r="O34" s="33">
        <f t="shared" si="101"/>
        <v>0</v>
      </c>
      <c r="P34" s="49" t="s">
        <v>54</v>
      </c>
      <c r="Q34" s="12">
        <f t="shared" si="102"/>
        <v>1</v>
      </c>
      <c r="R34" s="33" t="s">
        <v>52</v>
      </c>
      <c r="S34" s="49">
        <f t="shared" si="103"/>
        <v>6</v>
      </c>
      <c r="T34" s="12" t="s">
        <v>53</v>
      </c>
      <c r="U34" s="33">
        <f t="shared" si="104"/>
        <v>0</v>
      </c>
      <c r="V34" s="49" t="s">
        <v>54</v>
      </c>
      <c r="W34" s="12">
        <f t="shared" si="105"/>
        <v>0</v>
      </c>
      <c r="X34" s="33" t="s">
        <v>52</v>
      </c>
      <c r="Y34" s="49">
        <f t="shared" si="106"/>
        <v>8</v>
      </c>
      <c r="Z34" s="12" t="s">
        <v>53</v>
      </c>
      <c r="AA34" s="33">
        <f t="shared" si="107"/>
        <v>0</v>
      </c>
      <c r="AB34" s="49" t="s">
        <v>54</v>
      </c>
      <c r="AC34" s="12">
        <f t="shared" si="108"/>
        <v>2.15</v>
      </c>
      <c r="AD34" s="33" t="s">
        <v>52</v>
      </c>
      <c r="AE34" s="53">
        <f t="shared" si="109"/>
        <v>3</v>
      </c>
      <c r="AF34" s="12"/>
      <c r="AG34" s="43">
        <f t="shared" si="110"/>
        <v>1</v>
      </c>
      <c r="AH34" s="33" t="s">
        <v>52</v>
      </c>
      <c r="AI34" s="49">
        <f t="shared" si="111"/>
        <v>15</v>
      </c>
      <c r="AJ34" s="12" t="s">
        <v>53</v>
      </c>
      <c r="AK34" s="33">
        <f t="shared" si="112"/>
        <v>0</v>
      </c>
      <c r="AL34" s="49" t="s">
        <v>54</v>
      </c>
      <c r="AM34" s="12">
        <f t="shared" si="113"/>
        <v>0</v>
      </c>
      <c r="AN34" s="33" t="s">
        <v>52</v>
      </c>
      <c r="AO34" s="49">
        <f t="shared" si="114"/>
        <v>3</v>
      </c>
      <c r="AP34" s="12" t="s">
        <v>53</v>
      </c>
      <c r="AQ34" s="33">
        <f t="shared" si="115"/>
        <v>0</v>
      </c>
      <c r="AR34" s="49" t="s">
        <v>54</v>
      </c>
      <c r="AS34" s="12">
        <f t="shared" si="116"/>
        <v>1</v>
      </c>
      <c r="AT34" s="33" t="s">
        <v>52</v>
      </c>
      <c r="AU34" s="49">
        <f t="shared" si="117"/>
        <v>6</v>
      </c>
      <c r="AV34" s="12" t="s">
        <v>53</v>
      </c>
      <c r="AW34" s="33">
        <f t="shared" si="118"/>
        <v>0</v>
      </c>
      <c r="AX34" s="49" t="s">
        <v>54</v>
      </c>
      <c r="AY34" s="12">
        <f t="shared" si="119"/>
        <v>0</v>
      </c>
      <c r="AZ34" s="33" t="s">
        <v>52</v>
      </c>
      <c r="BA34" s="49">
        <f t="shared" si="120"/>
        <v>6</v>
      </c>
      <c r="BB34" s="12" t="s">
        <v>53</v>
      </c>
      <c r="BC34" s="33">
        <f t="shared" si="121"/>
        <v>0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1</v>
      </c>
      <c r="BJ34" s="33" t="s">
        <v>52</v>
      </c>
      <c r="BK34" s="49">
        <f>IFERROR(IF($B$13="W",BK23,BK22),"0")</f>
        <v>3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1</v>
      </c>
      <c r="BP34" s="33" t="s">
        <v>52</v>
      </c>
      <c r="BQ34" s="49">
        <f>IFERROR(IF($B$13="W",BQ23,BQ22),"0")</f>
        <v>1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0</v>
      </c>
      <c r="CB34" s="33" t="s">
        <v>52</v>
      </c>
      <c r="CC34" s="49">
        <f>IFERROR(IF($B$13="W",CC23,CC22),"0")</f>
        <v>2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3</v>
      </c>
      <c r="CK34" s="33">
        <f t="shared" si="133"/>
        <v>10</v>
      </c>
      <c r="CL34" s="33">
        <f t="shared" si="133"/>
        <v>0</v>
      </c>
      <c r="CM34" s="33">
        <f t="shared" si="133"/>
        <v>0</v>
      </c>
      <c r="CN34" s="33">
        <f t="shared" si="133"/>
        <v>13</v>
      </c>
      <c r="CO34" s="33">
        <f t="shared" si="133"/>
        <v>0</v>
      </c>
      <c r="CP34" s="33">
        <f t="shared" si="133"/>
        <v>6</v>
      </c>
      <c r="CQ34" s="33">
        <f t="shared" si="133"/>
        <v>6</v>
      </c>
      <c r="CR34" s="33">
        <f t="shared" si="133"/>
        <v>3</v>
      </c>
      <c r="CS34" s="33">
        <f t="shared" si="133"/>
        <v>3</v>
      </c>
      <c r="CT34" s="33">
        <f t="shared" si="133"/>
        <v>4</v>
      </c>
      <c r="CU34" s="33">
        <f t="shared" si="133"/>
        <v>0</v>
      </c>
      <c r="CV34" s="58">
        <f t="shared" si="133"/>
        <v>6.15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19.88276431965528</v>
      </c>
      <c r="EW34" s="228" t="s">
        <v>223</v>
      </c>
      <c r="EX34" s="6">
        <f t="shared" si="94"/>
        <v>2.15</v>
      </c>
      <c r="EY34" s="6">
        <f t="shared" si="95"/>
        <v>3</v>
      </c>
      <c r="EZ34" s="6">
        <f t="shared" si="125"/>
        <v>3.1036666666666668</v>
      </c>
    </row>
    <row r="35" spans="3:156" x14ac:dyDescent="0.2">
      <c r="C35" s="228" t="s">
        <v>80</v>
      </c>
      <c r="D35" s="28">
        <f>IFERROR(IF(B14="W",D23,D22),"0")</f>
        <v>61.25</v>
      </c>
      <c r="E35" s="86">
        <f t="shared" si="96"/>
        <v>20</v>
      </c>
      <c r="F35" s="33" t="s">
        <v>52</v>
      </c>
      <c r="G35" s="49">
        <f t="shared" si="97"/>
        <v>31</v>
      </c>
      <c r="H35" s="12" t="s">
        <v>53</v>
      </c>
      <c r="I35" s="33">
        <f t="shared" si="98"/>
        <v>10</v>
      </c>
      <c r="J35" s="49" t="s">
        <v>54</v>
      </c>
      <c r="K35" s="12">
        <f t="shared" si="99"/>
        <v>10</v>
      </c>
      <c r="L35" s="33" t="s">
        <v>52</v>
      </c>
      <c r="M35" s="49">
        <f t="shared" si="100"/>
        <v>12</v>
      </c>
      <c r="N35" s="12" t="s">
        <v>53</v>
      </c>
      <c r="O35" s="33">
        <f t="shared" si="101"/>
        <v>5</v>
      </c>
      <c r="P35" s="49" t="s">
        <v>54</v>
      </c>
      <c r="Q35" s="12">
        <f t="shared" si="102"/>
        <v>5</v>
      </c>
      <c r="R35" s="33" t="s">
        <v>52</v>
      </c>
      <c r="S35" s="49">
        <f t="shared" si="103"/>
        <v>8</v>
      </c>
      <c r="T35" s="12" t="s">
        <v>53</v>
      </c>
      <c r="U35" s="33">
        <f t="shared" si="104"/>
        <v>1</v>
      </c>
      <c r="V35" s="49" t="s">
        <v>54</v>
      </c>
      <c r="W35" s="12">
        <f t="shared" si="105"/>
        <v>5</v>
      </c>
      <c r="X35" s="33" t="s">
        <v>52</v>
      </c>
      <c r="Y35" s="49">
        <f t="shared" si="106"/>
        <v>11</v>
      </c>
      <c r="Z35" s="12" t="s">
        <v>53</v>
      </c>
      <c r="AA35" s="33">
        <f t="shared" si="107"/>
        <v>4</v>
      </c>
      <c r="AB35" s="49" t="s">
        <v>54</v>
      </c>
      <c r="AC35" s="12">
        <f t="shared" si="108"/>
        <v>4.5500000000000007</v>
      </c>
      <c r="AD35" s="33" t="s">
        <v>52</v>
      </c>
      <c r="AE35" s="53">
        <f t="shared" si="109"/>
        <v>6</v>
      </c>
      <c r="AF35" s="12"/>
      <c r="AG35" s="43">
        <f t="shared" si="110"/>
        <v>18</v>
      </c>
      <c r="AH35" s="33" t="s">
        <v>52</v>
      </c>
      <c r="AI35" s="49">
        <f t="shared" si="111"/>
        <v>28</v>
      </c>
      <c r="AJ35" s="12" t="s">
        <v>53</v>
      </c>
      <c r="AK35" s="33">
        <f t="shared" si="112"/>
        <v>10</v>
      </c>
      <c r="AL35" s="49" t="s">
        <v>54</v>
      </c>
      <c r="AM35" s="12">
        <f t="shared" si="113"/>
        <v>9</v>
      </c>
      <c r="AN35" s="33" t="s">
        <v>52</v>
      </c>
      <c r="AO35" s="49">
        <f t="shared" si="114"/>
        <v>11</v>
      </c>
      <c r="AP35" s="12" t="s">
        <v>53</v>
      </c>
      <c r="AQ35" s="33">
        <f t="shared" si="115"/>
        <v>5</v>
      </c>
      <c r="AR35" s="49" t="s">
        <v>54</v>
      </c>
      <c r="AS35" s="12">
        <f t="shared" si="116"/>
        <v>5</v>
      </c>
      <c r="AT35" s="33" t="s">
        <v>52</v>
      </c>
      <c r="AU35" s="49">
        <f t="shared" si="117"/>
        <v>8</v>
      </c>
      <c r="AV35" s="12" t="s">
        <v>53</v>
      </c>
      <c r="AW35" s="33">
        <f t="shared" si="118"/>
        <v>1</v>
      </c>
      <c r="AX35" s="49" t="s">
        <v>54</v>
      </c>
      <c r="AY35" s="12">
        <f t="shared" si="119"/>
        <v>4</v>
      </c>
      <c r="AZ35" s="33" t="s">
        <v>52</v>
      </c>
      <c r="BA35" s="49">
        <f t="shared" si="120"/>
        <v>9</v>
      </c>
      <c r="BB35" s="12" t="s">
        <v>53</v>
      </c>
      <c r="BC35" s="33">
        <f t="shared" si="121"/>
        <v>4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2</v>
      </c>
      <c r="BJ35" s="12" t="str">
        <f t="shared" ref="BJ35:CI35" si="134">IFERROR(IF($B$14="W",BJ23,BJ22),"0")</f>
        <v>-</v>
      </c>
      <c r="BK35" s="49">
        <f t="shared" si="134"/>
        <v>3</v>
      </c>
      <c r="BL35" s="12" t="str">
        <f t="shared" si="134"/>
        <v>(</v>
      </c>
      <c r="BM35" s="33">
        <f t="shared" si="134"/>
        <v>0</v>
      </c>
      <c r="BN35" s="49" t="str">
        <f t="shared" si="134"/>
        <v>)</v>
      </c>
      <c r="BO35" s="12">
        <f t="shared" si="134"/>
        <v>1</v>
      </c>
      <c r="BP35" s="12" t="str">
        <f t="shared" si="134"/>
        <v>-</v>
      </c>
      <c r="BQ35" s="49">
        <f t="shared" si="134"/>
        <v>1</v>
      </c>
      <c r="BR35" s="12" t="str">
        <f t="shared" si="134"/>
        <v>(</v>
      </c>
      <c r="BS35" s="33">
        <f t="shared" si="134"/>
        <v>0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1</v>
      </c>
      <c r="CB35" s="12" t="str">
        <f t="shared" si="134"/>
        <v>-</v>
      </c>
      <c r="CC35" s="49">
        <f t="shared" si="134"/>
        <v>2</v>
      </c>
      <c r="CD35" s="12" t="str">
        <f t="shared" si="134"/>
        <v>(</v>
      </c>
      <c r="CE35" s="33">
        <f t="shared" si="134"/>
        <v>0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1</v>
      </c>
      <c r="CK35" s="33">
        <f t="shared" ref="CK35:CV35" si="135">IFERROR(IF($B$14="W",CK23,CK22),"0")</f>
        <v>13</v>
      </c>
      <c r="CL35" s="33">
        <f t="shared" si="135"/>
        <v>0</v>
      </c>
      <c r="CM35" s="33">
        <f t="shared" si="135"/>
        <v>0</v>
      </c>
      <c r="CN35" s="33">
        <f t="shared" si="135"/>
        <v>14</v>
      </c>
      <c r="CO35" s="33">
        <f t="shared" si="135"/>
        <v>10</v>
      </c>
      <c r="CP35" s="33">
        <f t="shared" si="135"/>
        <v>11</v>
      </c>
      <c r="CQ35" s="33">
        <f t="shared" si="135"/>
        <v>3</v>
      </c>
      <c r="CR35" s="33">
        <f t="shared" si="135"/>
        <v>6</v>
      </c>
      <c r="CS35" s="33">
        <f t="shared" si="135"/>
        <v>2</v>
      </c>
      <c r="CT35" s="33">
        <f t="shared" si="135"/>
        <v>6</v>
      </c>
      <c r="CU35" s="33">
        <f t="shared" si="135"/>
        <v>1</v>
      </c>
      <c r="CV35" s="58">
        <f t="shared" si="135"/>
        <v>49.55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38.953601123893748</v>
      </c>
      <c r="EW35" s="228" t="s">
        <v>80</v>
      </c>
      <c r="EX35" s="6">
        <f t="shared" si="94"/>
        <v>4.5500000000000007</v>
      </c>
      <c r="EY35" s="6">
        <f t="shared" si="95"/>
        <v>6</v>
      </c>
      <c r="EZ35" s="6">
        <f t="shared" si="125"/>
        <v>22.259833333333333</v>
      </c>
    </row>
    <row r="36" spans="3:156" x14ac:dyDescent="0.2">
      <c r="C36" s="228" t="s">
        <v>224</v>
      </c>
      <c r="D36" s="28">
        <f>IFERROR(IF(B15="W",D23,D22),"0")</f>
        <v>61.25</v>
      </c>
      <c r="E36" s="86">
        <f t="shared" si="96"/>
        <v>20</v>
      </c>
      <c r="F36" s="33" t="s">
        <v>52</v>
      </c>
      <c r="G36" s="49">
        <f t="shared" si="97"/>
        <v>31</v>
      </c>
      <c r="H36" s="12" t="s">
        <v>53</v>
      </c>
      <c r="I36" s="33">
        <f t="shared" si="98"/>
        <v>10</v>
      </c>
      <c r="J36" s="49" t="s">
        <v>54</v>
      </c>
      <c r="K36" s="12">
        <f t="shared" si="99"/>
        <v>10</v>
      </c>
      <c r="L36" s="33" t="s">
        <v>52</v>
      </c>
      <c r="M36" s="49">
        <f t="shared" si="100"/>
        <v>12</v>
      </c>
      <c r="N36" s="12" t="s">
        <v>53</v>
      </c>
      <c r="O36" s="33">
        <f t="shared" si="101"/>
        <v>5</v>
      </c>
      <c r="P36" s="49" t="s">
        <v>54</v>
      </c>
      <c r="Q36" s="12">
        <f t="shared" si="102"/>
        <v>5</v>
      </c>
      <c r="R36" s="33" t="s">
        <v>52</v>
      </c>
      <c r="S36" s="49">
        <f t="shared" si="103"/>
        <v>8</v>
      </c>
      <c r="T36" s="12" t="s">
        <v>53</v>
      </c>
      <c r="U36" s="33">
        <f t="shared" si="104"/>
        <v>1</v>
      </c>
      <c r="V36" s="49" t="s">
        <v>54</v>
      </c>
      <c r="W36" s="12">
        <f t="shared" si="105"/>
        <v>5</v>
      </c>
      <c r="X36" s="33" t="s">
        <v>52</v>
      </c>
      <c r="Y36" s="49">
        <f t="shared" si="106"/>
        <v>11</v>
      </c>
      <c r="Z36" s="12" t="s">
        <v>53</v>
      </c>
      <c r="AA36" s="33">
        <f t="shared" si="107"/>
        <v>4</v>
      </c>
      <c r="AB36" s="49" t="s">
        <v>54</v>
      </c>
      <c r="AC36" s="12">
        <f t="shared" si="108"/>
        <v>4.5500000000000007</v>
      </c>
      <c r="AD36" s="33" t="s">
        <v>52</v>
      </c>
      <c r="AE36" s="53">
        <f t="shared" si="109"/>
        <v>6</v>
      </c>
      <c r="AF36" s="12"/>
      <c r="AG36" s="43">
        <f t="shared" si="110"/>
        <v>18</v>
      </c>
      <c r="AH36" s="33" t="s">
        <v>52</v>
      </c>
      <c r="AI36" s="49">
        <f t="shared" si="111"/>
        <v>28</v>
      </c>
      <c r="AJ36" s="12" t="s">
        <v>53</v>
      </c>
      <c r="AK36" s="33">
        <f t="shared" si="112"/>
        <v>10</v>
      </c>
      <c r="AL36" s="49" t="s">
        <v>54</v>
      </c>
      <c r="AM36" s="12">
        <f t="shared" si="113"/>
        <v>9</v>
      </c>
      <c r="AN36" s="33" t="s">
        <v>52</v>
      </c>
      <c r="AO36" s="49">
        <f t="shared" si="114"/>
        <v>11</v>
      </c>
      <c r="AP36" s="12" t="s">
        <v>53</v>
      </c>
      <c r="AQ36" s="33">
        <f t="shared" si="115"/>
        <v>5</v>
      </c>
      <c r="AR36" s="49" t="s">
        <v>54</v>
      </c>
      <c r="AS36" s="12">
        <f t="shared" si="116"/>
        <v>5</v>
      </c>
      <c r="AT36" s="33" t="s">
        <v>52</v>
      </c>
      <c r="AU36" s="49">
        <f t="shared" si="117"/>
        <v>8</v>
      </c>
      <c r="AV36" s="12" t="s">
        <v>53</v>
      </c>
      <c r="AW36" s="33">
        <f t="shared" si="118"/>
        <v>1</v>
      </c>
      <c r="AX36" s="49" t="s">
        <v>54</v>
      </c>
      <c r="AY36" s="12">
        <f t="shared" si="119"/>
        <v>4</v>
      </c>
      <c r="AZ36" s="33" t="s">
        <v>52</v>
      </c>
      <c r="BA36" s="49">
        <f t="shared" si="120"/>
        <v>9</v>
      </c>
      <c r="BB36" s="12" t="s">
        <v>53</v>
      </c>
      <c r="BC36" s="33">
        <f t="shared" si="121"/>
        <v>4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2</v>
      </c>
      <c r="BJ36" s="12" t="str">
        <f t="shared" ref="BJ36:CI36" si="136">IFERROR(IF($B$15="W",BJ23,BJ22),"0")</f>
        <v>-</v>
      </c>
      <c r="BK36" s="49">
        <f t="shared" si="136"/>
        <v>3</v>
      </c>
      <c r="BL36" s="12" t="str">
        <f t="shared" si="136"/>
        <v>(</v>
      </c>
      <c r="BM36" s="33">
        <f t="shared" si="136"/>
        <v>0</v>
      </c>
      <c r="BN36" s="49" t="str">
        <f t="shared" si="136"/>
        <v>)</v>
      </c>
      <c r="BO36" s="12">
        <f t="shared" si="136"/>
        <v>1</v>
      </c>
      <c r="BP36" s="12" t="str">
        <f t="shared" si="136"/>
        <v>-</v>
      </c>
      <c r="BQ36" s="49">
        <f t="shared" si="136"/>
        <v>1</v>
      </c>
      <c r="BR36" s="12" t="str">
        <f t="shared" si="136"/>
        <v>(</v>
      </c>
      <c r="BS36" s="33">
        <f t="shared" si="136"/>
        <v>0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0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1</v>
      </c>
      <c r="CB36" s="12" t="str">
        <f t="shared" si="136"/>
        <v>-</v>
      </c>
      <c r="CC36" s="49">
        <f t="shared" si="136"/>
        <v>2</v>
      </c>
      <c r="CD36" s="12" t="str">
        <f t="shared" si="136"/>
        <v>(</v>
      </c>
      <c r="CE36" s="33">
        <f t="shared" si="136"/>
        <v>0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1</v>
      </c>
      <c r="CK36" s="33">
        <f t="shared" ref="CK36:CV36" si="137">IFERROR(IF($B$15="W",CK23,CK22),"0")</f>
        <v>13</v>
      </c>
      <c r="CL36" s="33">
        <f t="shared" si="137"/>
        <v>0</v>
      </c>
      <c r="CM36" s="33">
        <f t="shared" si="137"/>
        <v>0</v>
      </c>
      <c r="CN36" s="33">
        <f t="shared" si="137"/>
        <v>14</v>
      </c>
      <c r="CO36" s="33">
        <f t="shared" si="137"/>
        <v>10</v>
      </c>
      <c r="CP36" s="33">
        <f t="shared" si="137"/>
        <v>11</v>
      </c>
      <c r="CQ36" s="33">
        <f t="shared" si="137"/>
        <v>3</v>
      </c>
      <c r="CR36" s="33">
        <f t="shared" si="137"/>
        <v>6</v>
      </c>
      <c r="CS36" s="33">
        <f t="shared" si="137"/>
        <v>2</v>
      </c>
      <c r="CT36" s="33">
        <f t="shared" si="137"/>
        <v>6</v>
      </c>
      <c r="CU36" s="33">
        <f t="shared" si="137"/>
        <v>1</v>
      </c>
      <c r="CV36" s="58">
        <f t="shared" si="137"/>
        <v>49.55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38.953601123893748</v>
      </c>
      <c r="EW36" s="228" t="s">
        <v>224</v>
      </c>
      <c r="EX36" s="6">
        <f t="shared" si="94"/>
        <v>4.5500000000000007</v>
      </c>
      <c r="EY36" s="6">
        <f t="shared" si="95"/>
        <v>6</v>
      </c>
      <c r="EZ36" s="6">
        <f t="shared" si="125"/>
        <v>22.259833333333333</v>
      </c>
    </row>
    <row r="37" spans="3:156" x14ac:dyDescent="0.2">
      <c r="C37" s="228" t="s">
        <v>112</v>
      </c>
      <c r="D37" s="28">
        <f>IFERROR(IF(B16="W",D23,D22),"0")</f>
        <v>61.25</v>
      </c>
      <c r="E37" s="86">
        <f t="shared" si="96"/>
        <v>20</v>
      </c>
      <c r="F37" s="33" t="s">
        <v>52</v>
      </c>
      <c r="G37" s="49">
        <f t="shared" si="97"/>
        <v>31</v>
      </c>
      <c r="H37" s="12" t="s">
        <v>53</v>
      </c>
      <c r="I37" s="33">
        <f t="shared" si="98"/>
        <v>10</v>
      </c>
      <c r="J37" s="49" t="s">
        <v>54</v>
      </c>
      <c r="K37" s="12">
        <f t="shared" si="99"/>
        <v>10</v>
      </c>
      <c r="L37" s="33" t="s">
        <v>52</v>
      </c>
      <c r="M37" s="49">
        <f t="shared" si="100"/>
        <v>12</v>
      </c>
      <c r="N37" s="12" t="s">
        <v>53</v>
      </c>
      <c r="O37" s="33">
        <f t="shared" si="101"/>
        <v>5</v>
      </c>
      <c r="P37" s="49" t="s">
        <v>54</v>
      </c>
      <c r="Q37" s="12">
        <f t="shared" si="102"/>
        <v>5</v>
      </c>
      <c r="R37" s="33" t="s">
        <v>52</v>
      </c>
      <c r="S37" s="49">
        <f t="shared" si="103"/>
        <v>8</v>
      </c>
      <c r="T37" s="12" t="s">
        <v>53</v>
      </c>
      <c r="U37" s="33">
        <f t="shared" si="104"/>
        <v>1</v>
      </c>
      <c r="V37" s="49" t="s">
        <v>54</v>
      </c>
      <c r="W37" s="12">
        <f t="shared" si="105"/>
        <v>5</v>
      </c>
      <c r="X37" s="33" t="s">
        <v>52</v>
      </c>
      <c r="Y37" s="49">
        <f t="shared" si="106"/>
        <v>11</v>
      </c>
      <c r="Z37" s="12" t="s">
        <v>53</v>
      </c>
      <c r="AA37" s="33">
        <f t="shared" si="107"/>
        <v>4</v>
      </c>
      <c r="AB37" s="49" t="s">
        <v>54</v>
      </c>
      <c r="AC37" s="12">
        <f t="shared" si="108"/>
        <v>4.5500000000000007</v>
      </c>
      <c r="AD37" s="33" t="s">
        <v>52</v>
      </c>
      <c r="AE37" s="53">
        <f t="shared" si="109"/>
        <v>6</v>
      </c>
      <c r="AF37" s="12"/>
      <c r="AG37" s="43">
        <f t="shared" si="110"/>
        <v>18</v>
      </c>
      <c r="AH37" s="33" t="s">
        <v>52</v>
      </c>
      <c r="AI37" s="49">
        <f t="shared" si="111"/>
        <v>28</v>
      </c>
      <c r="AJ37" s="12" t="s">
        <v>53</v>
      </c>
      <c r="AK37" s="33">
        <f t="shared" si="112"/>
        <v>10</v>
      </c>
      <c r="AL37" s="49" t="s">
        <v>54</v>
      </c>
      <c r="AM37" s="12">
        <f t="shared" si="113"/>
        <v>9</v>
      </c>
      <c r="AN37" s="33" t="s">
        <v>52</v>
      </c>
      <c r="AO37" s="49">
        <f t="shared" si="114"/>
        <v>11</v>
      </c>
      <c r="AP37" s="12" t="s">
        <v>53</v>
      </c>
      <c r="AQ37" s="33">
        <f t="shared" si="115"/>
        <v>5</v>
      </c>
      <c r="AR37" s="49" t="s">
        <v>54</v>
      </c>
      <c r="AS37" s="12">
        <f t="shared" si="116"/>
        <v>5</v>
      </c>
      <c r="AT37" s="33" t="s">
        <v>52</v>
      </c>
      <c r="AU37" s="49">
        <f t="shared" si="117"/>
        <v>8</v>
      </c>
      <c r="AV37" s="12" t="s">
        <v>53</v>
      </c>
      <c r="AW37" s="33">
        <f t="shared" si="118"/>
        <v>1</v>
      </c>
      <c r="AX37" s="49" t="s">
        <v>54</v>
      </c>
      <c r="AY37" s="12">
        <f t="shared" si="119"/>
        <v>4</v>
      </c>
      <c r="AZ37" s="33" t="s">
        <v>52</v>
      </c>
      <c r="BA37" s="49">
        <f t="shared" si="120"/>
        <v>9</v>
      </c>
      <c r="BB37" s="12" t="s">
        <v>53</v>
      </c>
      <c r="BC37" s="33">
        <f t="shared" si="121"/>
        <v>4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2</v>
      </c>
      <c r="BJ37" s="12" t="str">
        <f t="shared" ref="BJ37:CI37" si="138">IFERROR(IF($B$16="W",BJ23,BJ22),"0")</f>
        <v>-</v>
      </c>
      <c r="BK37" s="49">
        <f t="shared" si="138"/>
        <v>3</v>
      </c>
      <c r="BL37" s="12" t="str">
        <f t="shared" si="138"/>
        <v>(</v>
      </c>
      <c r="BM37" s="33">
        <f t="shared" si="138"/>
        <v>0</v>
      </c>
      <c r="BN37" s="49" t="str">
        <f t="shared" si="138"/>
        <v>)</v>
      </c>
      <c r="BO37" s="12">
        <f t="shared" si="138"/>
        <v>1</v>
      </c>
      <c r="BP37" s="12" t="str">
        <f t="shared" si="138"/>
        <v>-</v>
      </c>
      <c r="BQ37" s="49">
        <f t="shared" si="138"/>
        <v>1</v>
      </c>
      <c r="BR37" s="12" t="str">
        <f t="shared" si="138"/>
        <v>(</v>
      </c>
      <c r="BS37" s="33">
        <f t="shared" si="138"/>
        <v>0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0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1</v>
      </c>
      <c r="CB37" s="12" t="str">
        <f t="shared" si="138"/>
        <v>-</v>
      </c>
      <c r="CC37" s="49">
        <f t="shared" si="138"/>
        <v>2</v>
      </c>
      <c r="CD37" s="12" t="str">
        <f t="shared" si="138"/>
        <v>(</v>
      </c>
      <c r="CE37" s="33">
        <f t="shared" si="138"/>
        <v>0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1</v>
      </c>
      <c r="CK37" s="33">
        <f t="shared" ref="CK37:CV37" si="139">IFERROR(IF($B$16="W",CK23,CK22),"0")</f>
        <v>13</v>
      </c>
      <c r="CL37" s="33">
        <f t="shared" si="139"/>
        <v>0</v>
      </c>
      <c r="CM37" s="33">
        <f t="shared" si="139"/>
        <v>0</v>
      </c>
      <c r="CN37" s="33">
        <f t="shared" si="139"/>
        <v>14</v>
      </c>
      <c r="CO37" s="33">
        <f t="shared" si="139"/>
        <v>10</v>
      </c>
      <c r="CP37" s="33">
        <f t="shared" si="139"/>
        <v>11</v>
      </c>
      <c r="CQ37" s="33">
        <f t="shared" si="139"/>
        <v>3</v>
      </c>
      <c r="CR37" s="33">
        <f t="shared" si="139"/>
        <v>6</v>
      </c>
      <c r="CS37" s="33">
        <f t="shared" si="139"/>
        <v>2</v>
      </c>
      <c r="CT37" s="33">
        <f t="shared" si="139"/>
        <v>6</v>
      </c>
      <c r="CU37" s="33">
        <f t="shared" si="139"/>
        <v>1</v>
      </c>
      <c r="CV37" s="58">
        <f t="shared" si="139"/>
        <v>49.55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38.953601123893748</v>
      </c>
      <c r="EW37" s="228" t="s">
        <v>112</v>
      </c>
      <c r="EX37" s="6">
        <f t="shared" si="94"/>
        <v>4.5500000000000007</v>
      </c>
      <c r="EY37" s="6">
        <f t="shared" si="95"/>
        <v>6</v>
      </c>
      <c r="EZ37" s="6">
        <f>IFERROR(IF(B16="W",$EZ$23,$EZ$22),"0")</f>
        <v>22.259833333333333</v>
      </c>
    </row>
    <row r="38" spans="3:156" x14ac:dyDescent="0.2">
      <c r="C38" s="229" t="s">
        <v>81</v>
      </c>
      <c r="D38" s="28">
        <f>IFERROR(IF(B17="W",D23,D22),"0")</f>
        <v>61.250000000000007</v>
      </c>
      <c r="E38" s="86">
        <f t="shared" si="96"/>
        <v>2</v>
      </c>
      <c r="F38" s="33" t="s">
        <v>52</v>
      </c>
      <c r="G38" s="49">
        <f t="shared" si="97"/>
        <v>18</v>
      </c>
      <c r="H38" s="12" t="s">
        <v>53</v>
      </c>
      <c r="I38" s="33">
        <f t="shared" si="98"/>
        <v>0</v>
      </c>
      <c r="J38" s="49" t="s">
        <v>54</v>
      </c>
      <c r="K38" s="12">
        <f t="shared" si="99"/>
        <v>1</v>
      </c>
      <c r="L38" s="33" t="s">
        <v>52</v>
      </c>
      <c r="M38" s="49">
        <f t="shared" si="100"/>
        <v>4</v>
      </c>
      <c r="N38" s="12" t="s">
        <v>53</v>
      </c>
      <c r="O38" s="33">
        <f t="shared" si="101"/>
        <v>0</v>
      </c>
      <c r="P38" s="49" t="s">
        <v>54</v>
      </c>
      <c r="Q38" s="12">
        <f t="shared" si="102"/>
        <v>1</v>
      </c>
      <c r="R38" s="33" t="s">
        <v>52</v>
      </c>
      <c r="S38" s="49">
        <f t="shared" si="103"/>
        <v>6</v>
      </c>
      <c r="T38" s="12" t="s">
        <v>53</v>
      </c>
      <c r="U38" s="33">
        <f t="shared" si="104"/>
        <v>0</v>
      </c>
      <c r="V38" s="49" t="s">
        <v>54</v>
      </c>
      <c r="W38" s="12">
        <f t="shared" si="105"/>
        <v>0</v>
      </c>
      <c r="X38" s="33" t="s">
        <v>52</v>
      </c>
      <c r="Y38" s="49">
        <f t="shared" si="106"/>
        <v>8</v>
      </c>
      <c r="Z38" s="12" t="s">
        <v>53</v>
      </c>
      <c r="AA38" s="33">
        <f t="shared" si="107"/>
        <v>0</v>
      </c>
      <c r="AB38" s="49" t="s">
        <v>54</v>
      </c>
      <c r="AC38" s="12">
        <f t="shared" si="108"/>
        <v>2.15</v>
      </c>
      <c r="AD38" s="33" t="s">
        <v>52</v>
      </c>
      <c r="AE38" s="53">
        <f t="shared" si="109"/>
        <v>3</v>
      </c>
      <c r="AF38" s="12"/>
      <c r="AG38" s="43">
        <f t="shared" si="110"/>
        <v>1</v>
      </c>
      <c r="AH38" s="33" t="s">
        <v>52</v>
      </c>
      <c r="AI38" s="49">
        <f t="shared" si="111"/>
        <v>15</v>
      </c>
      <c r="AJ38" s="12" t="s">
        <v>53</v>
      </c>
      <c r="AK38" s="33">
        <f t="shared" si="112"/>
        <v>0</v>
      </c>
      <c r="AL38" s="49" t="s">
        <v>54</v>
      </c>
      <c r="AM38" s="12">
        <f t="shared" si="113"/>
        <v>0</v>
      </c>
      <c r="AN38" s="33" t="s">
        <v>52</v>
      </c>
      <c r="AO38" s="49">
        <f t="shared" si="114"/>
        <v>3</v>
      </c>
      <c r="AP38" s="12" t="s">
        <v>53</v>
      </c>
      <c r="AQ38" s="33">
        <f t="shared" si="115"/>
        <v>0</v>
      </c>
      <c r="AR38" s="49" t="s">
        <v>54</v>
      </c>
      <c r="AS38" s="12">
        <f t="shared" si="116"/>
        <v>1</v>
      </c>
      <c r="AT38" s="33" t="s">
        <v>52</v>
      </c>
      <c r="AU38" s="49">
        <f t="shared" si="117"/>
        <v>6</v>
      </c>
      <c r="AV38" s="12" t="s">
        <v>53</v>
      </c>
      <c r="AW38" s="33">
        <f t="shared" si="118"/>
        <v>0</v>
      </c>
      <c r="AX38" s="49" t="s">
        <v>54</v>
      </c>
      <c r="AY38" s="12">
        <f t="shared" si="119"/>
        <v>0</v>
      </c>
      <c r="AZ38" s="33" t="s">
        <v>52</v>
      </c>
      <c r="BA38" s="49">
        <f t="shared" si="120"/>
        <v>6</v>
      </c>
      <c r="BB38" s="12" t="s">
        <v>53</v>
      </c>
      <c r="BC38" s="33">
        <f t="shared" si="121"/>
        <v>0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1</v>
      </c>
      <c r="BJ38" s="12" t="str">
        <f t="shared" ref="BJ38:CI38" si="140">IFERROR(IF($B$17="W",BJ23,BJ22),"0")</f>
        <v>-</v>
      </c>
      <c r="BK38" s="49">
        <f t="shared" si="140"/>
        <v>3</v>
      </c>
      <c r="BL38" s="12" t="str">
        <f t="shared" si="140"/>
        <v>(</v>
      </c>
      <c r="BM38" s="33">
        <f t="shared" si="140"/>
        <v>0</v>
      </c>
      <c r="BN38" s="49" t="str">
        <f t="shared" si="140"/>
        <v>)</v>
      </c>
      <c r="BO38" s="12">
        <f t="shared" si="140"/>
        <v>1</v>
      </c>
      <c r="BP38" s="12" t="str">
        <f t="shared" si="140"/>
        <v>-</v>
      </c>
      <c r="BQ38" s="49">
        <f t="shared" si="140"/>
        <v>1</v>
      </c>
      <c r="BR38" s="12" t="str">
        <f t="shared" si="140"/>
        <v>(</v>
      </c>
      <c r="BS38" s="33">
        <f t="shared" si="140"/>
        <v>0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0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0</v>
      </c>
      <c r="CB38" s="12" t="str">
        <f t="shared" si="140"/>
        <v>-</v>
      </c>
      <c r="CC38" s="49">
        <f t="shared" si="140"/>
        <v>2</v>
      </c>
      <c r="CD38" s="12" t="str">
        <f t="shared" si="140"/>
        <v>(</v>
      </c>
      <c r="CE38" s="33">
        <f t="shared" si="140"/>
        <v>0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3</v>
      </c>
      <c r="CK38" s="33">
        <f t="shared" ref="CK38:CV38" si="141">IFERROR(IF($B$17="W",CK23,CK22),"0")</f>
        <v>10</v>
      </c>
      <c r="CL38" s="33">
        <f t="shared" si="141"/>
        <v>0</v>
      </c>
      <c r="CM38" s="33">
        <f t="shared" si="141"/>
        <v>0</v>
      </c>
      <c r="CN38" s="33">
        <f t="shared" si="141"/>
        <v>13</v>
      </c>
      <c r="CO38" s="33">
        <f t="shared" si="141"/>
        <v>0</v>
      </c>
      <c r="CP38" s="33">
        <f t="shared" si="141"/>
        <v>6</v>
      </c>
      <c r="CQ38" s="33">
        <f t="shared" si="141"/>
        <v>6</v>
      </c>
      <c r="CR38" s="33">
        <f t="shared" si="141"/>
        <v>3</v>
      </c>
      <c r="CS38" s="33">
        <f t="shared" si="141"/>
        <v>3</v>
      </c>
      <c r="CT38" s="33">
        <f t="shared" si="141"/>
        <v>4</v>
      </c>
      <c r="CU38" s="33">
        <f t="shared" si="141"/>
        <v>0</v>
      </c>
      <c r="CV38" s="58">
        <f t="shared" si="141"/>
        <v>6.15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19.88276431965528</v>
      </c>
      <c r="EW38" s="229" t="s">
        <v>81</v>
      </c>
      <c r="EX38" s="6">
        <f t="shared" si="94"/>
        <v>2.15</v>
      </c>
      <c r="EY38" s="6">
        <f t="shared" si="95"/>
        <v>3</v>
      </c>
      <c r="EZ38" s="6">
        <f t="shared" si="125"/>
        <v>3.1036666666666668</v>
      </c>
    </row>
    <row r="39" spans="3:156" x14ac:dyDescent="0.2">
      <c r="C39" s="229" t="s">
        <v>225</v>
      </c>
      <c r="D39" s="28">
        <f>IFERROR(IF(B18="W",D23,D22),"0")</f>
        <v>61.25</v>
      </c>
      <c r="E39" s="86">
        <f t="shared" si="96"/>
        <v>20</v>
      </c>
      <c r="F39" s="33" t="s">
        <v>52</v>
      </c>
      <c r="G39" s="49">
        <f t="shared" si="97"/>
        <v>31</v>
      </c>
      <c r="H39" s="12" t="s">
        <v>53</v>
      </c>
      <c r="I39" s="33">
        <f t="shared" si="98"/>
        <v>10</v>
      </c>
      <c r="J39" s="49" t="s">
        <v>54</v>
      </c>
      <c r="K39" s="12">
        <f t="shared" si="99"/>
        <v>10</v>
      </c>
      <c r="L39" s="33" t="s">
        <v>52</v>
      </c>
      <c r="M39" s="49">
        <f t="shared" si="100"/>
        <v>12</v>
      </c>
      <c r="N39" s="12" t="s">
        <v>53</v>
      </c>
      <c r="O39" s="33">
        <f t="shared" si="101"/>
        <v>5</v>
      </c>
      <c r="P39" s="49" t="s">
        <v>54</v>
      </c>
      <c r="Q39" s="12">
        <f t="shared" si="102"/>
        <v>5</v>
      </c>
      <c r="R39" s="33" t="s">
        <v>52</v>
      </c>
      <c r="S39" s="49">
        <f t="shared" si="103"/>
        <v>8</v>
      </c>
      <c r="T39" s="12" t="s">
        <v>53</v>
      </c>
      <c r="U39" s="33">
        <f t="shared" si="104"/>
        <v>1</v>
      </c>
      <c r="V39" s="49" t="s">
        <v>54</v>
      </c>
      <c r="W39" s="12">
        <f t="shared" si="105"/>
        <v>5</v>
      </c>
      <c r="X39" s="33" t="s">
        <v>52</v>
      </c>
      <c r="Y39" s="49">
        <f t="shared" si="106"/>
        <v>11</v>
      </c>
      <c r="Z39" s="12" t="s">
        <v>53</v>
      </c>
      <c r="AA39" s="33">
        <f t="shared" si="107"/>
        <v>4</v>
      </c>
      <c r="AB39" s="49" t="s">
        <v>54</v>
      </c>
      <c r="AC39" s="12">
        <f t="shared" si="108"/>
        <v>4.5500000000000007</v>
      </c>
      <c r="AD39" s="33" t="s">
        <v>52</v>
      </c>
      <c r="AE39" s="53">
        <f t="shared" si="109"/>
        <v>6</v>
      </c>
      <c r="AF39" s="12"/>
      <c r="AG39" s="43">
        <f t="shared" si="110"/>
        <v>18</v>
      </c>
      <c r="AH39" s="33" t="s">
        <v>52</v>
      </c>
      <c r="AI39" s="49">
        <f t="shared" si="111"/>
        <v>28</v>
      </c>
      <c r="AJ39" s="12" t="s">
        <v>53</v>
      </c>
      <c r="AK39" s="33">
        <f t="shared" si="112"/>
        <v>10</v>
      </c>
      <c r="AL39" s="49" t="s">
        <v>54</v>
      </c>
      <c r="AM39" s="12">
        <f t="shared" si="113"/>
        <v>9</v>
      </c>
      <c r="AN39" s="33" t="s">
        <v>52</v>
      </c>
      <c r="AO39" s="49">
        <f t="shared" si="114"/>
        <v>11</v>
      </c>
      <c r="AP39" s="12" t="s">
        <v>53</v>
      </c>
      <c r="AQ39" s="33">
        <f t="shared" si="115"/>
        <v>5</v>
      </c>
      <c r="AR39" s="49" t="s">
        <v>54</v>
      </c>
      <c r="AS39" s="12">
        <f t="shared" si="116"/>
        <v>5</v>
      </c>
      <c r="AT39" s="33" t="s">
        <v>52</v>
      </c>
      <c r="AU39" s="49">
        <f t="shared" si="117"/>
        <v>8</v>
      </c>
      <c r="AV39" s="12" t="s">
        <v>53</v>
      </c>
      <c r="AW39" s="33">
        <f t="shared" si="118"/>
        <v>1</v>
      </c>
      <c r="AX39" s="49" t="s">
        <v>54</v>
      </c>
      <c r="AY39" s="12">
        <f t="shared" si="119"/>
        <v>4</v>
      </c>
      <c r="AZ39" s="33" t="s">
        <v>52</v>
      </c>
      <c r="BA39" s="49">
        <f t="shared" si="120"/>
        <v>9</v>
      </c>
      <c r="BB39" s="12" t="s">
        <v>53</v>
      </c>
      <c r="BC39" s="33">
        <f t="shared" si="121"/>
        <v>4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2</v>
      </c>
      <c r="BJ39" s="12" t="str">
        <f t="shared" ref="BJ39:CI39" si="142">IFERROR(IF($B$18="W",BJ23,BJ22),"0")</f>
        <v>-</v>
      </c>
      <c r="BK39" s="49">
        <f t="shared" si="142"/>
        <v>3</v>
      </c>
      <c r="BL39" s="12" t="str">
        <f t="shared" si="142"/>
        <v>(</v>
      </c>
      <c r="BM39" s="33">
        <f t="shared" si="142"/>
        <v>0</v>
      </c>
      <c r="BN39" s="49" t="str">
        <f t="shared" si="142"/>
        <v>)</v>
      </c>
      <c r="BO39" s="12">
        <f t="shared" si="142"/>
        <v>1</v>
      </c>
      <c r="BP39" s="12" t="str">
        <f t="shared" si="142"/>
        <v>-</v>
      </c>
      <c r="BQ39" s="49">
        <f t="shared" si="142"/>
        <v>1</v>
      </c>
      <c r="BR39" s="12" t="str">
        <f t="shared" si="142"/>
        <v>(</v>
      </c>
      <c r="BS39" s="33">
        <f t="shared" si="142"/>
        <v>0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1</v>
      </c>
      <c r="CB39" s="12" t="str">
        <f t="shared" si="142"/>
        <v>-</v>
      </c>
      <c r="CC39" s="49">
        <f t="shared" si="142"/>
        <v>2</v>
      </c>
      <c r="CD39" s="12" t="str">
        <f t="shared" si="142"/>
        <v>(</v>
      </c>
      <c r="CE39" s="33">
        <f t="shared" si="142"/>
        <v>0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1</v>
      </c>
      <c r="CK39" s="33">
        <f t="shared" ref="CK39:CV39" si="143">IFERROR(IF($B$18="W",CK23,CK22),"0")</f>
        <v>13</v>
      </c>
      <c r="CL39" s="33">
        <f t="shared" si="143"/>
        <v>0</v>
      </c>
      <c r="CM39" s="33">
        <f t="shared" si="143"/>
        <v>0</v>
      </c>
      <c r="CN39" s="33">
        <f t="shared" si="143"/>
        <v>14</v>
      </c>
      <c r="CO39" s="33">
        <f t="shared" si="143"/>
        <v>10</v>
      </c>
      <c r="CP39" s="33">
        <f t="shared" si="143"/>
        <v>11</v>
      </c>
      <c r="CQ39" s="33">
        <f t="shared" si="143"/>
        <v>3</v>
      </c>
      <c r="CR39" s="33">
        <f t="shared" si="143"/>
        <v>6</v>
      </c>
      <c r="CS39" s="33">
        <f t="shared" si="143"/>
        <v>2</v>
      </c>
      <c r="CT39" s="33">
        <f t="shared" si="143"/>
        <v>6</v>
      </c>
      <c r="CU39" s="33">
        <f t="shared" si="143"/>
        <v>1</v>
      </c>
      <c r="CV39" s="58">
        <f t="shared" si="143"/>
        <v>49.55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38.953601123893748</v>
      </c>
      <c r="EW39" s="229" t="s">
        <v>225</v>
      </c>
      <c r="EX39" s="6">
        <f t="shared" si="94"/>
        <v>4.5500000000000007</v>
      </c>
      <c r="EY39" s="6">
        <f t="shared" si="95"/>
        <v>6</v>
      </c>
      <c r="EZ39" s="6">
        <f t="shared" si="125"/>
        <v>22.259833333333333</v>
      </c>
    </row>
    <row r="40" spans="3:156" x14ac:dyDescent="0.2">
      <c r="C40" s="38" t="s">
        <v>42</v>
      </c>
      <c r="D40" s="28">
        <f t="shared" ref="D40:D54" si="144">IFERROR(IF(B4="W",D$22,D$23),"0")</f>
        <v>61.25</v>
      </c>
      <c r="E40" s="86">
        <f>IFERROR(IF(B4="W",$E$22,$E$23),"0")</f>
        <v>20</v>
      </c>
      <c r="F40" s="33" t="s">
        <v>52</v>
      </c>
      <c r="G40" s="49">
        <f>IFERROR(IF(B4="W",$G$22,$G$23),"0")</f>
        <v>31</v>
      </c>
      <c r="H40" s="12" t="s">
        <v>53</v>
      </c>
      <c r="I40" s="33">
        <f>IFERROR(IF(B4="W",I$22,I$23),"0")</f>
        <v>10</v>
      </c>
      <c r="J40" s="49" t="s">
        <v>54</v>
      </c>
      <c r="K40" s="12">
        <f>IFERROR(IF(B4="W",K$22,K$23),"0")</f>
        <v>10</v>
      </c>
      <c r="L40" s="33" t="s">
        <v>52</v>
      </c>
      <c r="M40" s="49">
        <f>IFERROR(IF(B4="W",M$22,M$23),"0")</f>
        <v>12</v>
      </c>
      <c r="N40" s="12" t="s">
        <v>53</v>
      </c>
      <c r="O40" s="33">
        <f>IFERROR(IF(B4="W",O$22,O$23),"0")</f>
        <v>5</v>
      </c>
      <c r="P40" s="49" t="s">
        <v>54</v>
      </c>
      <c r="Q40" s="12">
        <f>IFERROR(IF(B4="W",Q$22,Q$23),"0")</f>
        <v>5</v>
      </c>
      <c r="R40" s="33" t="s">
        <v>52</v>
      </c>
      <c r="S40" s="49">
        <f>IFERROR(IF(B4="W",S$22,S$23),"0")</f>
        <v>8</v>
      </c>
      <c r="T40" s="12" t="s">
        <v>53</v>
      </c>
      <c r="U40" s="33">
        <f>IFERROR(IF(B4="W",U$22,U$23),"0")</f>
        <v>1</v>
      </c>
      <c r="V40" s="49" t="s">
        <v>54</v>
      </c>
      <c r="W40" s="12">
        <f>IFERROR(IF(B4="W",W$22,W$23),"0")</f>
        <v>5</v>
      </c>
      <c r="X40" s="33" t="s">
        <v>52</v>
      </c>
      <c r="Y40" s="49">
        <f>IFERROR(IF(B4="W",Y$22,Y$23),"0")</f>
        <v>11</v>
      </c>
      <c r="Z40" s="12" t="s">
        <v>53</v>
      </c>
      <c r="AA40" s="33">
        <f>IFERROR(IF(B4="W",AA$22,AA$23),"0")</f>
        <v>4</v>
      </c>
      <c r="AB40" s="49" t="s">
        <v>54</v>
      </c>
      <c r="AC40" s="12">
        <f>IFERROR(IF(B4="W",AC$22,AC$23),"0")</f>
        <v>4.5500000000000007</v>
      </c>
      <c r="AD40" s="33" t="s">
        <v>52</v>
      </c>
      <c r="AE40" s="53">
        <f>IFERROR(IF(B4="W",AE$22,AE$23),"0")</f>
        <v>6</v>
      </c>
      <c r="AF40" s="12"/>
      <c r="AG40" s="43">
        <f>IFERROR(IF(B4="W",AG$22,AG$23),"0")</f>
        <v>18</v>
      </c>
      <c r="AH40" s="33" t="s">
        <v>52</v>
      </c>
      <c r="AI40" s="49">
        <f>IFERROR(IF(B4="W",AI$22,AI$23),"0")</f>
        <v>28</v>
      </c>
      <c r="AJ40" s="12" t="s">
        <v>53</v>
      </c>
      <c r="AK40" s="33">
        <f>IFERROR(IF(B4="W",AK$22,AK$23),"0")</f>
        <v>10</v>
      </c>
      <c r="AL40" s="49" t="s">
        <v>54</v>
      </c>
      <c r="AM40" s="12">
        <f>IFERROR(IF(B4="W",AM$22,AM$23),"0")</f>
        <v>9</v>
      </c>
      <c r="AN40" s="33" t="s">
        <v>52</v>
      </c>
      <c r="AO40" s="49">
        <f>IFERROR(IF(B4="W",AO$22,AO$23),"0")</f>
        <v>11</v>
      </c>
      <c r="AP40" s="12" t="s">
        <v>53</v>
      </c>
      <c r="AQ40" s="33">
        <f>IFERROR(IF(B4="W",AQ$22,AQ$23),"0")</f>
        <v>5</v>
      </c>
      <c r="AR40" s="49" t="s">
        <v>54</v>
      </c>
      <c r="AS40" s="12">
        <f>IFERROR(IF(B4="W",AS$22,AS$23),"0")</f>
        <v>5</v>
      </c>
      <c r="AT40" s="33" t="s">
        <v>52</v>
      </c>
      <c r="AU40" s="49">
        <f>IFERROR(IF(B4="W",AU$22,AU$23),"0")</f>
        <v>8</v>
      </c>
      <c r="AV40" s="12" t="s">
        <v>53</v>
      </c>
      <c r="AW40" s="33">
        <f>IFERROR(IF(B4="W",AW$22,AW$23),"0")</f>
        <v>1</v>
      </c>
      <c r="AX40" s="49" t="s">
        <v>54</v>
      </c>
      <c r="AY40" s="12">
        <f>IFERROR(IF(B4="W",AY$22,AY$23),"0")</f>
        <v>4</v>
      </c>
      <c r="AZ40" s="33" t="s">
        <v>52</v>
      </c>
      <c r="BA40" s="49">
        <f>IFERROR(IF(B4="W",BA$22,BA$23),"0")</f>
        <v>9</v>
      </c>
      <c r="BB40" s="12" t="s">
        <v>53</v>
      </c>
      <c r="BC40" s="33">
        <f>IFERROR(IF(B4="W",BC$22,BC$23),"0")</f>
        <v>4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2</v>
      </c>
      <c r="BJ40" s="33" t="s">
        <v>52</v>
      </c>
      <c r="BK40" s="49">
        <f>IFERROR(IF($B$4="W",BK22,BK23),"0")</f>
        <v>3</v>
      </c>
      <c r="BL40" s="12" t="s">
        <v>53</v>
      </c>
      <c r="BM40" s="33">
        <f>IFERROR(IF($B$4="W",BM22,BM23),"0")</f>
        <v>0</v>
      </c>
      <c r="BN40" s="49" t="s">
        <v>54</v>
      </c>
      <c r="BO40" s="12">
        <f>IFERROR(IF($B$4="W",BO22,BO23),"0")</f>
        <v>1</v>
      </c>
      <c r="BP40" s="33" t="s">
        <v>52</v>
      </c>
      <c r="BQ40" s="49">
        <f>IFERROR(IF($B$4="W",BQ22,BQ23),"0")</f>
        <v>1</v>
      </c>
      <c r="BR40" s="12" t="s">
        <v>53</v>
      </c>
      <c r="BS40" s="33">
        <f>IFERROR(IF($B$4="W",BS22,BS23),"0")</f>
        <v>0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1</v>
      </c>
      <c r="CB40" s="33" t="s">
        <v>52</v>
      </c>
      <c r="CC40" s="49">
        <f>IFERROR(IF($B$4="W",CC22,CC23),"0")</f>
        <v>2</v>
      </c>
      <c r="CD40" s="12" t="s">
        <v>53</v>
      </c>
      <c r="CE40" s="33">
        <f>IFERROR(IF($B$4="W",CE22,CE23),"0")</f>
        <v>0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1</v>
      </c>
      <c r="CK40" s="33">
        <f t="shared" si="145"/>
        <v>13</v>
      </c>
      <c r="CL40" s="33">
        <f t="shared" si="145"/>
        <v>0</v>
      </c>
      <c r="CM40" s="33">
        <f t="shared" si="145"/>
        <v>0</v>
      </c>
      <c r="CN40" s="33">
        <f t="shared" si="145"/>
        <v>14</v>
      </c>
      <c r="CO40" s="33">
        <f t="shared" si="145"/>
        <v>10</v>
      </c>
      <c r="CP40" s="33">
        <f t="shared" si="145"/>
        <v>11</v>
      </c>
      <c r="CQ40" s="33">
        <f t="shared" si="145"/>
        <v>3</v>
      </c>
      <c r="CR40" s="33">
        <f t="shared" si="145"/>
        <v>6</v>
      </c>
      <c r="CS40" s="33">
        <f t="shared" si="145"/>
        <v>2</v>
      </c>
      <c r="CT40" s="33">
        <f t="shared" si="145"/>
        <v>6</v>
      </c>
      <c r="CU40" s="33">
        <f t="shared" si="145"/>
        <v>1</v>
      </c>
      <c r="CV40" s="58">
        <f t="shared" si="145"/>
        <v>49.55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38.953601123893748</v>
      </c>
      <c r="EW40" s="38" t="s">
        <v>42</v>
      </c>
      <c r="EX40" s="6">
        <f t="shared" ref="EX40:EX54" si="147">IFERROR(IF(B4="W",$EX$22,$EX$23),"0")</f>
        <v>4.5500000000000007</v>
      </c>
      <c r="EY40" s="6">
        <f>IFERROR(IF(B4="W",$EY$22,$EY$23),"0")</f>
        <v>6</v>
      </c>
      <c r="EZ40" s="6">
        <f>IFERROR(IF(B4="W",$EZ$22,$EZ$23),"0")</f>
        <v>22.259833333333333</v>
      </c>
    </row>
    <row r="41" spans="3:156" x14ac:dyDescent="0.2">
      <c r="C41" s="38" t="s">
        <v>43</v>
      </c>
      <c r="D41" s="28">
        <f t="shared" si="144"/>
        <v>61.250000000000007</v>
      </c>
      <c r="E41" s="86">
        <f t="shared" ref="E41:E54" si="148">IFERROR(IF(B5="W",$E$22,$E$23),"0")</f>
        <v>2</v>
      </c>
      <c r="F41" s="33" t="s">
        <v>52</v>
      </c>
      <c r="G41" s="49">
        <f t="shared" ref="G41:G54" si="149">IFERROR(IF(B5="W",$G$22,$G$23),"0")</f>
        <v>18</v>
      </c>
      <c r="H41" s="12" t="s">
        <v>53</v>
      </c>
      <c r="I41" s="33">
        <f t="shared" ref="I41:I54" si="150">IFERROR(IF(B5="W",I$22,I$23),"0")</f>
        <v>0</v>
      </c>
      <c r="J41" s="49" t="s">
        <v>54</v>
      </c>
      <c r="K41" s="12">
        <f t="shared" ref="K41:K54" si="151">IFERROR(IF(B5="W",K$22,K$23),"0")</f>
        <v>1</v>
      </c>
      <c r="L41" s="33" t="s">
        <v>52</v>
      </c>
      <c r="M41" s="49">
        <f t="shared" ref="M41:M54" si="152">IFERROR(IF(B5="W",M$22,M$23),"0")</f>
        <v>4</v>
      </c>
      <c r="N41" s="12" t="s">
        <v>53</v>
      </c>
      <c r="O41" s="33">
        <f t="shared" ref="O41:O54" si="153">IFERROR(IF(B5="W",O$22,O$23),"0")</f>
        <v>0</v>
      </c>
      <c r="P41" s="49" t="s">
        <v>54</v>
      </c>
      <c r="Q41" s="12">
        <f t="shared" ref="Q41:Q54" si="154">IFERROR(IF(B5="W",Q$22,Q$23),"0")</f>
        <v>1</v>
      </c>
      <c r="R41" s="33" t="s">
        <v>52</v>
      </c>
      <c r="S41" s="49">
        <f t="shared" ref="S41:S54" si="155">IFERROR(IF(B5="W",S$22,S$23),"0")</f>
        <v>6</v>
      </c>
      <c r="T41" s="12" t="s">
        <v>53</v>
      </c>
      <c r="U41" s="33">
        <f t="shared" ref="U41:U54" si="156">IFERROR(IF(B5="W",U$22,U$23),"0")</f>
        <v>0</v>
      </c>
      <c r="V41" s="49" t="s">
        <v>54</v>
      </c>
      <c r="W41" s="12">
        <f t="shared" ref="W41:W54" si="157">IFERROR(IF(B5="W",W$22,W$23),"0")</f>
        <v>0</v>
      </c>
      <c r="X41" s="33" t="s">
        <v>52</v>
      </c>
      <c r="Y41" s="49">
        <f t="shared" ref="Y41:Y54" si="158">IFERROR(IF(B5="W",Y$22,Y$23),"0")</f>
        <v>8</v>
      </c>
      <c r="Z41" s="12" t="s">
        <v>53</v>
      </c>
      <c r="AA41" s="33">
        <f t="shared" ref="AA41:AA54" si="159">IFERROR(IF(B5="W",AA$22,AA$23),"0")</f>
        <v>0</v>
      </c>
      <c r="AB41" s="49" t="s">
        <v>54</v>
      </c>
      <c r="AC41" s="12">
        <f t="shared" ref="AC41:AC54" si="160">IFERROR(IF(B5="W",AC$22,AC$23),"0")</f>
        <v>2.15</v>
      </c>
      <c r="AD41" s="33" t="s">
        <v>52</v>
      </c>
      <c r="AE41" s="53">
        <f t="shared" ref="AE41:AE54" si="161">IFERROR(IF(B5="W",AE$22,AE$23),"0")</f>
        <v>3</v>
      </c>
      <c r="AF41" s="12"/>
      <c r="AG41" s="43">
        <f t="shared" ref="AG41:AG54" si="162">IFERROR(IF(B5="W",AG$22,AG$23),"0")</f>
        <v>1</v>
      </c>
      <c r="AH41" s="33" t="s">
        <v>52</v>
      </c>
      <c r="AI41" s="49">
        <f t="shared" ref="AI41:AI54" si="163">IFERROR(IF(B5="W",AI$22,AI$23),"0")</f>
        <v>15</v>
      </c>
      <c r="AJ41" s="12" t="s">
        <v>53</v>
      </c>
      <c r="AK41" s="33">
        <f t="shared" ref="AK41:AK54" si="164">IFERROR(IF(B5="W",AK$22,AK$23),"0")</f>
        <v>0</v>
      </c>
      <c r="AL41" s="49" t="s">
        <v>54</v>
      </c>
      <c r="AM41" s="12">
        <f t="shared" ref="AM41:AM54" si="165">IFERROR(IF(B5="W",AM$22,AM$23),"0")</f>
        <v>0</v>
      </c>
      <c r="AN41" s="33" t="s">
        <v>52</v>
      </c>
      <c r="AO41" s="49">
        <f t="shared" ref="AO41:AO54" si="166">IFERROR(IF(B5="W",AO$22,AO$23),"0")</f>
        <v>3</v>
      </c>
      <c r="AP41" s="12" t="s">
        <v>53</v>
      </c>
      <c r="AQ41" s="33">
        <f t="shared" ref="AQ41:AQ54" si="167">IFERROR(IF(B5="W",AQ$22,AQ$23),"0")</f>
        <v>0</v>
      </c>
      <c r="AR41" s="49" t="s">
        <v>54</v>
      </c>
      <c r="AS41" s="12">
        <f t="shared" ref="AS41:AS54" si="168">IFERROR(IF(B5="W",AS$22,AS$23),"0")</f>
        <v>1</v>
      </c>
      <c r="AT41" s="33" t="s">
        <v>52</v>
      </c>
      <c r="AU41" s="49">
        <f t="shared" ref="AU41:AU54" si="169">IFERROR(IF(B5="W",AU$22,AU$23),"0")</f>
        <v>6</v>
      </c>
      <c r="AV41" s="12" t="s">
        <v>53</v>
      </c>
      <c r="AW41" s="33">
        <f t="shared" ref="AW41:AW54" si="170">IFERROR(IF(B5="W",AW$22,AW$23),"0")</f>
        <v>0</v>
      </c>
      <c r="AX41" s="49" t="s">
        <v>54</v>
      </c>
      <c r="AY41" s="12">
        <f t="shared" ref="AY41:AY54" si="171">IFERROR(IF(B5="W",AY$22,AY$23),"0")</f>
        <v>0</v>
      </c>
      <c r="AZ41" s="33" t="s">
        <v>52</v>
      </c>
      <c r="BA41" s="49">
        <f t="shared" ref="BA41:BA54" si="172">IFERROR(IF(B5="W",BA$22,BA$23),"0")</f>
        <v>6</v>
      </c>
      <c r="BB41" s="12" t="s">
        <v>53</v>
      </c>
      <c r="BC41" s="33">
        <f t="shared" ref="BC41:BC54" si="173">IFERROR(IF(B5="W",BC$22,BC$23),"0")</f>
        <v>0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1</v>
      </c>
      <c r="BJ41" s="33" t="s">
        <v>52</v>
      </c>
      <c r="BK41" s="49">
        <f>IFERROR(IF($B$5="W",BK22,BK23),"0")</f>
        <v>3</v>
      </c>
      <c r="BL41" s="12" t="s">
        <v>53</v>
      </c>
      <c r="BM41" s="33">
        <f>IFERROR(IF($B$5="W",BM22,BM23),"0")</f>
        <v>0</v>
      </c>
      <c r="BN41" s="49" t="s">
        <v>54</v>
      </c>
      <c r="BO41" s="12">
        <f>IFERROR(IF($B$5="W",BO22,BO23),"0")</f>
        <v>1</v>
      </c>
      <c r="BP41" s="33" t="s">
        <v>52</v>
      </c>
      <c r="BQ41" s="49">
        <f>IFERROR(IF($B$5="W",BQ22,BQ23),"0")</f>
        <v>1</v>
      </c>
      <c r="BR41" s="12" t="s">
        <v>53</v>
      </c>
      <c r="BS41" s="33">
        <f>IFERROR(IF($B$5="W",BS22,BS23),"0")</f>
        <v>0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0</v>
      </c>
      <c r="CB41" s="33" t="s">
        <v>52</v>
      </c>
      <c r="CC41" s="49">
        <f>IFERROR(IF($B$5="W",CC22,CC23),"0")</f>
        <v>2</v>
      </c>
      <c r="CD41" s="12" t="s">
        <v>53</v>
      </c>
      <c r="CE41" s="33">
        <f>IFERROR(IF($B$5="W",CE22,CE23),"0")</f>
        <v>0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3</v>
      </c>
      <c r="CK41" s="33">
        <f t="shared" si="176"/>
        <v>10</v>
      </c>
      <c r="CL41" s="33">
        <f t="shared" si="176"/>
        <v>0</v>
      </c>
      <c r="CM41" s="33">
        <f t="shared" si="176"/>
        <v>0</v>
      </c>
      <c r="CN41" s="33">
        <f t="shared" si="176"/>
        <v>13</v>
      </c>
      <c r="CO41" s="33">
        <f t="shared" si="176"/>
        <v>0</v>
      </c>
      <c r="CP41" s="33">
        <f t="shared" si="176"/>
        <v>6</v>
      </c>
      <c r="CQ41" s="33">
        <f t="shared" si="176"/>
        <v>6</v>
      </c>
      <c r="CR41" s="33">
        <f t="shared" si="176"/>
        <v>3</v>
      </c>
      <c r="CS41" s="33">
        <f t="shared" si="176"/>
        <v>3</v>
      </c>
      <c r="CT41" s="33">
        <f t="shared" si="176"/>
        <v>4</v>
      </c>
      <c r="CU41" s="33">
        <f t="shared" si="176"/>
        <v>0</v>
      </c>
      <c r="CV41" s="58">
        <f t="shared" si="176"/>
        <v>6.15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19.88276431965528</v>
      </c>
      <c r="EW41" s="38" t="s">
        <v>43</v>
      </c>
      <c r="EX41" s="6">
        <f t="shared" si="147"/>
        <v>2.15</v>
      </c>
      <c r="EY41" s="6">
        <f t="shared" ref="EY41:EY54" si="177">IFERROR(IF(B5="W",$EY$22,$EY$23),"0")</f>
        <v>3</v>
      </c>
      <c r="EZ41" s="6">
        <f t="shared" ref="EZ41:EZ54" si="178">IFERROR(IF(B5="W",$EZ$22,$EZ$23),"0")</f>
        <v>3.1036666666666668</v>
      </c>
    </row>
    <row r="42" spans="3:156" x14ac:dyDescent="0.2">
      <c r="C42" s="38" t="s">
        <v>44</v>
      </c>
      <c r="D42" s="28">
        <f t="shared" si="144"/>
        <v>61.250000000000007</v>
      </c>
      <c r="E42" s="86">
        <f t="shared" si="148"/>
        <v>2</v>
      </c>
      <c r="F42" s="33" t="s">
        <v>52</v>
      </c>
      <c r="G42" s="49">
        <f t="shared" si="149"/>
        <v>18</v>
      </c>
      <c r="H42" s="12" t="s">
        <v>53</v>
      </c>
      <c r="I42" s="33">
        <f t="shared" si="150"/>
        <v>0</v>
      </c>
      <c r="J42" s="49" t="s">
        <v>54</v>
      </c>
      <c r="K42" s="12">
        <f t="shared" si="151"/>
        <v>1</v>
      </c>
      <c r="L42" s="33" t="s">
        <v>52</v>
      </c>
      <c r="M42" s="49">
        <f t="shared" si="152"/>
        <v>4</v>
      </c>
      <c r="N42" s="12" t="s">
        <v>53</v>
      </c>
      <c r="O42" s="33">
        <f t="shared" si="153"/>
        <v>0</v>
      </c>
      <c r="P42" s="49" t="s">
        <v>54</v>
      </c>
      <c r="Q42" s="12">
        <f t="shared" si="154"/>
        <v>1</v>
      </c>
      <c r="R42" s="33" t="s">
        <v>52</v>
      </c>
      <c r="S42" s="49">
        <f t="shared" si="155"/>
        <v>6</v>
      </c>
      <c r="T42" s="12" t="s">
        <v>53</v>
      </c>
      <c r="U42" s="33">
        <f t="shared" si="156"/>
        <v>0</v>
      </c>
      <c r="V42" s="49" t="s">
        <v>54</v>
      </c>
      <c r="W42" s="12">
        <f t="shared" si="157"/>
        <v>0</v>
      </c>
      <c r="X42" s="33" t="s">
        <v>52</v>
      </c>
      <c r="Y42" s="49">
        <f t="shared" si="158"/>
        <v>8</v>
      </c>
      <c r="Z42" s="12" t="s">
        <v>53</v>
      </c>
      <c r="AA42" s="33">
        <f t="shared" si="159"/>
        <v>0</v>
      </c>
      <c r="AB42" s="49" t="s">
        <v>54</v>
      </c>
      <c r="AC42" s="12">
        <f t="shared" si="160"/>
        <v>2.15</v>
      </c>
      <c r="AD42" s="33" t="s">
        <v>52</v>
      </c>
      <c r="AE42" s="53">
        <f t="shared" si="161"/>
        <v>3</v>
      </c>
      <c r="AF42" s="12"/>
      <c r="AG42" s="43">
        <f t="shared" si="162"/>
        <v>1</v>
      </c>
      <c r="AH42" s="33" t="s">
        <v>52</v>
      </c>
      <c r="AI42" s="49">
        <f t="shared" si="163"/>
        <v>15</v>
      </c>
      <c r="AJ42" s="12" t="s">
        <v>53</v>
      </c>
      <c r="AK42" s="33">
        <f t="shared" si="164"/>
        <v>0</v>
      </c>
      <c r="AL42" s="49" t="s">
        <v>54</v>
      </c>
      <c r="AM42" s="12">
        <f t="shared" si="165"/>
        <v>0</v>
      </c>
      <c r="AN42" s="33" t="s">
        <v>52</v>
      </c>
      <c r="AO42" s="49">
        <f t="shared" si="166"/>
        <v>3</v>
      </c>
      <c r="AP42" s="12" t="s">
        <v>53</v>
      </c>
      <c r="AQ42" s="33">
        <f t="shared" si="167"/>
        <v>0</v>
      </c>
      <c r="AR42" s="49" t="s">
        <v>54</v>
      </c>
      <c r="AS42" s="12">
        <f t="shared" si="168"/>
        <v>1</v>
      </c>
      <c r="AT42" s="33" t="s">
        <v>52</v>
      </c>
      <c r="AU42" s="49">
        <f t="shared" si="169"/>
        <v>6</v>
      </c>
      <c r="AV42" s="12" t="s">
        <v>53</v>
      </c>
      <c r="AW42" s="33">
        <f t="shared" si="170"/>
        <v>0</v>
      </c>
      <c r="AX42" s="49" t="s">
        <v>54</v>
      </c>
      <c r="AY42" s="12">
        <f t="shared" si="171"/>
        <v>0</v>
      </c>
      <c r="AZ42" s="33" t="s">
        <v>52</v>
      </c>
      <c r="BA42" s="49">
        <f t="shared" si="172"/>
        <v>6</v>
      </c>
      <c r="BB42" s="12" t="s">
        <v>53</v>
      </c>
      <c r="BC42" s="33">
        <f t="shared" si="173"/>
        <v>0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1</v>
      </c>
      <c r="BJ42" s="33" t="s">
        <v>52</v>
      </c>
      <c r="BK42" s="49">
        <f>IFERROR(IF($B$6="W",BK22,BK23),"0")</f>
        <v>3</v>
      </c>
      <c r="BL42" s="12" t="s">
        <v>53</v>
      </c>
      <c r="BM42" s="33">
        <f>IFERROR(IF($B$6="W",BM22,BM23),"0")</f>
        <v>0</v>
      </c>
      <c r="BN42" s="49" t="s">
        <v>54</v>
      </c>
      <c r="BO42" s="12">
        <f>IFERROR(IF($B$6="W",BO22,BO23),"0")</f>
        <v>1</v>
      </c>
      <c r="BP42" s="33" t="s">
        <v>52</v>
      </c>
      <c r="BQ42" s="49">
        <f>IFERROR(IF($B$6="W",BQ22,BQ23),"0")</f>
        <v>1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0</v>
      </c>
      <c r="CB42" s="33" t="s">
        <v>52</v>
      </c>
      <c r="CC42" s="49">
        <f>IFERROR(IF($B$6="W",CC22,CC23),"0")</f>
        <v>2</v>
      </c>
      <c r="CD42" s="12" t="s">
        <v>53</v>
      </c>
      <c r="CE42" s="33">
        <f>IFERROR(IF($B$6="W",CE22,CE23),"0")</f>
        <v>0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3</v>
      </c>
      <c r="CK42" s="33">
        <f t="shared" si="179"/>
        <v>10</v>
      </c>
      <c r="CL42" s="33">
        <f t="shared" si="179"/>
        <v>0</v>
      </c>
      <c r="CM42" s="33">
        <f t="shared" si="179"/>
        <v>0</v>
      </c>
      <c r="CN42" s="33">
        <f t="shared" si="179"/>
        <v>13</v>
      </c>
      <c r="CO42" s="33">
        <f t="shared" si="179"/>
        <v>0</v>
      </c>
      <c r="CP42" s="33">
        <f t="shared" si="179"/>
        <v>6</v>
      </c>
      <c r="CQ42" s="33">
        <f t="shared" si="179"/>
        <v>6</v>
      </c>
      <c r="CR42" s="33">
        <f t="shared" si="179"/>
        <v>3</v>
      </c>
      <c r="CS42" s="33">
        <f t="shared" si="179"/>
        <v>3</v>
      </c>
      <c r="CT42" s="33">
        <f t="shared" si="179"/>
        <v>4</v>
      </c>
      <c r="CU42" s="33">
        <f t="shared" si="179"/>
        <v>0</v>
      </c>
      <c r="CV42" s="58">
        <f t="shared" si="179"/>
        <v>6.15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19.88276431965528</v>
      </c>
      <c r="EW42" s="38" t="s">
        <v>44</v>
      </c>
      <c r="EX42" s="6">
        <f t="shared" si="147"/>
        <v>2.15</v>
      </c>
      <c r="EY42" s="6">
        <f t="shared" si="177"/>
        <v>3</v>
      </c>
      <c r="EZ42" s="6">
        <f t="shared" si="178"/>
        <v>3.1036666666666668</v>
      </c>
    </row>
    <row r="43" spans="3:156" x14ac:dyDescent="0.2">
      <c r="C43" s="38" t="s">
        <v>45</v>
      </c>
      <c r="D43" s="28">
        <f t="shared" si="144"/>
        <v>61.25</v>
      </c>
      <c r="E43" s="86">
        <f t="shared" si="148"/>
        <v>20</v>
      </c>
      <c r="F43" s="33" t="s">
        <v>52</v>
      </c>
      <c r="G43" s="49">
        <f t="shared" si="149"/>
        <v>31</v>
      </c>
      <c r="H43" s="12" t="s">
        <v>53</v>
      </c>
      <c r="I43" s="33">
        <f t="shared" si="150"/>
        <v>10</v>
      </c>
      <c r="J43" s="49" t="s">
        <v>54</v>
      </c>
      <c r="K43" s="12">
        <f t="shared" si="151"/>
        <v>10</v>
      </c>
      <c r="L43" s="33" t="s">
        <v>52</v>
      </c>
      <c r="M43" s="49">
        <f t="shared" si="152"/>
        <v>12</v>
      </c>
      <c r="N43" s="12" t="s">
        <v>53</v>
      </c>
      <c r="O43" s="33">
        <f t="shared" si="153"/>
        <v>5</v>
      </c>
      <c r="P43" s="49" t="s">
        <v>54</v>
      </c>
      <c r="Q43" s="12">
        <f t="shared" si="154"/>
        <v>5</v>
      </c>
      <c r="R43" s="33" t="s">
        <v>52</v>
      </c>
      <c r="S43" s="49">
        <f t="shared" si="155"/>
        <v>8</v>
      </c>
      <c r="T43" s="12" t="s">
        <v>53</v>
      </c>
      <c r="U43" s="33">
        <f t="shared" si="156"/>
        <v>1</v>
      </c>
      <c r="V43" s="49" t="s">
        <v>54</v>
      </c>
      <c r="W43" s="12">
        <f t="shared" si="157"/>
        <v>5</v>
      </c>
      <c r="X43" s="33" t="s">
        <v>52</v>
      </c>
      <c r="Y43" s="49">
        <f t="shared" si="158"/>
        <v>11</v>
      </c>
      <c r="Z43" s="12" t="s">
        <v>53</v>
      </c>
      <c r="AA43" s="33">
        <f t="shared" si="159"/>
        <v>4</v>
      </c>
      <c r="AB43" s="49" t="s">
        <v>54</v>
      </c>
      <c r="AC43" s="12">
        <f t="shared" si="160"/>
        <v>4.5500000000000007</v>
      </c>
      <c r="AD43" s="33" t="s">
        <v>52</v>
      </c>
      <c r="AE43" s="53">
        <f t="shared" si="161"/>
        <v>6</v>
      </c>
      <c r="AF43" s="12"/>
      <c r="AG43" s="43">
        <f t="shared" si="162"/>
        <v>18</v>
      </c>
      <c r="AH43" s="33" t="s">
        <v>52</v>
      </c>
      <c r="AI43" s="49">
        <f t="shared" si="163"/>
        <v>28</v>
      </c>
      <c r="AJ43" s="12" t="s">
        <v>53</v>
      </c>
      <c r="AK43" s="33">
        <f t="shared" si="164"/>
        <v>10</v>
      </c>
      <c r="AL43" s="49" t="s">
        <v>54</v>
      </c>
      <c r="AM43" s="12">
        <f t="shared" si="165"/>
        <v>9</v>
      </c>
      <c r="AN43" s="33" t="s">
        <v>52</v>
      </c>
      <c r="AO43" s="49">
        <f t="shared" si="166"/>
        <v>11</v>
      </c>
      <c r="AP43" s="12" t="s">
        <v>53</v>
      </c>
      <c r="AQ43" s="33">
        <f t="shared" si="167"/>
        <v>5</v>
      </c>
      <c r="AR43" s="49" t="s">
        <v>54</v>
      </c>
      <c r="AS43" s="12">
        <f t="shared" si="168"/>
        <v>5</v>
      </c>
      <c r="AT43" s="33" t="s">
        <v>52</v>
      </c>
      <c r="AU43" s="49">
        <f t="shared" si="169"/>
        <v>8</v>
      </c>
      <c r="AV43" s="12" t="s">
        <v>53</v>
      </c>
      <c r="AW43" s="33">
        <f t="shared" si="170"/>
        <v>1</v>
      </c>
      <c r="AX43" s="49" t="s">
        <v>54</v>
      </c>
      <c r="AY43" s="12">
        <f t="shared" si="171"/>
        <v>4</v>
      </c>
      <c r="AZ43" s="33" t="s">
        <v>52</v>
      </c>
      <c r="BA43" s="49">
        <f t="shared" si="172"/>
        <v>9</v>
      </c>
      <c r="BB43" s="12" t="s">
        <v>53</v>
      </c>
      <c r="BC43" s="33">
        <f t="shared" si="173"/>
        <v>4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2</v>
      </c>
      <c r="BJ43" s="33" t="s">
        <v>52</v>
      </c>
      <c r="BK43" s="49">
        <f>IFERROR(IF($B$7="W",BK22,BK23),"0")</f>
        <v>3</v>
      </c>
      <c r="BL43" s="12" t="s">
        <v>53</v>
      </c>
      <c r="BM43" s="33">
        <f>IFERROR(IF($B$7="W",BM22,BM23),"0")</f>
        <v>0</v>
      </c>
      <c r="BN43" s="49" t="s">
        <v>54</v>
      </c>
      <c r="BO43" s="12">
        <f>IFERROR(IF($B$7="W",BO22,BO23),"0")</f>
        <v>1</v>
      </c>
      <c r="BP43" s="33" t="s">
        <v>52</v>
      </c>
      <c r="BQ43" s="49">
        <f>IFERROR(IF($B$7="W",BQ22,BQ23),"0")</f>
        <v>1</v>
      </c>
      <c r="BR43" s="12" t="s">
        <v>53</v>
      </c>
      <c r="BS43" s="33">
        <f>IFERROR(IF($B$7="W",BS22,BS23),"0")</f>
        <v>0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1</v>
      </c>
      <c r="CB43" s="33" t="s">
        <v>52</v>
      </c>
      <c r="CC43" s="49">
        <f>IFERROR(IF($B$7="W",CC22,CC23),"0")</f>
        <v>2</v>
      </c>
      <c r="CD43" s="12" t="s">
        <v>53</v>
      </c>
      <c r="CE43" s="33">
        <f>IFERROR(IF($B$7="W",CE22,CE23),"0")</f>
        <v>0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1</v>
      </c>
      <c r="CK43" s="33">
        <f t="shared" si="180"/>
        <v>13</v>
      </c>
      <c r="CL43" s="33">
        <f t="shared" si="180"/>
        <v>0</v>
      </c>
      <c r="CM43" s="33">
        <f t="shared" si="180"/>
        <v>0</v>
      </c>
      <c r="CN43" s="33">
        <f t="shared" si="180"/>
        <v>14</v>
      </c>
      <c r="CO43" s="33">
        <f t="shared" si="180"/>
        <v>10</v>
      </c>
      <c r="CP43" s="33">
        <f t="shared" si="180"/>
        <v>11</v>
      </c>
      <c r="CQ43" s="33">
        <f t="shared" si="180"/>
        <v>3</v>
      </c>
      <c r="CR43" s="33">
        <f t="shared" si="180"/>
        <v>6</v>
      </c>
      <c r="CS43" s="33">
        <f t="shared" si="180"/>
        <v>2</v>
      </c>
      <c r="CT43" s="33">
        <f t="shared" si="180"/>
        <v>6</v>
      </c>
      <c r="CU43" s="33">
        <f t="shared" si="180"/>
        <v>1</v>
      </c>
      <c r="CV43" s="58">
        <f t="shared" si="180"/>
        <v>49.55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38.953601123893748</v>
      </c>
      <c r="EW43" s="38" t="s">
        <v>45</v>
      </c>
      <c r="EX43" s="6">
        <f t="shared" si="147"/>
        <v>4.5500000000000007</v>
      </c>
      <c r="EY43" s="6">
        <f t="shared" si="177"/>
        <v>6</v>
      </c>
      <c r="EZ43" s="6">
        <f t="shared" si="178"/>
        <v>22.259833333333333</v>
      </c>
    </row>
    <row r="44" spans="3:156" x14ac:dyDescent="0.2">
      <c r="C44" s="38" t="s">
        <v>226</v>
      </c>
      <c r="D44" s="28">
        <f t="shared" si="144"/>
        <v>61.25</v>
      </c>
      <c r="E44" s="86">
        <f t="shared" si="148"/>
        <v>20</v>
      </c>
      <c r="F44" s="33" t="s">
        <v>52</v>
      </c>
      <c r="G44" s="49">
        <f t="shared" si="149"/>
        <v>31</v>
      </c>
      <c r="H44" s="12" t="s">
        <v>53</v>
      </c>
      <c r="I44" s="33">
        <f t="shared" si="150"/>
        <v>10</v>
      </c>
      <c r="J44" s="49" t="s">
        <v>54</v>
      </c>
      <c r="K44" s="12">
        <f t="shared" si="151"/>
        <v>10</v>
      </c>
      <c r="L44" s="33" t="s">
        <v>52</v>
      </c>
      <c r="M44" s="49">
        <f t="shared" si="152"/>
        <v>12</v>
      </c>
      <c r="N44" s="12" t="s">
        <v>53</v>
      </c>
      <c r="O44" s="33">
        <f t="shared" si="153"/>
        <v>5</v>
      </c>
      <c r="P44" s="49" t="s">
        <v>54</v>
      </c>
      <c r="Q44" s="12">
        <f t="shared" si="154"/>
        <v>5</v>
      </c>
      <c r="R44" s="33" t="s">
        <v>52</v>
      </c>
      <c r="S44" s="49">
        <f t="shared" si="155"/>
        <v>8</v>
      </c>
      <c r="T44" s="12" t="s">
        <v>53</v>
      </c>
      <c r="U44" s="33">
        <f t="shared" si="156"/>
        <v>1</v>
      </c>
      <c r="V44" s="49" t="s">
        <v>54</v>
      </c>
      <c r="W44" s="12">
        <f t="shared" si="157"/>
        <v>5</v>
      </c>
      <c r="X44" s="33" t="s">
        <v>52</v>
      </c>
      <c r="Y44" s="49">
        <f t="shared" si="158"/>
        <v>11</v>
      </c>
      <c r="Z44" s="12" t="s">
        <v>53</v>
      </c>
      <c r="AA44" s="33">
        <f t="shared" si="159"/>
        <v>4</v>
      </c>
      <c r="AB44" s="49" t="s">
        <v>54</v>
      </c>
      <c r="AC44" s="12">
        <f t="shared" si="160"/>
        <v>4.5500000000000007</v>
      </c>
      <c r="AD44" s="33" t="s">
        <v>52</v>
      </c>
      <c r="AE44" s="53">
        <f t="shared" si="161"/>
        <v>6</v>
      </c>
      <c r="AF44" s="12"/>
      <c r="AG44" s="43">
        <f t="shared" si="162"/>
        <v>18</v>
      </c>
      <c r="AH44" s="33" t="s">
        <v>52</v>
      </c>
      <c r="AI44" s="49">
        <f t="shared" si="163"/>
        <v>28</v>
      </c>
      <c r="AJ44" s="12" t="s">
        <v>53</v>
      </c>
      <c r="AK44" s="33">
        <f t="shared" si="164"/>
        <v>10</v>
      </c>
      <c r="AL44" s="49" t="s">
        <v>54</v>
      </c>
      <c r="AM44" s="12">
        <f t="shared" si="165"/>
        <v>9</v>
      </c>
      <c r="AN44" s="33" t="s">
        <v>52</v>
      </c>
      <c r="AO44" s="49">
        <f t="shared" si="166"/>
        <v>11</v>
      </c>
      <c r="AP44" s="12" t="s">
        <v>53</v>
      </c>
      <c r="AQ44" s="33">
        <f t="shared" si="167"/>
        <v>5</v>
      </c>
      <c r="AR44" s="49" t="s">
        <v>54</v>
      </c>
      <c r="AS44" s="12">
        <f t="shared" si="168"/>
        <v>5</v>
      </c>
      <c r="AT44" s="33" t="s">
        <v>52</v>
      </c>
      <c r="AU44" s="49">
        <f t="shared" si="169"/>
        <v>8</v>
      </c>
      <c r="AV44" s="12" t="s">
        <v>53</v>
      </c>
      <c r="AW44" s="33">
        <f t="shared" si="170"/>
        <v>1</v>
      </c>
      <c r="AX44" s="49" t="s">
        <v>54</v>
      </c>
      <c r="AY44" s="12">
        <f t="shared" si="171"/>
        <v>4</v>
      </c>
      <c r="AZ44" s="33" t="s">
        <v>52</v>
      </c>
      <c r="BA44" s="49">
        <f t="shared" si="172"/>
        <v>9</v>
      </c>
      <c r="BB44" s="12" t="s">
        <v>53</v>
      </c>
      <c r="BC44" s="33">
        <f t="shared" si="173"/>
        <v>4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2</v>
      </c>
      <c r="BJ44" s="33" t="s">
        <v>52</v>
      </c>
      <c r="BK44" s="49">
        <f>IFERROR(IF($B$8="W",BK22,BK23),"0")</f>
        <v>3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1</v>
      </c>
      <c r="BP44" s="33" t="s">
        <v>52</v>
      </c>
      <c r="BQ44" s="49">
        <f>IFERROR(IF($B$8="W",BQ22,BQ23),"0")</f>
        <v>1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1</v>
      </c>
      <c r="CB44" s="33" t="s">
        <v>52</v>
      </c>
      <c r="CC44" s="49">
        <f>IFERROR(IF($B$8="W",CC22,CC23),"0")</f>
        <v>2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1</v>
      </c>
      <c r="CK44" s="33">
        <f t="shared" si="181"/>
        <v>13</v>
      </c>
      <c r="CL44" s="33">
        <f t="shared" si="181"/>
        <v>0</v>
      </c>
      <c r="CM44" s="33">
        <f t="shared" si="181"/>
        <v>0</v>
      </c>
      <c r="CN44" s="33">
        <f t="shared" si="181"/>
        <v>14</v>
      </c>
      <c r="CO44" s="33">
        <f t="shared" si="181"/>
        <v>10</v>
      </c>
      <c r="CP44" s="33">
        <f t="shared" si="181"/>
        <v>11</v>
      </c>
      <c r="CQ44" s="33">
        <f t="shared" si="181"/>
        <v>3</v>
      </c>
      <c r="CR44" s="33">
        <f t="shared" si="181"/>
        <v>6</v>
      </c>
      <c r="CS44" s="33">
        <f t="shared" si="181"/>
        <v>2</v>
      </c>
      <c r="CT44" s="33">
        <f t="shared" si="181"/>
        <v>6</v>
      </c>
      <c r="CU44" s="33">
        <f t="shared" si="181"/>
        <v>1</v>
      </c>
      <c r="CV44" s="58">
        <f t="shared" si="181"/>
        <v>49.55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38.953601123893748</v>
      </c>
      <c r="EW44" s="38" t="s">
        <v>226</v>
      </c>
      <c r="EX44" s="6">
        <f t="shared" si="147"/>
        <v>4.5500000000000007</v>
      </c>
      <c r="EY44" s="6">
        <f t="shared" si="177"/>
        <v>6</v>
      </c>
      <c r="EZ44" s="6">
        <f t="shared" si="178"/>
        <v>22.259833333333333</v>
      </c>
    </row>
    <row r="45" spans="3:156" x14ac:dyDescent="0.2">
      <c r="C45" s="38" t="s">
        <v>46</v>
      </c>
      <c r="D45" s="28">
        <f t="shared" si="144"/>
        <v>61.250000000000007</v>
      </c>
      <c r="E45" s="86">
        <f t="shared" si="148"/>
        <v>2</v>
      </c>
      <c r="F45" s="33" t="s">
        <v>52</v>
      </c>
      <c r="G45" s="49">
        <f t="shared" si="149"/>
        <v>18</v>
      </c>
      <c r="H45" s="12" t="s">
        <v>53</v>
      </c>
      <c r="I45" s="33">
        <f t="shared" si="150"/>
        <v>0</v>
      </c>
      <c r="J45" s="49" t="s">
        <v>54</v>
      </c>
      <c r="K45" s="12">
        <f t="shared" si="151"/>
        <v>1</v>
      </c>
      <c r="L45" s="33" t="s">
        <v>52</v>
      </c>
      <c r="M45" s="49">
        <f t="shared" si="152"/>
        <v>4</v>
      </c>
      <c r="N45" s="12" t="s">
        <v>53</v>
      </c>
      <c r="O45" s="33">
        <f t="shared" si="153"/>
        <v>0</v>
      </c>
      <c r="P45" s="49" t="s">
        <v>54</v>
      </c>
      <c r="Q45" s="12">
        <f t="shared" si="154"/>
        <v>1</v>
      </c>
      <c r="R45" s="33" t="s">
        <v>52</v>
      </c>
      <c r="S45" s="49">
        <f t="shared" si="155"/>
        <v>6</v>
      </c>
      <c r="T45" s="12" t="s">
        <v>53</v>
      </c>
      <c r="U45" s="33">
        <f t="shared" si="156"/>
        <v>0</v>
      </c>
      <c r="V45" s="49" t="s">
        <v>54</v>
      </c>
      <c r="W45" s="12">
        <f t="shared" si="157"/>
        <v>0</v>
      </c>
      <c r="X45" s="33" t="s">
        <v>52</v>
      </c>
      <c r="Y45" s="49">
        <f t="shared" si="158"/>
        <v>8</v>
      </c>
      <c r="Z45" s="12" t="s">
        <v>53</v>
      </c>
      <c r="AA45" s="33">
        <f t="shared" si="159"/>
        <v>0</v>
      </c>
      <c r="AB45" s="49" t="s">
        <v>54</v>
      </c>
      <c r="AC45" s="12">
        <f t="shared" si="160"/>
        <v>2.15</v>
      </c>
      <c r="AD45" s="33" t="s">
        <v>52</v>
      </c>
      <c r="AE45" s="53">
        <f t="shared" si="161"/>
        <v>3</v>
      </c>
      <c r="AF45" s="12"/>
      <c r="AG45" s="43">
        <f t="shared" si="162"/>
        <v>1</v>
      </c>
      <c r="AH45" s="33" t="s">
        <v>52</v>
      </c>
      <c r="AI45" s="49">
        <f t="shared" si="163"/>
        <v>15</v>
      </c>
      <c r="AJ45" s="12" t="s">
        <v>53</v>
      </c>
      <c r="AK45" s="33">
        <f t="shared" si="164"/>
        <v>0</v>
      </c>
      <c r="AL45" s="49" t="s">
        <v>54</v>
      </c>
      <c r="AM45" s="12">
        <f t="shared" si="165"/>
        <v>0</v>
      </c>
      <c r="AN45" s="33" t="s">
        <v>52</v>
      </c>
      <c r="AO45" s="49">
        <f t="shared" si="166"/>
        <v>3</v>
      </c>
      <c r="AP45" s="12" t="s">
        <v>53</v>
      </c>
      <c r="AQ45" s="33">
        <f t="shared" si="167"/>
        <v>0</v>
      </c>
      <c r="AR45" s="49" t="s">
        <v>54</v>
      </c>
      <c r="AS45" s="12">
        <f t="shared" si="168"/>
        <v>1</v>
      </c>
      <c r="AT45" s="33" t="s">
        <v>52</v>
      </c>
      <c r="AU45" s="49">
        <f t="shared" si="169"/>
        <v>6</v>
      </c>
      <c r="AV45" s="12" t="s">
        <v>53</v>
      </c>
      <c r="AW45" s="33">
        <f t="shared" si="170"/>
        <v>0</v>
      </c>
      <c r="AX45" s="49" t="s">
        <v>54</v>
      </c>
      <c r="AY45" s="12">
        <f t="shared" si="171"/>
        <v>0</v>
      </c>
      <c r="AZ45" s="33" t="s">
        <v>52</v>
      </c>
      <c r="BA45" s="49">
        <f t="shared" si="172"/>
        <v>6</v>
      </c>
      <c r="BB45" s="12" t="s">
        <v>53</v>
      </c>
      <c r="BC45" s="33">
        <f t="shared" si="173"/>
        <v>0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1</v>
      </c>
      <c r="BJ45" s="33" t="s">
        <v>52</v>
      </c>
      <c r="BK45" s="49">
        <f>IFERROR(IF($B$9="W",BK22,BK23),"0")</f>
        <v>3</v>
      </c>
      <c r="BL45" s="12" t="s">
        <v>53</v>
      </c>
      <c r="BM45" s="33">
        <f>IFERROR(IF($B$9="W",BM22,BM23),"0")</f>
        <v>0</v>
      </c>
      <c r="BN45" s="49" t="s">
        <v>54</v>
      </c>
      <c r="BO45" s="12">
        <f>IFERROR(IF($B$9="W",BO22,BO23),"0")</f>
        <v>1</v>
      </c>
      <c r="BP45" s="33" t="s">
        <v>52</v>
      </c>
      <c r="BQ45" s="49">
        <f>IFERROR(IF($B$9="W",BQ22,BQ23),"0")</f>
        <v>1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0</v>
      </c>
      <c r="CB45" s="33" t="s">
        <v>52</v>
      </c>
      <c r="CC45" s="49">
        <f>IFERROR(IF($B$9="W",CC22,CC23),"0")</f>
        <v>2</v>
      </c>
      <c r="CD45" s="12" t="s">
        <v>53</v>
      </c>
      <c r="CE45" s="33">
        <f>IFERROR(IF($B$9="W",CE22,CE23),"0")</f>
        <v>0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3</v>
      </c>
      <c r="CK45" s="33">
        <f t="shared" si="182"/>
        <v>10</v>
      </c>
      <c r="CL45" s="33">
        <f t="shared" si="182"/>
        <v>0</v>
      </c>
      <c r="CM45" s="33">
        <f t="shared" si="182"/>
        <v>0</v>
      </c>
      <c r="CN45" s="33">
        <f t="shared" si="182"/>
        <v>13</v>
      </c>
      <c r="CO45" s="33">
        <f t="shared" si="182"/>
        <v>0</v>
      </c>
      <c r="CP45" s="33">
        <f t="shared" si="182"/>
        <v>6</v>
      </c>
      <c r="CQ45" s="33">
        <f t="shared" si="182"/>
        <v>6</v>
      </c>
      <c r="CR45" s="33">
        <f t="shared" si="182"/>
        <v>3</v>
      </c>
      <c r="CS45" s="33">
        <f t="shared" si="182"/>
        <v>3</v>
      </c>
      <c r="CT45" s="33">
        <f t="shared" si="182"/>
        <v>4</v>
      </c>
      <c r="CU45" s="33">
        <f t="shared" si="182"/>
        <v>0</v>
      </c>
      <c r="CV45" s="58">
        <f t="shared" si="182"/>
        <v>6.15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19.88276431965528</v>
      </c>
      <c r="EW45" s="38" t="s">
        <v>46</v>
      </c>
      <c r="EX45" s="6">
        <f t="shared" si="147"/>
        <v>2.15</v>
      </c>
      <c r="EY45" s="6">
        <f t="shared" si="177"/>
        <v>3</v>
      </c>
      <c r="EZ45" s="6">
        <f t="shared" si="178"/>
        <v>3.1036666666666668</v>
      </c>
    </row>
    <row r="46" spans="3:156" x14ac:dyDescent="0.2">
      <c r="C46" s="38" t="s">
        <v>47</v>
      </c>
      <c r="D46" s="28">
        <f t="shared" si="144"/>
        <v>61.25</v>
      </c>
      <c r="E46" s="86">
        <f t="shared" si="148"/>
        <v>20</v>
      </c>
      <c r="F46" s="33" t="s">
        <v>52</v>
      </c>
      <c r="G46" s="49">
        <f t="shared" si="149"/>
        <v>31</v>
      </c>
      <c r="H46" s="12" t="s">
        <v>53</v>
      </c>
      <c r="I46" s="33">
        <f t="shared" si="150"/>
        <v>10</v>
      </c>
      <c r="J46" s="49" t="s">
        <v>54</v>
      </c>
      <c r="K46" s="12">
        <f t="shared" si="151"/>
        <v>10</v>
      </c>
      <c r="L46" s="33" t="s">
        <v>52</v>
      </c>
      <c r="M46" s="49">
        <f t="shared" si="152"/>
        <v>12</v>
      </c>
      <c r="N46" s="12" t="s">
        <v>53</v>
      </c>
      <c r="O46" s="33">
        <f t="shared" si="153"/>
        <v>5</v>
      </c>
      <c r="P46" s="49" t="s">
        <v>54</v>
      </c>
      <c r="Q46" s="12">
        <f t="shared" si="154"/>
        <v>5</v>
      </c>
      <c r="R46" s="33" t="s">
        <v>52</v>
      </c>
      <c r="S46" s="49">
        <f t="shared" si="155"/>
        <v>8</v>
      </c>
      <c r="T46" s="12" t="s">
        <v>53</v>
      </c>
      <c r="U46" s="33">
        <f t="shared" si="156"/>
        <v>1</v>
      </c>
      <c r="V46" s="49" t="s">
        <v>54</v>
      </c>
      <c r="W46" s="12">
        <f t="shared" si="157"/>
        <v>5</v>
      </c>
      <c r="X46" s="33" t="s">
        <v>52</v>
      </c>
      <c r="Y46" s="49">
        <f t="shared" si="158"/>
        <v>11</v>
      </c>
      <c r="Z46" s="12" t="s">
        <v>53</v>
      </c>
      <c r="AA46" s="33">
        <f t="shared" si="159"/>
        <v>4</v>
      </c>
      <c r="AB46" s="49" t="s">
        <v>54</v>
      </c>
      <c r="AC46" s="12">
        <f t="shared" si="160"/>
        <v>4.5500000000000007</v>
      </c>
      <c r="AD46" s="33" t="s">
        <v>52</v>
      </c>
      <c r="AE46" s="53">
        <f t="shared" si="161"/>
        <v>6</v>
      </c>
      <c r="AF46" s="12"/>
      <c r="AG46" s="43">
        <f t="shared" si="162"/>
        <v>18</v>
      </c>
      <c r="AH46" s="33" t="s">
        <v>52</v>
      </c>
      <c r="AI46" s="49">
        <f t="shared" si="163"/>
        <v>28</v>
      </c>
      <c r="AJ46" s="12" t="s">
        <v>53</v>
      </c>
      <c r="AK46" s="33">
        <f t="shared" si="164"/>
        <v>10</v>
      </c>
      <c r="AL46" s="49" t="s">
        <v>54</v>
      </c>
      <c r="AM46" s="12">
        <f t="shared" si="165"/>
        <v>9</v>
      </c>
      <c r="AN46" s="33" t="s">
        <v>52</v>
      </c>
      <c r="AO46" s="49">
        <f t="shared" si="166"/>
        <v>11</v>
      </c>
      <c r="AP46" s="12" t="s">
        <v>53</v>
      </c>
      <c r="AQ46" s="33">
        <f t="shared" si="167"/>
        <v>5</v>
      </c>
      <c r="AR46" s="49" t="s">
        <v>54</v>
      </c>
      <c r="AS46" s="12">
        <f t="shared" si="168"/>
        <v>5</v>
      </c>
      <c r="AT46" s="33" t="s">
        <v>52</v>
      </c>
      <c r="AU46" s="49">
        <f t="shared" si="169"/>
        <v>8</v>
      </c>
      <c r="AV46" s="12" t="s">
        <v>53</v>
      </c>
      <c r="AW46" s="33">
        <f t="shared" si="170"/>
        <v>1</v>
      </c>
      <c r="AX46" s="49" t="s">
        <v>54</v>
      </c>
      <c r="AY46" s="12">
        <f t="shared" si="171"/>
        <v>4</v>
      </c>
      <c r="AZ46" s="33" t="s">
        <v>52</v>
      </c>
      <c r="BA46" s="49">
        <f t="shared" si="172"/>
        <v>9</v>
      </c>
      <c r="BB46" s="12" t="s">
        <v>53</v>
      </c>
      <c r="BC46" s="33">
        <f t="shared" si="173"/>
        <v>4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2</v>
      </c>
      <c r="BJ46" s="33" t="s">
        <v>52</v>
      </c>
      <c r="BK46" s="49">
        <f>IFERROR(IF($B$10="W",BK22,BK23),"0")</f>
        <v>3</v>
      </c>
      <c r="BL46" s="12" t="s">
        <v>53</v>
      </c>
      <c r="BM46" s="33">
        <f>IFERROR(IF($B$10="W",BM22,BM23),"0")</f>
        <v>0</v>
      </c>
      <c r="BN46" s="49" t="s">
        <v>54</v>
      </c>
      <c r="BO46" s="12">
        <f>IFERROR(IF($B$10="W",BO22,BO23),"0")</f>
        <v>1</v>
      </c>
      <c r="BP46" s="33" t="s">
        <v>52</v>
      </c>
      <c r="BQ46" s="49">
        <f>IFERROR(IF($B$10="W",BQ22,BQ23),"0")</f>
        <v>1</v>
      </c>
      <c r="BR46" s="12" t="s">
        <v>53</v>
      </c>
      <c r="BS46" s="33">
        <f>IFERROR(IF($B$10="W",BS22,BS23),"0")</f>
        <v>0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1</v>
      </c>
      <c r="CB46" s="33" t="s">
        <v>52</v>
      </c>
      <c r="CC46" s="49">
        <f>IFERROR(IF($B$10="W",CC22,CC23),"0")</f>
        <v>2</v>
      </c>
      <c r="CD46" s="12" t="s">
        <v>53</v>
      </c>
      <c r="CE46" s="33">
        <f>IFERROR(IF($B$10="W",CE22,CE23),"0")</f>
        <v>0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1</v>
      </c>
      <c r="CK46" s="33">
        <f t="shared" si="183"/>
        <v>13</v>
      </c>
      <c r="CL46" s="33">
        <f t="shared" si="183"/>
        <v>0</v>
      </c>
      <c r="CM46" s="33">
        <f t="shared" si="183"/>
        <v>0</v>
      </c>
      <c r="CN46" s="33">
        <f t="shared" si="183"/>
        <v>14</v>
      </c>
      <c r="CO46" s="33">
        <f t="shared" si="183"/>
        <v>10</v>
      </c>
      <c r="CP46" s="33">
        <f t="shared" si="183"/>
        <v>11</v>
      </c>
      <c r="CQ46" s="33">
        <f t="shared" si="183"/>
        <v>3</v>
      </c>
      <c r="CR46" s="33">
        <f t="shared" si="183"/>
        <v>6</v>
      </c>
      <c r="CS46" s="33">
        <f t="shared" si="183"/>
        <v>2</v>
      </c>
      <c r="CT46" s="33">
        <f t="shared" si="183"/>
        <v>6</v>
      </c>
      <c r="CU46" s="33">
        <f t="shared" si="183"/>
        <v>1</v>
      </c>
      <c r="CV46" s="58">
        <f t="shared" si="183"/>
        <v>49.55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38.953601123893748</v>
      </c>
      <c r="EW46" s="38" t="s">
        <v>47</v>
      </c>
      <c r="EX46" s="6">
        <f t="shared" si="147"/>
        <v>4.5500000000000007</v>
      </c>
      <c r="EY46" s="6">
        <f t="shared" si="177"/>
        <v>6</v>
      </c>
      <c r="EZ46" s="6">
        <f t="shared" si="178"/>
        <v>22.259833333333333</v>
      </c>
    </row>
    <row r="47" spans="3:156" x14ac:dyDescent="0.2">
      <c r="C47" s="38" t="s">
        <v>48</v>
      </c>
      <c r="D47" s="28">
        <f t="shared" si="144"/>
        <v>61.250000000000007</v>
      </c>
      <c r="E47" s="86">
        <f t="shared" si="148"/>
        <v>2</v>
      </c>
      <c r="F47" s="33" t="s">
        <v>52</v>
      </c>
      <c r="G47" s="49">
        <f t="shared" si="149"/>
        <v>18</v>
      </c>
      <c r="H47" s="12" t="s">
        <v>53</v>
      </c>
      <c r="I47" s="33">
        <f t="shared" si="150"/>
        <v>0</v>
      </c>
      <c r="J47" s="49" t="s">
        <v>54</v>
      </c>
      <c r="K47" s="12">
        <f t="shared" si="151"/>
        <v>1</v>
      </c>
      <c r="L47" s="33" t="s">
        <v>52</v>
      </c>
      <c r="M47" s="49">
        <f t="shared" si="152"/>
        <v>4</v>
      </c>
      <c r="N47" s="12" t="s">
        <v>53</v>
      </c>
      <c r="O47" s="33">
        <f t="shared" si="153"/>
        <v>0</v>
      </c>
      <c r="P47" s="49" t="s">
        <v>54</v>
      </c>
      <c r="Q47" s="12">
        <f t="shared" si="154"/>
        <v>1</v>
      </c>
      <c r="R47" s="33" t="s">
        <v>52</v>
      </c>
      <c r="S47" s="49">
        <f t="shared" si="155"/>
        <v>6</v>
      </c>
      <c r="T47" s="12" t="s">
        <v>53</v>
      </c>
      <c r="U47" s="33">
        <f t="shared" si="156"/>
        <v>0</v>
      </c>
      <c r="V47" s="49" t="s">
        <v>54</v>
      </c>
      <c r="W47" s="12">
        <f t="shared" si="157"/>
        <v>0</v>
      </c>
      <c r="X47" s="33" t="s">
        <v>52</v>
      </c>
      <c r="Y47" s="49">
        <f t="shared" si="158"/>
        <v>8</v>
      </c>
      <c r="Z47" s="12" t="s">
        <v>53</v>
      </c>
      <c r="AA47" s="33">
        <f t="shared" si="159"/>
        <v>0</v>
      </c>
      <c r="AB47" s="49" t="s">
        <v>54</v>
      </c>
      <c r="AC47" s="12">
        <f t="shared" si="160"/>
        <v>2.15</v>
      </c>
      <c r="AD47" s="33" t="s">
        <v>52</v>
      </c>
      <c r="AE47" s="53">
        <f t="shared" si="161"/>
        <v>3</v>
      </c>
      <c r="AF47" s="12"/>
      <c r="AG47" s="43">
        <f t="shared" si="162"/>
        <v>1</v>
      </c>
      <c r="AH47" s="33" t="s">
        <v>52</v>
      </c>
      <c r="AI47" s="49">
        <f t="shared" si="163"/>
        <v>15</v>
      </c>
      <c r="AJ47" s="12" t="s">
        <v>53</v>
      </c>
      <c r="AK47" s="33">
        <f t="shared" si="164"/>
        <v>0</v>
      </c>
      <c r="AL47" s="49" t="s">
        <v>54</v>
      </c>
      <c r="AM47" s="12">
        <f t="shared" si="165"/>
        <v>0</v>
      </c>
      <c r="AN47" s="33" t="s">
        <v>52</v>
      </c>
      <c r="AO47" s="49">
        <f t="shared" si="166"/>
        <v>3</v>
      </c>
      <c r="AP47" s="12" t="s">
        <v>53</v>
      </c>
      <c r="AQ47" s="33">
        <f t="shared" si="167"/>
        <v>0</v>
      </c>
      <c r="AR47" s="49" t="s">
        <v>54</v>
      </c>
      <c r="AS47" s="12">
        <f t="shared" si="168"/>
        <v>1</v>
      </c>
      <c r="AT47" s="33" t="s">
        <v>52</v>
      </c>
      <c r="AU47" s="49">
        <f t="shared" si="169"/>
        <v>6</v>
      </c>
      <c r="AV47" s="12" t="s">
        <v>53</v>
      </c>
      <c r="AW47" s="33">
        <f t="shared" si="170"/>
        <v>0</v>
      </c>
      <c r="AX47" s="49" t="s">
        <v>54</v>
      </c>
      <c r="AY47" s="12">
        <f t="shared" si="171"/>
        <v>0</v>
      </c>
      <c r="AZ47" s="33" t="s">
        <v>52</v>
      </c>
      <c r="BA47" s="49">
        <f t="shared" si="172"/>
        <v>6</v>
      </c>
      <c r="BB47" s="12" t="s">
        <v>53</v>
      </c>
      <c r="BC47" s="33">
        <f t="shared" si="173"/>
        <v>0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1</v>
      </c>
      <c r="BJ47" s="33" t="s">
        <v>52</v>
      </c>
      <c r="BK47" s="49">
        <f>IFERROR(IF($B$11="W",BK22,BK23),"0")</f>
        <v>3</v>
      </c>
      <c r="BL47" s="12" t="s">
        <v>53</v>
      </c>
      <c r="BM47" s="33">
        <f>IFERROR(IF($B$11="W",BM22,BM23),"0")</f>
        <v>0</v>
      </c>
      <c r="BN47" s="49" t="s">
        <v>54</v>
      </c>
      <c r="BO47" s="12">
        <f>IFERROR(IF($B$11="W",BO22,BO23),"0")</f>
        <v>1</v>
      </c>
      <c r="BP47" s="33" t="s">
        <v>52</v>
      </c>
      <c r="BQ47" s="49">
        <f>IFERROR(IF($B$11="W",BQ22,BQ23),"0")</f>
        <v>1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0</v>
      </c>
      <c r="CB47" s="33" t="s">
        <v>52</v>
      </c>
      <c r="CC47" s="49">
        <f>IFERROR(IF($B$11="W",CC22,CC23),"0")</f>
        <v>2</v>
      </c>
      <c r="CD47" s="12" t="s">
        <v>53</v>
      </c>
      <c r="CE47" s="33">
        <f>IFERROR(IF($B$11="W",CE22,CE23),"0")</f>
        <v>0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3</v>
      </c>
      <c r="CK47" s="33">
        <f t="shared" si="184"/>
        <v>10</v>
      </c>
      <c r="CL47" s="33">
        <f t="shared" si="184"/>
        <v>0</v>
      </c>
      <c r="CM47" s="33">
        <f t="shared" si="184"/>
        <v>0</v>
      </c>
      <c r="CN47" s="33">
        <f t="shared" si="184"/>
        <v>13</v>
      </c>
      <c r="CO47" s="33">
        <f t="shared" si="184"/>
        <v>0</v>
      </c>
      <c r="CP47" s="33">
        <f t="shared" si="184"/>
        <v>6</v>
      </c>
      <c r="CQ47" s="33">
        <f t="shared" si="184"/>
        <v>6</v>
      </c>
      <c r="CR47" s="33">
        <f t="shared" si="184"/>
        <v>3</v>
      </c>
      <c r="CS47" s="33">
        <f t="shared" si="184"/>
        <v>3</v>
      </c>
      <c r="CT47" s="33">
        <f t="shared" si="184"/>
        <v>4</v>
      </c>
      <c r="CU47" s="33">
        <f t="shared" si="184"/>
        <v>0</v>
      </c>
      <c r="CV47" s="58">
        <f t="shared" si="184"/>
        <v>6.15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19.88276431965528</v>
      </c>
      <c r="EW47" s="38" t="s">
        <v>48</v>
      </c>
      <c r="EX47" s="6">
        <f t="shared" si="147"/>
        <v>2.15</v>
      </c>
      <c r="EY47" s="6">
        <f t="shared" si="177"/>
        <v>3</v>
      </c>
      <c r="EZ47" s="6">
        <f t="shared" si="178"/>
        <v>3.1036666666666668</v>
      </c>
    </row>
    <row r="48" spans="3:156" x14ac:dyDescent="0.2">
      <c r="C48" s="38" t="s">
        <v>115</v>
      </c>
      <c r="D48" s="28">
        <f t="shared" si="144"/>
        <v>61.25</v>
      </c>
      <c r="E48" s="86">
        <f t="shared" si="148"/>
        <v>20</v>
      </c>
      <c r="F48" s="33" t="s">
        <v>52</v>
      </c>
      <c r="G48" s="49">
        <f t="shared" si="149"/>
        <v>31</v>
      </c>
      <c r="H48" s="12" t="s">
        <v>53</v>
      </c>
      <c r="I48" s="33">
        <f t="shared" si="150"/>
        <v>10</v>
      </c>
      <c r="J48" s="49" t="s">
        <v>54</v>
      </c>
      <c r="K48" s="12">
        <f t="shared" si="151"/>
        <v>10</v>
      </c>
      <c r="L48" s="33" t="s">
        <v>52</v>
      </c>
      <c r="M48" s="49">
        <f t="shared" si="152"/>
        <v>12</v>
      </c>
      <c r="N48" s="12" t="s">
        <v>53</v>
      </c>
      <c r="O48" s="33">
        <f t="shared" si="153"/>
        <v>5</v>
      </c>
      <c r="P48" s="49" t="s">
        <v>54</v>
      </c>
      <c r="Q48" s="12">
        <f t="shared" si="154"/>
        <v>5</v>
      </c>
      <c r="R48" s="33" t="s">
        <v>52</v>
      </c>
      <c r="S48" s="49">
        <f t="shared" si="155"/>
        <v>8</v>
      </c>
      <c r="T48" s="12" t="s">
        <v>53</v>
      </c>
      <c r="U48" s="33">
        <f t="shared" si="156"/>
        <v>1</v>
      </c>
      <c r="V48" s="49" t="s">
        <v>54</v>
      </c>
      <c r="W48" s="12">
        <f t="shared" si="157"/>
        <v>5</v>
      </c>
      <c r="X48" s="33" t="s">
        <v>52</v>
      </c>
      <c r="Y48" s="49">
        <f t="shared" si="158"/>
        <v>11</v>
      </c>
      <c r="Z48" s="12" t="s">
        <v>53</v>
      </c>
      <c r="AA48" s="33">
        <f t="shared" si="159"/>
        <v>4</v>
      </c>
      <c r="AB48" s="49" t="s">
        <v>54</v>
      </c>
      <c r="AC48" s="12">
        <f t="shared" si="160"/>
        <v>4.5500000000000007</v>
      </c>
      <c r="AD48" s="33" t="s">
        <v>52</v>
      </c>
      <c r="AE48" s="53">
        <f t="shared" si="161"/>
        <v>6</v>
      </c>
      <c r="AF48" s="12"/>
      <c r="AG48" s="43">
        <f t="shared" si="162"/>
        <v>18</v>
      </c>
      <c r="AH48" s="33" t="s">
        <v>52</v>
      </c>
      <c r="AI48" s="49">
        <f t="shared" si="163"/>
        <v>28</v>
      </c>
      <c r="AJ48" s="12" t="s">
        <v>53</v>
      </c>
      <c r="AK48" s="33">
        <f t="shared" si="164"/>
        <v>10</v>
      </c>
      <c r="AL48" s="49" t="s">
        <v>54</v>
      </c>
      <c r="AM48" s="12">
        <f t="shared" si="165"/>
        <v>9</v>
      </c>
      <c r="AN48" s="33" t="s">
        <v>52</v>
      </c>
      <c r="AO48" s="49">
        <f t="shared" si="166"/>
        <v>11</v>
      </c>
      <c r="AP48" s="12" t="s">
        <v>53</v>
      </c>
      <c r="AQ48" s="33">
        <f t="shared" si="167"/>
        <v>5</v>
      </c>
      <c r="AR48" s="49" t="s">
        <v>54</v>
      </c>
      <c r="AS48" s="12">
        <f t="shared" si="168"/>
        <v>5</v>
      </c>
      <c r="AT48" s="33" t="s">
        <v>52</v>
      </c>
      <c r="AU48" s="49">
        <f t="shared" si="169"/>
        <v>8</v>
      </c>
      <c r="AV48" s="12" t="s">
        <v>53</v>
      </c>
      <c r="AW48" s="33">
        <f t="shared" si="170"/>
        <v>1</v>
      </c>
      <c r="AX48" s="49" t="s">
        <v>54</v>
      </c>
      <c r="AY48" s="12">
        <f t="shared" si="171"/>
        <v>4</v>
      </c>
      <c r="AZ48" s="33" t="s">
        <v>52</v>
      </c>
      <c r="BA48" s="49">
        <f t="shared" si="172"/>
        <v>9</v>
      </c>
      <c r="BB48" s="12" t="s">
        <v>53</v>
      </c>
      <c r="BC48" s="33">
        <f t="shared" si="173"/>
        <v>4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2</v>
      </c>
      <c r="BJ48" s="33" t="s">
        <v>52</v>
      </c>
      <c r="BK48" s="49">
        <f>IFERROR(IF($B$12="W",BK22,BK23),"0")</f>
        <v>3</v>
      </c>
      <c r="BL48" s="12" t="s">
        <v>53</v>
      </c>
      <c r="BM48" s="33">
        <f>IFERROR(IF($B$12="W",BM22,BM23),"0")</f>
        <v>0</v>
      </c>
      <c r="BN48" s="49" t="s">
        <v>54</v>
      </c>
      <c r="BO48" s="12">
        <f>IFERROR(IF($B$12="W",BO22,BO23),"0")</f>
        <v>1</v>
      </c>
      <c r="BP48" s="33" t="s">
        <v>52</v>
      </c>
      <c r="BQ48" s="49">
        <f>IFERROR(IF($B$12="W",BQ22,BQ23),"0")</f>
        <v>1</v>
      </c>
      <c r="BR48" s="12" t="s">
        <v>53</v>
      </c>
      <c r="BS48" s="33">
        <f>IFERROR(IF($B$12="W",BS22,BS23),"0")</f>
        <v>0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1</v>
      </c>
      <c r="CB48" s="33" t="s">
        <v>52</v>
      </c>
      <c r="CC48" s="49">
        <f>IFERROR(IF($B$12="W",CC22,CC23),"0")</f>
        <v>2</v>
      </c>
      <c r="CD48" s="12" t="s">
        <v>53</v>
      </c>
      <c r="CE48" s="33">
        <f>IFERROR(IF($B$12="W",CE22,CE23),"0")</f>
        <v>0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1</v>
      </c>
      <c r="CK48" s="33">
        <f t="shared" si="185"/>
        <v>13</v>
      </c>
      <c r="CL48" s="33">
        <f t="shared" si="185"/>
        <v>0</v>
      </c>
      <c r="CM48" s="33">
        <f t="shared" si="185"/>
        <v>0</v>
      </c>
      <c r="CN48" s="33">
        <f t="shared" si="185"/>
        <v>14</v>
      </c>
      <c r="CO48" s="33">
        <f t="shared" si="185"/>
        <v>10</v>
      </c>
      <c r="CP48" s="33">
        <f t="shared" si="185"/>
        <v>11</v>
      </c>
      <c r="CQ48" s="33">
        <f t="shared" si="185"/>
        <v>3</v>
      </c>
      <c r="CR48" s="33">
        <f t="shared" si="185"/>
        <v>6</v>
      </c>
      <c r="CS48" s="33">
        <f t="shared" si="185"/>
        <v>2</v>
      </c>
      <c r="CT48" s="33">
        <f t="shared" si="185"/>
        <v>6</v>
      </c>
      <c r="CU48" s="33">
        <f t="shared" si="185"/>
        <v>1</v>
      </c>
      <c r="CV48" s="58">
        <f t="shared" si="185"/>
        <v>49.55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38.953601123893748</v>
      </c>
      <c r="EW48" s="38" t="s">
        <v>115</v>
      </c>
      <c r="EX48" s="6">
        <f t="shared" si="147"/>
        <v>4.5500000000000007</v>
      </c>
      <c r="EY48" s="6">
        <f t="shared" si="177"/>
        <v>6</v>
      </c>
      <c r="EZ48" s="6">
        <f t="shared" si="178"/>
        <v>22.259833333333333</v>
      </c>
    </row>
    <row r="49" spans="3:156" x14ac:dyDescent="0.2">
      <c r="C49" s="38" t="s">
        <v>227</v>
      </c>
      <c r="D49" s="28">
        <f t="shared" si="144"/>
        <v>61.25</v>
      </c>
      <c r="E49" s="86">
        <f t="shared" si="148"/>
        <v>20</v>
      </c>
      <c r="F49" s="33" t="s">
        <v>52</v>
      </c>
      <c r="G49" s="49">
        <f t="shared" si="149"/>
        <v>31</v>
      </c>
      <c r="H49" s="12" t="s">
        <v>53</v>
      </c>
      <c r="I49" s="33">
        <f t="shared" si="150"/>
        <v>10</v>
      </c>
      <c r="J49" s="49" t="s">
        <v>54</v>
      </c>
      <c r="K49" s="12">
        <f t="shared" si="151"/>
        <v>10</v>
      </c>
      <c r="L49" s="33" t="s">
        <v>52</v>
      </c>
      <c r="M49" s="49">
        <f t="shared" si="152"/>
        <v>12</v>
      </c>
      <c r="N49" s="12" t="s">
        <v>53</v>
      </c>
      <c r="O49" s="33">
        <f t="shared" si="153"/>
        <v>5</v>
      </c>
      <c r="P49" s="49" t="s">
        <v>54</v>
      </c>
      <c r="Q49" s="12">
        <f t="shared" si="154"/>
        <v>5</v>
      </c>
      <c r="R49" s="33" t="s">
        <v>52</v>
      </c>
      <c r="S49" s="49">
        <f t="shared" si="155"/>
        <v>8</v>
      </c>
      <c r="T49" s="12" t="s">
        <v>53</v>
      </c>
      <c r="U49" s="33">
        <f t="shared" si="156"/>
        <v>1</v>
      </c>
      <c r="V49" s="49" t="s">
        <v>54</v>
      </c>
      <c r="W49" s="12">
        <f t="shared" si="157"/>
        <v>5</v>
      </c>
      <c r="X49" s="33" t="s">
        <v>52</v>
      </c>
      <c r="Y49" s="49">
        <f t="shared" si="158"/>
        <v>11</v>
      </c>
      <c r="Z49" s="12" t="s">
        <v>53</v>
      </c>
      <c r="AA49" s="33">
        <f t="shared" si="159"/>
        <v>4</v>
      </c>
      <c r="AB49" s="49" t="s">
        <v>54</v>
      </c>
      <c r="AC49" s="12">
        <f t="shared" si="160"/>
        <v>4.5500000000000007</v>
      </c>
      <c r="AD49" s="33" t="s">
        <v>52</v>
      </c>
      <c r="AE49" s="53">
        <f t="shared" si="161"/>
        <v>6</v>
      </c>
      <c r="AF49" s="12"/>
      <c r="AG49" s="43">
        <f t="shared" si="162"/>
        <v>18</v>
      </c>
      <c r="AH49" s="33" t="s">
        <v>52</v>
      </c>
      <c r="AI49" s="49">
        <f t="shared" si="163"/>
        <v>28</v>
      </c>
      <c r="AJ49" s="12" t="s">
        <v>53</v>
      </c>
      <c r="AK49" s="33">
        <f t="shared" si="164"/>
        <v>10</v>
      </c>
      <c r="AL49" s="49" t="s">
        <v>54</v>
      </c>
      <c r="AM49" s="12">
        <f t="shared" si="165"/>
        <v>9</v>
      </c>
      <c r="AN49" s="33" t="s">
        <v>52</v>
      </c>
      <c r="AO49" s="49">
        <f t="shared" si="166"/>
        <v>11</v>
      </c>
      <c r="AP49" s="12" t="s">
        <v>53</v>
      </c>
      <c r="AQ49" s="33">
        <f t="shared" si="167"/>
        <v>5</v>
      </c>
      <c r="AR49" s="49" t="s">
        <v>54</v>
      </c>
      <c r="AS49" s="12">
        <f t="shared" si="168"/>
        <v>5</v>
      </c>
      <c r="AT49" s="33" t="s">
        <v>52</v>
      </c>
      <c r="AU49" s="49">
        <f t="shared" si="169"/>
        <v>8</v>
      </c>
      <c r="AV49" s="12" t="s">
        <v>53</v>
      </c>
      <c r="AW49" s="33">
        <f t="shared" si="170"/>
        <v>1</v>
      </c>
      <c r="AX49" s="49" t="s">
        <v>54</v>
      </c>
      <c r="AY49" s="12">
        <f t="shared" si="171"/>
        <v>4</v>
      </c>
      <c r="AZ49" s="33" t="s">
        <v>52</v>
      </c>
      <c r="BA49" s="49">
        <f t="shared" si="172"/>
        <v>9</v>
      </c>
      <c r="BB49" s="12" t="s">
        <v>53</v>
      </c>
      <c r="BC49" s="33">
        <f t="shared" si="173"/>
        <v>4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2</v>
      </c>
      <c r="BJ49" s="33" t="s">
        <v>52</v>
      </c>
      <c r="BK49" s="49">
        <f>IFERROR(IF($B$13="W",BK22,BK23),"0")</f>
        <v>3</v>
      </c>
      <c r="BL49" s="12" t="s">
        <v>53</v>
      </c>
      <c r="BM49" s="33">
        <f>IFERROR(IF($B$13="W",BM22,BM23),"0")</f>
        <v>0</v>
      </c>
      <c r="BN49" s="49" t="s">
        <v>54</v>
      </c>
      <c r="BO49" s="12">
        <f>IFERROR(IF($B$13="W",BO22,BO23),"0")</f>
        <v>1</v>
      </c>
      <c r="BP49" s="33" t="s">
        <v>52</v>
      </c>
      <c r="BQ49" s="49">
        <f>IFERROR(IF($B$13="W",BQ22,BQ23),"0")</f>
        <v>1</v>
      </c>
      <c r="BR49" s="12" t="s">
        <v>53</v>
      </c>
      <c r="BS49" s="33">
        <f>IFERROR(IF($B$13="W",BS22,BS23),"0")</f>
        <v>0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1</v>
      </c>
      <c r="CB49" s="33" t="s">
        <v>52</v>
      </c>
      <c r="CC49" s="49">
        <f>IFERROR(IF($B$13="W",CC22,CC23),"0")</f>
        <v>2</v>
      </c>
      <c r="CD49" s="12" t="s">
        <v>53</v>
      </c>
      <c r="CE49" s="33">
        <f>IFERROR(IF($B$13="W",CE22,CE23),"0")</f>
        <v>0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1</v>
      </c>
      <c r="CK49" s="33">
        <f t="shared" si="186"/>
        <v>13</v>
      </c>
      <c r="CL49" s="33">
        <f t="shared" si="186"/>
        <v>0</v>
      </c>
      <c r="CM49" s="33">
        <f t="shared" si="186"/>
        <v>0</v>
      </c>
      <c r="CN49" s="33">
        <f t="shared" si="186"/>
        <v>14</v>
      </c>
      <c r="CO49" s="33">
        <f t="shared" si="186"/>
        <v>10</v>
      </c>
      <c r="CP49" s="33">
        <f t="shared" si="186"/>
        <v>11</v>
      </c>
      <c r="CQ49" s="33">
        <f t="shared" si="186"/>
        <v>3</v>
      </c>
      <c r="CR49" s="33">
        <f t="shared" si="186"/>
        <v>6</v>
      </c>
      <c r="CS49" s="33">
        <f t="shared" si="186"/>
        <v>2</v>
      </c>
      <c r="CT49" s="33">
        <f t="shared" si="186"/>
        <v>6</v>
      </c>
      <c r="CU49" s="33">
        <f t="shared" si="186"/>
        <v>1</v>
      </c>
      <c r="CV49" s="58">
        <f t="shared" si="186"/>
        <v>49.55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38.953601123893748</v>
      </c>
      <c r="EW49" s="38" t="s">
        <v>227</v>
      </c>
      <c r="EX49" s="6">
        <f t="shared" si="147"/>
        <v>4.5500000000000007</v>
      </c>
      <c r="EY49" s="6">
        <f t="shared" si="177"/>
        <v>6</v>
      </c>
      <c r="EZ49" s="6">
        <f t="shared" si="178"/>
        <v>22.259833333333333</v>
      </c>
    </row>
    <row r="50" spans="3:156" x14ac:dyDescent="0.2">
      <c r="C50" s="38" t="s">
        <v>228</v>
      </c>
      <c r="D50" s="28">
        <f t="shared" si="144"/>
        <v>61.250000000000007</v>
      </c>
      <c r="E50" s="86">
        <f t="shared" si="148"/>
        <v>2</v>
      </c>
      <c r="F50" s="33" t="s">
        <v>52</v>
      </c>
      <c r="G50" s="49">
        <f t="shared" si="149"/>
        <v>18</v>
      </c>
      <c r="H50" s="12" t="s">
        <v>53</v>
      </c>
      <c r="I50" s="33">
        <f t="shared" si="150"/>
        <v>0</v>
      </c>
      <c r="J50" s="49" t="s">
        <v>54</v>
      </c>
      <c r="K50" s="12">
        <f t="shared" si="151"/>
        <v>1</v>
      </c>
      <c r="L50" s="33" t="s">
        <v>52</v>
      </c>
      <c r="M50" s="49">
        <f t="shared" si="152"/>
        <v>4</v>
      </c>
      <c r="N50" s="12" t="s">
        <v>53</v>
      </c>
      <c r="O50" s="33">
        <f t="shared" si="153"/>
        <v>0</v>
      </c>
      <c r="P50" s="49" t="s">
        <v>54</v>
      </c>
      <c r="Q50" s="12">
        <f t="shared" si="154"/>
        <v>1</v>
      </c>
      <c r="R50" s="33" t="s">
        <v>52</v>
      </c>
      <c r="S50" s="49">
        <f t="shared" si="155"/>
        <v>6</v>
      </c>
      <c r="T50" s="12" t="s">
        <v>53</v>
      </c>
      <c r="U50" s="33">
        <f t="shared" si="156"/>
        <v>0</v>
      </c>
      <c r="V50" s="49" t="s">
        <v>54</v>
      </c>
      <c r="W50" s="12">
        <f t="shared" si="157"/>
        <v>0</v>
      </c>
      <c r="X50" s="33" t="s">
        <v>52</v>
      </c>
      <c r="Y50" s="49">
        <f t="shared" si="158"/>
        <v>8</v>
      </c>
      <c r="Z50" s="12" t="s">
        <v>53</v>
      </c>
      <c r="AA50" s="33">
        <f t="shared" si="159"/>
        <v>0</v>
      </c>
      <c r="AB50" s="49" t="s">
        <v>54</v>
      </c>
      <c r="AC50" s="12">
        <f t="shared" si="160"/>
        <v>2.15</v>
      </c>
      <c r="AD50" s="33" t="s">
        <v>52</v>
      </c>
      <c r="AE50" s="53">
        <f t="shared" si="161"/>
        <v>3</v>
      </c>
      <c r="AF50" s="12"/>
      <c r="AG50" s="43">
        <f t="shared" si="162"/>
        <v>1</v>
      </c>
      <c r="AH50" s="33" t="s">
        <v>52</v>
      </c>
      <c r="AI50" s="49">
        <f t="shared" si="163"/>
        <v>15</v>
      </c>
      <c r="AJ50" s="12" t="s">
        <v>53</v>
      </c>
      <c r="AK50" s="33">
        <f t="shared" si="164"/>
        <v>0</v>
      </c>
      <c r="AL50" s="49" t="s">
        <v>54</v>
      </c>
      <c r="AM50" s="12">
        <f t="shared" si="165"/>
        <v>0</v>
      </c>
      <c r="AN50" s="33" t="s">
        <v>52</v>
      </c>
      <c r="AO50" s="49">
        <f t="shared" si="166"/>
        <v>3</v>
      </c>
      <c r="AP50" s="12" t="s">
        <v>53</v>
      </c>
      <c r="AQ50" s="33">
        <f t="shared" si="167"/>
        <v>0</v>
      </c>
      <c r="AR50" s="49" t="s">
        <v>54</v>
      </c>
      <c r="AS50" s="12">
        <f t="shared" si="168"/>
        <v>1</v>
      </c>
      <c r="AT50" s="33" t="s">
        <v>52</v>
      </c>
      <c r="AU50" s="49">
        <f t="shared" si="169"/>
        <v>6</v>
      </c>
      <c r="AV50" s="12" t="s">
        <v>53</v>
      </c>
      <c r="AW50" s="33">
        <f t="shared" si="170"/>
        <v>0</v>
      </c>
      <c r="AX50" s="49" t="s">
        <v>54</v>
      </c>
      <c r="AY50" s="12">
        <f t="shared" si="171"/>
        <v>0</v>
      </c>
      <c r="AZ50" s="33" t="s">
        <v>52</v>
      </c>
      <c r="BA50" s="49">
        <f t="shared" si="172"/>
        <v>6</v>
      </c>
      <c r="BB50" s="12" t="s">
        <v>53</v>
      </c>
      <c r="BC50" s="33">
        <f t="shared" si="173"/>
        <v>0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1</v>
      </c>
      <c r="BJ50" s="12" t="str">
        <f t="shared" ref="BJ50:CI50" si="187">IFERROR(IF($B$14="W",BJ22,BJ23),"0")</f>
        <v>-</v>
      </c>
      <c r="BK50" s="49">
        <f t="shared" si="187"/>
        <v>3</v>
      </c>
      <c r="BL50" s="12" t="str">
        <f t="shared" si="187"/>
        <v>(</v>
      </c>
      <c r="BM50" s="33">
        <f t="shared" si="187"/>
        <v>0</v>
      </c>
      <c r="BN50" s="49" t="str">
        <f t="shared" si="187"/>
        <v>)</v>
      </c>
      <c r="BO50" s="12">
        <f t="shared" si="187"/>
        <v>1</v>
      </c>
      <c r="BP50" s="12" t="str">
        <f t="shared" si="187"/>
        <v>-</v>
      </c>
      <c r="BQ50" s="49">
        <f t="shared" si="187"/>
        <v>1</v>
      </c>
      <c r="BR50" s="12" t="str">
        <f t="shared" si="187"/>
        <v>(</v>
      </c>
      <c r="BS50" s="33">
        <f t="shared" si="187"/>
        <v>0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0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0</v>
      </c>
      <c r="CB50" s="12" t="str">
        <f t="shared" si="187"/>
        <v>-</v>
      </c>
      <c r="CC50" s="49">
        <f t="shared" si="187"/>
        <v>2</v>
      </c>
      <c r="CD50" s="12" t="str">
        <f t="shared" si="187"/>
        <v>(</v>
      </c>
      <c r="CE50" s="33">
        <f t="shared" si="187"/>
        <v>0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3</v>
      </c>
      <c r="CK50" s="33">
        <f t="shared" ref="CK50:CV50" si="188">IFERROR(IF($B$14="W",CK22,CK23),"0")</f>
        <v>10</v>
      </c>
      <c r="CL50" s="33">
        <f t="shared" si="188"/>
        <v>0</v>
      </c>
      <c r="CM50" s="33">
        <f t="shared" si="188"/>
        <v>0</v>
      </c>
      <c r="CN50" s="33">
        <f t="shared" si="188"/>
        <v>13</v>
      </c>
      <c r="CO50" s="33">
        <f t="shared" si="188"/>
        <v>0</v>
      </c>
      <c r="CP50" s="33">
        <f t="shared" si="188"/>
        <v>6</v>
      </c>
      <c r="CQ50" s="33">
        <f t="shared" si="188"/>
        <v>6</v>
      </c>
      <c r="CR50" s="33">
        <f t="shared" si="188"/>
        <v>3</v>
      </c>
      <c r="CS50" s="33">
        <f t="shared" si="188"/>
        <v>3</v>
      </c>
      <c r="CT50" s="33">
        <f t="shared" si="188"/>
        <v>4</v>
      </c>
      <c r="CU50" s="33">
        <f t="shared" si="188"/>
        <v>0</v>
      </c>
      <c r="CV50" s="58">
        <f t="shared" si="188"/>
        <v>6.15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19.88276431965528</v>
      </c>
      <c r="EW50" s="38" t="s">
        <v>228</v>
      </c>
      <c r="EX50" s="6">
        <f t="shared" si="147"/>
        <v>2.15</v>
      </c>
      <c r="EY50" s="6">
        <f t="shared" si="177"/>
        <v>3</v>
      </c>
      <c r="EZ50" s="6">
        <f t="shared" si="178"/>
        <v>3.1036666666666668</v>
      </c>
    </row>
    <row r="51" spans="3:156" x14ac:dyDescent="0.2">
      <c r="C51" s="38" t="s">
        <v>229</v>
      </c>
      <c r="D51" s="28">
        <f t="shared" si="144"/>
        <v>61.250000000000007</v>
      </c>
      <c r="E51" s="86">
        <f t="shared" si="148"/>
        <v>2</v>
      </c>
      <c r="F51" s="33" t="s">
        <v>52</v>
      </c>
      <c r="G51" s="49">
        <f t="shared" si="149"/>
        <v>18</v>
      </c>
      <c r="H51" s="12" t="s">
        <v>53</v>
      </c>
      <c r="I51" s="33">
        <f t="shared" si="150"/>
        <v>0</v>
      </c>
      <c r="J51" s="49" t="s">
        <v>54</v>
      </c>
      <c r="K51" s="12">
        <f t="shared" si="151"/>
        <v>1</v>
      </c>
      <c r="L51" s="33" t="s">
        <v>52</v>
      </c>
      <c r="M51" s="49">
        <f t="shared" si="152"/>
        <v>4</v>
      </c>
      <c r="N51" s="12" t="s">
        <v>53</v>
      </c>
      <c r="O51" s="33">
        <f t="shared" si="153"/>
        <v>0</v>
      </c>
      <c r="P51" s="49" t="s">
        <v>54</v>
      </c>
      <c r="Q51" s="12">
        <f t="shared" si="154"/>
        <v>1</v>
      </c>
      <c r="R51" s="33" t="s">
        <v>52</v>
      </c>
      <c r="S51" s="49">
        <f t="shared" si="155"/>
        <v>6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0</v>
      </c>
      <c r="X51" s="33" t="s">
        <v>52</v>
      </c>
      <c r="Y51" s="49">
        <f t="shared" si="158"/>
        <v>8</v>
      </c>
      <c r="Z51" s="12" t="s">
        <v>53</v>
      </c>
      <c r="AA51" s="33">
        <f t="shared" si="159"/>
        <v>0</v>
      </c>
      <c r="AB51" s="49" t="s">
        <v>54</v>
      </c>
      <c r="AC51" s="12">
        <f t="shared" si="160"/>
        <v>2.15</v>
      </c>
      <c r="AD51" s="33" t="s">
        <v>52</v>
      </c>
      <c r="AE51" s="53">
        <f t="shared" si="161"/>
        <v>3</v>
      </c>
      <c r="AF51" s="12"/>
      <c r="AG51" s="43">
        <f t="shared" si="162"/>
        <v>1</v>
      </c>
      <c r="AH51" s="33" t="s">
        <v>52</v>
      </c>
      <c r="AI51" s="49">
        <f t="shared" si="163"/>
        <v>15</v>
      </c>
      <c r="AJ51" s="12" t="s">
        <v>53</v>
      </c>
      <c r="AK51" s="33">
        <f t="shared" si="164"/>
        <v>0</v>
      </c>
      <c r="AL51" s="49" t="s">
        <v>54</v>
      </c>
      <c r="AM51" s="12">
        <f t="shared" si="165"/>
        <v>0</v>
      </c>
      <c r="AN51" s="33" t="s">
        <v>52</v>
      </c>
      <c r="AO51" s="49">
        <f t="shared" si="166"/>
        <v>3</v>
      </c>
      <c r="AP51" s="12" t="s">
        <v>53</v>
      </c>
      <c r="AQ51" s="33">
        <f t="shared" si="167"/>
        <v>0</v>
      </c>
      <c r="AR51" s="49" t="s">
        <v>54</v>
      </c>
      <c r="AS51" s="12">
        <f t="shared" si="168"/>
        <v>1</v>
      </c>
      <c r="AT51" s="33" t="s">
        <v>52</v>
      </c>
      <c r="AU51" s="49">
        <f t="shared" si="169"/>
        <v>6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0</v>
      </c>
      <c r="AZ51" s="33" t="s">
        <v>52</v>
      </c>
      <c r="BA51" s="49">
        <f t="shared" si="172"/>
        <v>6</v>
      </c>
      <c r="BB51" s="12" t="s">
        <v>53</v>
      </c>
      <c r="BC51" s="33">
        <f t="shared" si="173"/>
        <v>0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1</v>
      </c>
      <c r="BJ51" s="12" t="str">
        <f t="shared" ref="BJ51:CI51" si="189">IFERROR(IF($B$15="W",BJ22,BJ23),"0")</f>
        <v>-</v>
      </c>
      <c r="BK51" s="49">
        <f t="shared" si="189"/>
        <v>3</v>
      </c>
      <c r="BL51" s="12" t="str">
        <f t="shared" si="189"/>
        <v>(</v>
      </c>
      <c r="BM51" s="33">
        <f t="shared" si="189"/>
        <v>0</v>
      </c>
      <c r="BN51" s="49" t="str">
        <f t="shared" si="189"/>
        <v>)</v>
      </c>
      <c r="BO51" s="12">
        <f t="shared" si="189"/>
        <v>1</v>
      </c>
      <c r="BP51" s="12" t="str">
        <f t="shared" si="189"/>
        <v>-</v>
      </c>
      <c r="BQ51" s="49">
        <f t="shared" si="189"/>
        <v>1</v>
      </c>
      <c r="BR51" s="12" t="str">
        <f t="shared" si="189"/>
        <v>(</v>
      </c>
      <c r="BS51" s="33">
        <f t="shared" si="189"/>
        <v>0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0</v>
      </c>
      <c r="CB51" s="12" t="str">
        <f t="shared" si="189"/>
        <v>-</v>
      </c>
      <c r="CC51" s="49">
        <f t="shared" si="189"/>
        <v>2</v>
      </c>
      <c r="CD51" s="12" t="str">
        <f t="shared" si="189"/>
        <v>(</v>
      </c>
      <c r="CE51" s="33">
        <f t="shared" si="189"/>
        <v>0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3</v>
      </c>
      <c r="CK51" s="33">
        <f t="shared" ref="CK51:CV51" si="190">IFERROR(IF($B$15="W",CK22,CK23),"0")</f>
        <v>10</v>
      </c>
      <c r="CL51" s="33">
        <f t="shared" si="190"/>
        <v>0</v>
      </c>
      <c r="CM51" s="33">
        <f t="shared" si="190"/>
        <v>0</v>
      </c>
      <c r="CN51" s="33">
        <f t="shared" si="190"/>
        <v>13</v>
      </c>
      <c r="CO51" s="33">
        <f t="shared" si="190"/>
        <v>0</v>
      </c>
      <c r="CP51" s="33">
        <f t="shared" si="190"/>
        <v>6</v>
      </c>
      <c r="CQ51" s="33">
        <f t="shared" si="190"/>
        <v>6</v>
      </c>
      <c r="CR51" s="33">
        <f t="shared" si="190"/>
        <v>3</v>
      </c>
      <c r="CS51" s="33">
        <f t="shared" si="190"/>
        <v>3</v>
      </c>
      <c r="CT51" s="33">
        <f t="shared" si="190"/>
        <v>4</v>
      </c>
      <c r="CU51" s="33">
        <f t="shared" si="190"/>
        <v>0</v>
      </c>
      <c r="CV51" s="58">
        <f t="shared" si="190"/>
        <v>6.15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19.88276431965528</v>
      </c>
      <c r="EW51" s="38" t="s">
        <v>229</v>
      </c>
      <c r="EX51" s="6">
        <f t="shared" si="147"/>
        <v>2.15</v>
      </c>
      <c r="EY51" s="6">
        <f t="shared" si="177"/>
        <v>3</v>
      </c>
      <c r="EZ51" s="6">
        <f t="shared" si="178"/>
        <v>3.1036666666666668</v>
      </c>
    </row>
    <row r="52" spans="3:156" x14ac:dyDescent="0.2">
      <c r="C52" s="38" t="s">
        <v>113</v>
      </c>
      <c r="D52" s="28">
        <f t="shared" si="144"/>
        <v>61.250000000000007</v>
      </c>
      <c r="E52" s="86">
        <f t="shared" si="148"/>
        <v>2</v>
      </c>
      <c r="F52" s="33" t="s">
        <v>52</v>
      </c>
      <c r="G52" s="49">
        <f t="shared" si="149"/>
        <v>18</v>
      </c>
      <c r="H52" s="12" t="s">
        <v>53</v>
      </c>
      <c r="I52" s="33">
        <f t="shared" si="150"/>
        <v>0</v>
      </c>
      <c r="J52" s="49" t="s">
        <v>54</v>
      </c>
      <c r="K52" s="12">
        <f t="shared" si="151"/>
        <v>1</v>
      </c>
      <c r="L52" s="33" t="s">
        <v>52</v>
      </c>
      <c r="M52" s="49">
        <f t="shared" si="152"/>
        <v>4</v>
      </c>
      <c r="N52" s="12" t="s">
        <v>53</v>
      </c>
      <c r="O52" s="33">
        <f t="shared" si="153"/>
        <v>0</v>
      </c>
      <c r="P52" s="49" t="s">
        <v>54</v>
      </c>
      <c r="Q52" s="12">
        <f t="shared" si="154"/>
        <v>1</v>
      </c>
      <c r="R52" s="33" t="s">
        <v>52</v>
      </c>
      <c r="S52" s="49">
        <f t="shared" si="155"/>
        <v>6</v>
      </c>
      <c r="T52" s="12" t="s">
        <v>53</v>
      </c>
      <c r="U52" s="33">
        <f t="shared" si="156"/>
        <v>0</v>
      </c>
      <c r="V52" s="49" t="s">
        <v>54</v>
      </c>
      <c r="W52" s="12">
        <f t="shared" si="157"/>
        <v>0</v>
      </c>
      <c r="X52" s="33" t="s">
        <v>52</v>
      </c>
      <c r="Y52" s="49">
        <f t="shared" si="158"/>
        <v>8</v>
      </c>
      <c r="Z52" s="12" t="s">
        <v>53</v>
      </c>
      <c r="AA52" s="33">
        <f t="shared" si="159"/>
        <v>0</v>
      </c>
      <c r="AB52" s="49" t="s">
        <v>54</v>
      </c>
      <c r="AC52" s="12">
        <f t="shared" si="160"/>
        <v>2.15</v>
      </c>
      <c r="AD52" s="33" t="s">
        <v>52</v>
      </c>
      <c r="AE52" s="53">
        <f t="shared" si="161"/>
        <v>3</v>
      </c>
      <c r="AF52" s="12"/>
      <c r="AG52" s="43">
        <f t="shared" si="162"/>
        <v>1</v>
      </c>
      <c r="AH52" s="33" t="s">
        <v>52</v>
      </c>
      <c r="AI52" s="49">
        <f t="shared" si="163"/>
        <v>15</v>
      </c>
      <c r="AJ52" s="12" t="s">
        <v>53</v>
      </c>
      <c r="AK52" s="33">
        <f t="shared" si="164"/>
        <v>0</v>
      </c>
      <c r="AL52" s="49" t="s">
        <v>54</v>
      </c>
      <c r="AM52" s="12">
        <f t="shared" si="165"/>
        <v>0</v>
      </c>
      <c r="AN52" s="33" t="s">
        <v>52</v>
      </c>
      <c r="AO52" s="49">
        <f t="shared" si="166"/>
        <v>3</v>
      </c>
      <c r="AP52" s="12" t="s">
        <v>53</v>
      </c>
      <c r="AQ52" s="33">
        <f t="shared" si="167"/>
        <v>0</v>
      </c>
      <c r="AR52" s="49" t="s">
        <v>54</v>
      </c>
      <c r="AS52" s="12">
        <f t="shared" si="168"/>
        <v>1</v>
      </c>
      <c r="AT52" s="33" t="s">
        <v>52</v>
      </c>
      <c r="AU52" s="49">
        <f t="shared" si="169"/>
        <v>6</v>
      </c>
      <c r="AV52" s="12" t="s">
        <v>53</v>
      </c>
      <c r="AW52" s="33">
        <f t="shared" si="170"/>
        <v>0</v>
      </c>
      <c r="AX52" s="49" t="s">
        <v>54</v>
      </c>
      <c r="AY52" s="12">
        <f t="shared" si="171"/>
        <v>0</v>
      </c>
      <c r="AZ52" s="33" t="s">
        <v>52</v>
      </c>
      <c r="BA52" s="49">
        <f t="shared" si="172"/>
        <v>6</v>
      </c>
      <c r="BB52" s="12" t="s">
        <v>53</v>
      </c>
      <c r="BC52" s="33">
        <f t="shared" si="173"/>
        <v>0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1</v>
      </c>
      <c r="BJ52" s="12" t="str">
        <f t="shared" ref="BJ52:CI52" si="191">IFERROR(IF($B$16="W",BJ22,BJ23),"0")</f>
        <v>-</v>
      </c>
      <c r="BK52" s="49">
        <f t="shared" si="191"/>
        <v>3</v>
      </c>
      <c r="BL52" s="12" t="str">
        <f t="shared" si="191"/>
        <v>(</v>
      </c>
      <c r="BM52" s="33">
        <f t="shared" si="191"/>
        <v>0</v>
      </c>
      <c r="BN52" s="49" t="str">
        <f t="shared" si="191"/>
        <v>)</v>
      </c>
      <c r="BO52" s="12">
        <f t="shared" si="191"/>
        <v>1</v>
      </c>
      <c r="BP52" s="12" t="str">
        <f t="shared" si="191"/>
        <v>-</v>
      </c>
      <c r="BQ52" s="49">
        <f t="shared" si="191"/>
        <v>1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0</v>
      </c>
      <c r="CB52" s="12" t="str">
        <f t="shared" si="191"/>
        <v>-</v>
      </c>
      <c r="CC52" s="49">
        <f t="shared" si="191"/>
        <v>2</v>
      </c>
      <c r="CD52" s="12" t="str">
        <f t="shared" si="191"/>
        <v>(</v>
      </c>
      <c r="CE52" s="33">
        <f t="shared" si="191"/>
        <v>0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3</v>
      </c>
      <c r="CK52" s="33">
        <f t="shared" ref="CK52:CV52" si="192">IFERROR(IF($B$16="W",CK22,CK23),"0")</f>
        <v>10</v>
      </c>
      <c r="CL52" s="33">
        <f t="shared" si="192"/>
        <v>0</v>
      </c>
      <c r="CM52" s="33">
        <f t="shared" si="192"/>
        <v>0</v>
      </c>
      <c r="CN52" s="33">
        <f t="shared" si="192"/>
        <v>13</v>
      </c>
      <c r="CO52" s="33">
        <f t="shared" si="192"/>
        <v>0</v>
      </c>
      <c r="CP52" s="33">
        <f t="shared" si="192"/>
        <v>6</v>
      </c>
      <c r="CQ52" s="33">
        <f t="shared" si="192"/>
        <v>6</v>
      </c>
      <c r="CR52" s="33">
        <f t="shared" si="192"/>
        <v>3</v>
      </c>
      <c r="CS52" s="33">
        <f t="shared" si="192"/>
        <v>3</v>
      </c>
      <c r="CT52" s="33">
        <f t="shared" si="192"/>
        <v>4</v>
      </c>
      <c r="CU52" s="33">
        <f t="shared" si="192"/>
        <v>0</v>
      </c>
      <c r="CV52" s="58">
        <f t="shared" si="192"/>
        <v>6.15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19.88276431965528</v>
      </c>
      <c r="EW52" s="38" t="s">
        <v>113</v>
      </c>
      <c r="EX52" s="6">
        <f t="shared" si="147"/>
        <v>2.15</v>
      </c>
      <c r="EY52" s="6">
        <f t="shared" si="177"/>
        <v>3</v>
      </c>
      <c r="EZ52" s="6">
        <f t="shared" si="178"/>
        <v>3.1036666666666668</v>
      </c>
    </row>
    <row r="53" spans="3:156" x14ac:dyDescent="0.2">
      <c r="C53" s="38" t="s">
        <v>49</v>
      </c>
      <c r="D53" s="28">
        <f t="shared" si="144"/>
        <v>61.25</v>
      </c>
      <c r="E53" s="86">
        <f t="shared" si="148"/>
        <v>20</v>
      </c>
      <c r="F53" s="33" t="s">
        <v>52</v>
      </c>
      <c r="G53" s="49">
        <f t="shared" si="149"/>
        <v>31</v>
      </c>
      <c r="H53" s="12" t="s">
        <v>53</v>
      </c>
      <c r="I53" s="33">
        <f t="shared" si="150"/>
        <v>10</v>
      </c>
      <c r="J53" s="49" t="s">
        <v>54</v>
      </c>
      <c r="K53" s="12">
        <f t="shared" si="151"/>
        <v>10</v>
      </c>
      <c r="L53" s="33" t="s">
        <v>52</v>
      </c>
      <c r="M53" s="49">
        <f t="shared" si="152"/>
        <v>12</v>
      </c>
      <c r="N53" s="12" t="s">
        <v>53</v>
      </c>
      <c r="O53" s="33">
        <f t="shared" si="153"/>
        <v>5</v>
      </c>
      <c r="P53" s="49" t="s">
        <v>54</v>
      </c>
      <c r="Q53" s="12">
        <f t="shared" si="154"/>
        <v>5</v>
      </c>
      <c r="R53" s="33" t="s">
        <v>52</v>
      </c>
      <c r="S53" s="49">
        <f t="shared" si="155"/>
        <v>8</v>
      </c>
      <c r="T53" s="12" t="s">
        <v>53</v>
      </c>
      <c r="U53" s="33">
        <f t="shared" si="156"/>
        <v>1</v>
      </c>
      <c r="V53" s="49" t="s">
        <v>54</v>
      </c>
      <c r="W53" s="12">
        <f t="shared" si="157"/>
        <v>5</v>
      </c>
      <c r="X53" s="33" t="s">
        <v>52</v>
      </c>
      <c r="Y53" s="49">
        <f t="shared" si="158"/>
        <v>11</v>
      </c>
      <c r="Z53" s="12" t="s">
        <v>53</v>
      </c>
      <c r="AA53" s="33">
        <f t="shared" si="159"/>
        <v>4</v>
      </c>
      <c r="AB53" s="49" t="s">
        <v>54</v>
      </c>
      <c r="AC53" s="12">
        <f t="shared" si="160"/>
        <v>4.5500000000000007</v>
      </c>
      <c r="AD53" s="33" t="s">
        <v>52</v>
      </c>
      <c r="AE53" s="53">
        <f t="shared" si="161"/>
        <v>6</v>
      </c>
      <c r="AF53" s="12"/>
      <c r="AG53" s="43">
        <f t="shared" si="162"/>
        <v>18</v>
      </c>
      <c r="AH53" s="33" t="s">
        <v>52</v>
      </c>
      <c r="AI53" s="49">
        <f t="shared" si="163"/>
        <v>28</v>
      </c>
      <c r="AJ53" s="12" t="s">
        <v>53</v>
      </c>
      <c r="AK53" s="33">
        <f t="shared" si="164"/>
        <v>10</v>
      </c>
      <c r="AL53" s="49" t="s">
        <v>54</v>
      </c>
      <c r="AM53" s="12">
        <f t="shared" si="165"/>
        <v>9</v>
      </c>
      <c r="AN53" s="33" t="s">
        <v>52</v>
      </c>
      <c r="AO53" s="49">
        <f t="shared" si="166"/>
        <v>11</v>
      </c>
      <c r="AP53" s="12" t="s">
        <v>53</v>
      </c>
      <c r="AQ53" s="33">
        <f t="shared" si="167"/>
        <v>5</v>
      </c>
      <c r="AR53" s="49" t="s">
        <v>54</v>
      </c>
      <c r="AS53" s="12">
        <f t="shared" si="168"/>
        <v>5</v>
      </c>
      <c r="AT53" s="33" t="s">
        <v>52</v>
      </c>
      <c r="AU53" s="49">
        <f t="shared" si="169"/>
        <v>8</v>
      </c>
      <c r="AV53" s="12" t="s">
        <v>53</v>
      </c>
      <c r="AW53" s="33">
        <f t="shared" si="170"/>
        <v>1</v>
      </c>
      <c r="AX53" s="49" t="s">
        <v>54</v>
      </c>
      <c r="AY53" s="12">
        <f t="shared" si="171"/>
        <v>4</v>
      </c>
      <c r="AZ53" s="33" t="s">
        <v>52</v>
      </c>
      <c r="BA53" s="49">
        <f t="shared" si="172"/>
        <v>9</v>
      </c>
      <c r="BB53" s="12" t="s">
        <v>53</v>
      </c>
      <c r="BC53" s="33">
        <f t="shared" si="173"/>
        <v>4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2</v>
      </c>
      <c r="BJ53" s="12" t="str">
        <f t="shared" ref="BJ53:CI53" si="193">IFERROR(IF($B$17="W",BJ22,BJ23),"0")</f>
        <v>-</v>
      </c>
      <c r="BK53" s="49">
        <f t="shared" si="193"/>
        <v>3</v>
      </c>
      <c r="BL53" s="12" t="str">
        <f t="shared" si="193"/>
        <v>(</v>
      </c>
      <c r="BM53" s="33">
        <f t="shared" si="193"/>
        <v>0</v>
      </c>
      <c r="BN53" s="49" t="str">
        <f t="shared" si="193"/>
        <v>)</v>
      </c>
      <c r="BO53" s="12">
        <f t="shared" si="193"/>
        <v>1</v>
      </c>
      <c r="BP53" s="12" t="str">
        <f t="shared" si="193"/>
        <v>-</v>
      </c>
      <c r="BQ53" s="49">
        <f t="shared" si="193"/>
        <v>1</v>
      </c>
      <c r="BR53" s="12" t="str">
        <f t="shared" si="193"/>
        <v>(</v>
      </c>
      <c r="BS53" s="33">
        <f t="shared" si="193"/>
        <v>0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1</v>
      </c>
      <c r="CB53" s="12" t="str">
        <f t="shared" si="193"/>
        <v>-</v>
      </c>
      <c r="CC53" s="49">
        <f t="shared" si="193"/>
        <v>2</v>
      </c>
      <c r="CD53" s="12" t="str">
        <f t="shared" si="193"/>
        <v>(</v>
      </c>
      <c r="CE53" s="33">
        <f t="shared" si="193"/>
        <v>0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1</v>
      </c>
      <c r="CK53" s="33">
        <f t="shared" ref="CK53:CV53" si="194">IFERROR(IF($B$17="W",CK22,CK23),"0")</f>
        <v>13</v>
      </c>
      <c r="CL53" s="33">
        <f t="shared" si="194"/>
        <v>0</v>
      </c>
      <c r="CM53" s="33">
        <f t="shared" si="194"/>
        <v>0</v>
      </c>
      <c r="CN53" s="33">
        <f t="shared" si="194"/>
        <v>14</v>
      </c>
      <c r="CO53" s="33">
        <f t="shared" si="194"/>
        <v>10</v>
      </c>
      <c r="CP53" s="33">
        <f t="shared" si="194"/>
        <v>11</v>
      </c>
      <c r="CQ53" s="33">
        <f t="shared" si="194"/>
        <v>3</v>
      </c>
      <c r="CR53" s="33">
        <f t="shared" si="194"/>
        <v>6</v>
      </c>
      <c r="CS53" s="33">
        <f t="shared" si="194"/>
        <v>2</v>
      </c>
      <c r="CT53" s="33">
        <f t="shared" si="194"/>
        <v>6</v>
      </c>
      <c r="CU53" s="33">
        <f t="shared" si="194"/>
        <v>1</v>
      </c>
      <c r="CV53" s="58">
        <f t="shared" si="194"/>
        <v>49.55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38.953601123893748</v>
      </c>
      <c r="EW53" s="38" t="s">
        <v>49</v>
      </c>
      <c r="EX53" s="6">
        <f t="shared" si="147"/>
        <v>4.5500000000000007</v>
      </c>
      <c r="EY53" s="6">
        <f t="shared" si="177"/>
        <v>6</v>
      </c>
      <c r="EZ53" s="6">
        <f t="shared" si="178"/>
        <v>22.259833333333333</v>
      </c>
    </row>
    <row r="54" spans="3:156" ht="17" thickBot="1" x14ac:dyDescent="0.25">
      <c r="C54" s="38" t="s">
        <v>230</v>
      </c>
      <c r="D54" s="28">
        <f t="shared" si="144"/>
        <v>61.250000000000007</v>
      </c>
      <c r="E54" s="87">
        <f t="shared" si="148"/>
        <v>2</v>
      </c>
      <c r="F54" s="55" t="s">
        <v>52</v>
      </c>
      <c r="G54" s="54">
        <f t="shared" si="149"/>
        <v>18</v>
      </c>
      <c r="H54" s="45" t="s">
        <v>53</v>
      </c>
      <c r="I54" s="55">
        <f t="shared" si="150"/>
        <v>0</v>
      </c>
      <c r="J54" s="54" t="s">
        <v>54</v>
      </c>
      <c r="K54" s="45">
        <f t="shared" si="151"/>
        <v>1</v>
      </c>
      <c r="L54" s="55" t="s">
        <v>52</v>
      </c>
      <c r="M54" s="54">
        <f t="shared" si="152"/>
        <v>4</v>
      </c>
      <c r="N54" s="45" t="s">
        <v>53</v>
      </c>
      <c r="O54" s="55">
        <f t="shared" si="153"/>
        <v>0</v>
      </c>
      <c r="P54" s="54" t="s">
        <v>54</v>
      </c>
      <c r="Q54" s="45">
        <f t="shared" si="154"/>
        <v>1</v>
      </c>
      <c r="R54" s="55" t="s">
        <v>52</v>
      </c>
      <c r="S54" s="54">
        <f t="shared" si="155"/>
        <v>6</v>
      </c>
      <c r="T54" s="45" t="s">
        <v>53</v>
      </c>
      <c r="U54" s="55">
        <f t="shared" si="156"/>
        <v>0</v>
      </c>
      <c r="V54" s="54" t="s">
        <v>54</v>
      </c>
      <c r="W54" s="45">
        <f t="shared" si="157"/>
        <v>0</v>
      </c>
      <c r="X54" s="55" t="s">
        <v>52</v>
      </c>
      <c r="Y54" s="54">
        <f t="shared" si="158"/>
        <v>8</v>
      </c>
      <c r="Z54" s="45" t="s">
        <v>53</v>
      </c>
      <c r="AA54" s="55">
        <f t="shared" si="159"/>
        <v>0</v>
      </c>
      <c r="AB54" s="54" t="s">
        <v>54</v>
      </c>
      <c r="AC54" s="45">
        <f t="shared" si="160"/>
        <v>2.15</v>
      </c>
      <c r="AD54" s="55" t="s">
        <v>52</v>
      </c>
      <c r="AE54" s="56">
        <f t="shared" si="161"/>
        <v>3</v>
      </c>
      <c r="AF54" s="1"/>
      <c r="AG54" s="44">
        <f t="shared" si="162"/>
        <v>1</v>
      </c>
      <c r="AH54" s="55" t="s">
        <v>52</v>
      </c>
      <c r="AI54" s="54">
        <f t="shared" si="163"/>
        <v>15</v>
      </c>
      <c r="AJ54" s="45" t="s">
        <v>53</v>
      </c>
      <c r="AK54" s="55">
        <f t="shared" si="164"/>
        <v>0</v>
      </c>
      <c r="AL54" s="54" t="s">
        <v>54</v>
      </c>
      <c r="AM54" s="45">
        <f t="shared" si="165"/>
        <v>0</v>
      </c>
      <c r="AN54" s="55" t="s">
        <v>52</v>
      </c>
      <c r="AO54" s="54">
        <f t="shared" si="166"/>
        <v>3</v>
      </c>
      <c r="AP54" s="45" t="s">
        <v>53</v>
      </c>
      <c r="AQ54" s="55">
        <f t="shared" si="167"/>
        <v>0</v>
      </c>
      <c r="AR54" s="54" t="s">
        <v>54</v>
      </c>
      <c r="AS54" s="45">
        <f t="shared" si="168"/>
        <v>1</v>
      </c>
      <c r="AT54" s="55" t="s">
        <v>52</v>
      </c>
      <c r="AU54" s="54">
        <f t="shared" si="169"/>
        <v>6</v>
      </c>
      <c r="AV54" s="45" t="s">
        <v>53</v>
      </c>
      <c r="AW54" s="55">
        <f t="shared" si="170"/>
        <v>0</v>
      </c>
      <c r="AX54" s="54" t="s">
        <v>54</v>
      </c>
      <c r="AY54" s="45">
        <f t="shared" si="171"/>
        <v>0</v>
      </c>
      <c r="AZ54" s="55" t="s">
        <v>52</v>
      </c>
      <c r="BA54" s="54">
        <f t="shared" si="172"/>
        <v>6</v>
      </c>
      <c r="BB54" s="45" t="s">
        <v>53</v>
      </c>
      <c r="BC54" s="55">
        <f t="shared" si="173"/>
        <v>0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1</v>
      </c>
      <c r="BJ54" s="45" t="str">
        <f t="shared" ref="BJ54:CV54" si="195">IFERROR(IF($B$18="W",BJ22,BJ23),"0")</f>
        <v>-</v>
      </c>
      <c r="BK54" s="54">
        <f t="shared" si="195"/>
        <v>3</v>
      </c>
      <c r="BL54" s="45" t="str">
        <f t="shared" si="195"/>
        <v>(</v>
      </c>
      <c r="BM54" s="55">
        <f t="shared" si="195"/>
        <v>0</v>
      </c>
      <c r="BN54" s="54" t="str">
        <f t="shared" si="195"/>
        <v>)</v>
      </c>
      <c r="BO54" s="45">
        <f t="shared" si="195"/>
        <v>1</v>
      </c>
      <c r="BP54" s="45" t="str">
        <f t="shared" si="195"/>
        <v>-</v>
      </c>
      <c r="BQ54" s="54">
        <f t="shared" si="195"/>
        <v>1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0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0</v>
      </c>
      <c r="CB54" s="45" t="str">
        <f t="shared" si="195"/>
        <v>-</v>
      </c>
      <c r="CC54" s="54">
        <f t="shared" si="195"/>
        <v>2</v>
      </c>
      <c r="CD54" s="45" t="str">
        <f t="shared" si="195"/>
        <v>(</v>
      </c>
      <c r="CE54" s="55">
        <f t="shared" si="195"/>
        <v>0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3</v>
      </c>
      <c r="CK54" s="33">
        <f t="shared" si="195"/>
        <v>10</v>
      </c>
      <c r="CL54" s="33">
        <f t="shared" si="195"/>
        <v>0</v>
      </c>
      <c r="CM54" s="33">
        <f>IFERROR(IF($B$18="W",CM22,CM23),"0")</f>
        <v>0</v>
      </c>
      <c r="CN54" s="33">
        <f t="shared" si="195"/>
        <v>13</v>
      </c>
      <c r="CO54" s="33">
        <f t="shared" si="195"/>
        <v>0</v>
      </c>
      <c r="CP54" s="33">
        <f t="shared" si="195"/>
        <v>6</v>
      </c>
      <c r="CQ54" s="33">
        <f t="shared" si="195"/>
        <v>6</v>
      </c>
      <c r="CR54" s="33">
        <f t="shared" si="195"/>
        <v>3</v>
      </c>
      <c r="CS54" s="33">
        <f t="shared" si="195"/>
        <v>3</v>
      </c>
      <c r="CT54" s="33">
        <f t="shared" si="195"/>
        <v>4</v>
      </c>
      <c r="CU54" s="33">
        <f t="shared" si="195"/>
        <v>0</v>
      </c>
      <c r="CV54" s="58">
        <f t="shared" si="195"/>
        <v>6.15</v>
      </c>
      <c r="CW54" s="33"/>
      <c r="CX54" s="1"/>
      <c r="CY54" s="1"/>
      <c r="CZ54" s="1"/>
      <c r="EF54" s="38" t="s">
        <v>230</v>
      </c>
      <c r="EG54" s="6">
        <f t="shared" si="146"/>
        <v>19.88276431965528</v>
      </c>
      <c r="EW54" s="38" t="s">
        <v>230</v>
      </c>
      <c r="EX54" s="6">
        <f t="shared" si="147"/>
        <v>2.15</v>
      </c>
      <c r="EY54" s="6">
        <f t="shared" si="177"/>
        <v>3</v>
      </c>
      <c r="EZ54" s="6">
        <f t="shared" si="178"/>
        <v>3.1036666666666668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472"/>
      <c r="J57" s="51"/>
      <c r="K57" s="48"/>
      <c r="M57" s="51"/>
      <c r="N57" s="48"/>
      <c r="O57" s="472"/>
      <c r="P57" s="51"/>
      <c r="Q57" s="48"/>
      <c r="S57" s="51"/>
      <c r="T57" s="48"/>
      <c r="U57" s="472"/>
      <c r="V57" s="51"/>
      <c r="W57" s="48"/>
      <c r="Y57" s="51"/>
      <c r="Z57" s="48"/>
      <c r="AA57" s="472"/>
      <c r="AB57" s="51"/>
      <c r="AC57" s="48"/>
      <c r="AE57" s="51"/>
      <c r="AG57" s="48"/>
      <c r="AI57" s="51"/>
      <c r="AJ57" s="48"/>
      <c r="AL57" s="51"/>
      <c r="AM57" s="48"/>
      <c r="AO57" s="51"/>
      <c r="AP57" s="48"/>
      <c r="AQ57" s="472"/>
      <c r="AR57" s="51"/>
      <c r="AS57" s="48"/>
      <c r="AU57" s="51"/>
      <c r="AV57" s="48"/>
      <c r="AW57" s="472"/>
      <c r="AX57" s="51"/>
      <c r="AY57" s="48"/>
      <c r="BA57" s="51"/>
      <c r="BB57" s="48"/>
      <c r="BC57" s="472"/>
      <c r="BD57" s="51"/>
      <c r="BE57" s="48"/>
      <c r="BG57" s="51"/>
      <c r="BH57" s="51"/>
      <c r="BI57" s="48"/>
      <c r="BK57" s="51"/>
      <c r="BL57" s="48"/>
      <c r="BM57" s="472"/>
      <c r="BN57" s="51"/>
      <c r="BO57" s="48"/>
      <c r="BQ57" s="51"/>
      <c r="BR57" s="48"/>
      <c r="BS57" s="472"/>
      <c r="BT57" s="51"/>
      <c r="BU57" s="48"/>
      <c r="BW57" s="51"/>
      <c r="BX57" s="48"/>
      <c r="BY57" s="472"/>
      <c r="BZ57" s="51"/>
      <c r="CA57" s="48"/>
      <c r="CC57" s="51"/>
      <c r="CD57" s="48"/>
      <c r="CE57" s="472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472"/>
      <c r="J58" s="51"/>
      <c r="K58" s="48"/>
      <c r="M58" s="51"/>
      <c r="N58" s="48"/>
      <c r="O58" s="472"/>
      <c r="P58" s="51"/>
      <c r="Q58" s="48"/>
      <c r="S58" s="51"/>
      <c r="T58" s="48"/>
      <c r="U58" s="472"/>
      <c r="V58" s="51"/>
      <c r="W58" s="48"/>
      <c r="Y58" s="51"/>
      <c r="Z58" s="48"/>
      <c r="AA58" s="472"/>
      <c r="AB58" s="51"/>
      <c r="AC58" s="48"/>
      <c r="AE58" s="51"/>
      <c r="AG58" s="48"/>
      <c r="AI58" s="51"/>
      <c r="AJ58" s="48"/>
      <c r="AL58" s="51"/>
      <c r="AM58" s="48"/>
      <c r="AO58" s="51"/>
      <c r="AP58" s="48"/>
      <c r="AQ58" s="472"/>
      <c r="AR58" s="51"/>
      <c r="AS58" s="48"/>
      <c r="AU58" s="51"/>
      <c r="AV58" s="48"/>
      <c r="AW58" s="472"/>
      <c r="AX58" s="51"/>
      <c r="AY58" s="48"/>
      <c r="BA58" s="51"/>
      <c r="BB58" s="48"/>
      <c r="BC58" s="472"/>
      <c r="BD58" s="51"/>
      <c r="BE58" s="48"/>
      <c r="BG58" s="51"/>
      <c r="BH58" s="51"/>
      <c r="BI58" s="48"/>
      <c r="BK58" s="51"/>
      <c r="BL58" s="48"/>
      <c r="BM58" s="472"/>
      <c r="BN58" s="51"/>
      <c r="BO58" s="48"/>
      <c r="BQ58" s="51"/>
      <c r="BR58" s="48"/>
      <c r="BS58" s="472"/>
      <c r="BT58" s="51"/>
      <c r="BU58" s="48"/>
      <c r="BW58" s="51"/>
      <c r="BX58" s="48"/>
      <c r="BY58" s="472"/>
      <c r="BZ58" s="51"/>
      <c r="CA58" s="48"/>
      <c r="CC58" s="51"/>
      <c r="CD58" s="48"/>
      <c r="CE58" s="472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2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2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480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472"/>
      <c r="DE62" s="472"/>
      <c r="DF62" s="472"/>
      <c r="DG62" s="472"/>
      <c r="DH62" s="23"/>
      <c r="DI62" s="472"/>
      <c r="DJ62" s="472"/>
      <c r="DK62" s="472"/>
      <c r="DL62" s="472"/>
      <c r="DM62" s="472"/>
      <c r="DN62" s="472"/>
      <c r="DO62" s="472"/>
      <c r="DP62" s="472"/>
      <c r="DQ62" s="472"/>
      <c r="DR62" s="472"/>
      <c r="DS62" s="472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480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472"/>
      <c r="DE63" s="472"/>
      <c r="DF63" s="472"/>
      <c r="DG63" s="472"/>
      <c r="DH63" s="23"/>
      <c r="DI63" s="472"/>
      <c r="DJ63" s="472"/>
      <c r="DK63" s="472"/>
      <c r="DL63" s="472"/>
      <c r="DM63" s="472"/>
      <c r="DN63" s="472"/>
      <c r="DO63" s="472"/>
      <c r="DP63" s="472"/>
      <c r="DQ63" s="472"/>
      <c r="DR63" s="472"/>
      <c r="DS63" s="472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480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472"/>
      <c r="DE64" s="472"/>
      <c r="DF64" s="472"/>
      <c r="DG64" s="472"/>
      <c r="DH64" s="23"/>
      <c r="DI64" s="472"/>
      <c r="DJ64" s="472"/>
      <c r="DK64" s="472"/>
      <c r="DL64" s="472"/>
      <c r="DM64" s="472"/>
      <c r="DN64" s="472"/>
      <c r="DO64" s="472"/>
      <c r="DP64" s="472"/>
      <c r="DQ64" s="472"/>
      <c r="DR64" s="472"/>
      <c r="DS64" s="472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480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472"/>
      <c r="DE65" s="472"/>
      <c r="DF65" s="472"/>
      <c r="DG65" s="472"/>
      <c r="DH65" s="23"/>
      <c r="DI65" s="472"/>
      <c r="DJ65" s="472"/>
      <c r="DK65" s="472"/>
      <c r="DL65" s="472"/>
      <c r="DM65" s="472"/>
      <c r="DN65" s="472"/>
      <c r="DO65" s="472"/>
      <c r="DP65" s="472"/>
      <c r="DQ65" s="472"/>
      <c r="DR65" s="472"/>
      <c r="DS65" s="472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480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472"/>
      <c r="DE66" s="472"/>
      <c r="DF66" s="472"/>
      <c r="DG66" s="472"/>
      <c r="DH66" s="23"/>
      <c r="DI66" s="472"/>
      <c r="DJ66" s="472"/>
      <c r="DK66" s="472"/>
      <c r="DL66" s="472"/>
      <c r="DM66" s="472"/>
      <c r="DN66" s="472"/>
      <c r="DO66" s="472"/>
      <c r="DP66" s="472"/>
      <c r="DQ66" s="472"/>
      <c r="DR66" s="472"/>
      <c r="DS66" s="472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480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472"/>
      <c r="DE67" s="472"/>
      <c r="DF67" s="472"/>
      <c r="DG67" s="472"/>
      <c r="DH67" s="23"/>
      <c r="DI67" s="472"/>
      <c r="DJ67" s="472"/>
      <c r="DK67" s="472"/>
      <c r="DL67" s="472"/>
      <c r="DM67" s="472"/>
      <c r="DN67" s="472"/>
      <c r="DO67" s="472"/>
      <c r="DP67" s="472"/>
      <c r="DQ67" s="472"/>
      <c r="DR67" s="472"/>
      <c r="DS67" s="472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480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472"/>
      <c r="DE68" s="472"/>
      <c r="DF68" s="472"/>
      <c r="DG68" s="472"/>
      <c r="DH68" s="23"/>
      <c r="DI68" s="472"/>
      <c r="DJ68" s="472"/>
      <c r="DK68" s="472"/>
      <c r="DL68" s="472"/>
      <c r="DM68" s="472"/>
      <c r="DN68" s="472"/>
      <c r="DO68" s="472"/>
      <c r="DP68" s="472"/>
      <c r="DQ68" s="472"/>
      <c r="DR68" s="472"/>
      <c r="DS68" s="472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480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472"/>
      <c r="DE69" s="472"/>
      <c r="DF69" s="472"/>
      <c r="DG69" s="472"/>
      <c r="DH69" s="23"/>
      <c r="DI69" s="472"/>
      <c r="DJ69" s="472"/>
      <c r="DK69" s="472"/>
      <c r="DL69" s="472"/>
      <c r="DM69" s="472"/>
      <c r="DN69" s="472"/>
      <c r="DO69" s="472"/>
      <c r="DP69" s="472"/>
      <c r="DQ69" s="472"/>
      <c r="DR69" s="472"/>
      <c r="DS69" s="472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480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472"/>
      <c r="DE70" s="472"/>
      <c r="DF70" s="472"/>
      <c r="DG70" s="472"/>
      <c r="DH70" s="23"/>
      <c r="DI70" s="472"/>
      <c r="DJ70" s="472"/>
      <c r="DK70" s="472"/>
      <c r="DL70" s="472"/>
      <c r="DM70" s="472"/>
      <c r="DN70" s="472"/>
      <c r="DO70" s="472"/>
      <c r="DP70" s="472"/>
      <c r="DQ70" s="472"/>
      <c r="DR70" s="472"/>
      <c r="DS70" s="472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480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472"/>
      <c r="DE71" s="472"/>
      <c r="DF71" s="472"/>
      <c r="DG71" s="472"/>
      <c r="DH71" s="23"/>
      <c r="DI71" s="472"/>
      <c r="DJ71" s="472"/>
      <c r="DK71" s="472"/>
      <c r="DL71" s="472"/>
      <c r="DM71" s="472"/>
      <c r="DN71" s="472"/>
      <c r="DO71" s="472"/>
      <c r="DP71" s="472"/>
      <c r="DQ71" s="472"/>
      <c r="DR71" s="472"/>
      <c r="DS71" s="472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480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72"/>
      <c r="DE72" s="472"/>
      <c r="DF72" s="472"/>
      <c r="DG72" s="472"/>
      <c r="DH72" s="23"/>
      <c r="DI72" s="472"/>
      <c r="DJ72" s="472"/>
      <c r="DK72" s="472"/>
      <c r="DL72" s="472"/>
      <c r="DM72" s="472"/>
      <c r="DN72" s="472"/>
      <c r="DO72" s="472"/>
      <c r="DP72" s="472"/>
      <c r="DQ72" s="472"/>
      <c r="DR72" s="472"/>
      <c r="DS72" s="472"/>
    </row>
    <row r="73" spans="3:123" x14ac:dyDescent="0.2">
      <c r="CJ73" s="472"/>
      <c r="CK73" s="472"/>
      <c r="CL73" s="472"/>
      <c r="CM73" s="472"/>
      <c r="CN73" s="472"/>
      <c r="CO73" s="472"/>
      <c r="CP73" s="472"/>
      <c r="CQ73" s="472"/>
      <c r="CR73" s="472"/>
      <c r="CS73" s="22"/>
      <c r="CT73" s="472"/>
      <c r="CU73" s="472"/>
      <c r="CV73" s="472"/>
      <c r="CW73" s="472"/>
      <c r="CX73" s="472"/>
      <c r="CY73" s="472"/>
      <c r="CZ73" s="472"/>
      <c r="DA73" s="472"/>
      <c r="DB73" s="472"/>
      <c r="DC73" s="472"/>
      <c r="DD73" s="472"/>
      <c r="DE73" s="472"/>
      <c r="DF73" s="472"/>
      <c r="DG73" s="472"/>
      <c r="DH73" s="472"/>
      <c r="DI73" s="472"/>
      <c r="DJ73" s="472"/>
      <c r="DK73" s="472"/>
      <c r="DL73" s="472"/>
      <c r="DM73" s="472"/>
      <c r="DN73" s="472"/>
      <c r="DO73" s="472"/>
      <c r="DP73" s="472"/>
      <c r="DQ73" s="472"/>
      <c r="DR73" s="472"/>
      <c r="DS73" s="472"/>
    </row>
  </sheetData>
  <dataConsolidate/>
  <mergeCells count="26">
    <mergeCell ref="CY29:CZ29"/>
    <mergeCell ref="BE3:BG3"/>
    <mergeCell ref="BI3:BN3"/>
    <mergeCell ref="BO3:BT3"/>
    <mergeCell ref="BU3:BZ3"/>
    <mergeCell ref="CA3:CF3"/>
    <mergeCell ref="CG3:CI3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2:D2"/>
    <mergeCell ref="E2:AE2"/>
    <mergeCell ref="AG2:BG2"/>
    <mergeCell ref="BI2:CI2"/>
    <mergeCell ref="CJ2:C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71F9-5569-EE40-8AE2-82F8254C2759}">
  <sheetPr codeName="Sheet70"/>
  <dimension ref="A1:GO73"/>
  <sheetViews>
    <sheetView showRuler="0" zoomScale="136" zoomScaleNormal="136" workbookViewId="0">
      <pane xSplit="3" topLeftCell="D1" activePane="topRight" state="frozen"/>
      <selection pane="topRight" activeCell="AC19" sqref="AC19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3.1640625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hidden="1" customWidth="1" outlineLevel="1"/>
    <col min="33" max="33" width="3.33203125" hidden="1" customWidth="1" outlineLevel="1"/>
    <col min="34" max="34" width="1.33203125" hidden="1" customWidth="1" outlineLevel="1"/>
    <col min="35" max="35" width="3.33203125" hidden="1" customWidth="1" outlineLevel="1"/>
    <col min="36" max="36" width="1.6640625" hidden="1" customWidth="1" outlineLevel="1"/>
    <col min="37" max="37" width="2.1640625" hidden="1" customWidth="1" outlineLevel="1"/>
    <col min="38" max="38" width="3" hidden="1" customWidth="1" outlineLevel="1"/>
    <col min="39" max="39" width="3.33203125" hidden="1" customWidth="1" outlineLevel="1"/>
    <col min="40" max="40" width="1.33203125" hidden="1" customWidth="1" outlineLevel="1"/>
    <col min="41" max="41" width="2.6640625" hidden="1" customWidth="1" outlineLevel="1"/>
    <col min="42" max="42" width="1.6640625" hidden="1" customWidth="1" outlineLevel="1"/>
    <col min="43" max="43" width="2" hidden="1" customWidth="1" outlineLevel="1"/>
    <col min="44" max="45" width="3.33203125" hidden="1" customWidth="1" outlineLevel="1"/>
    <col min="46" max="46" width="1.33203125" hidden="1" customWidth="1" outlineLevel="1"/>
    <col min="47" max="47" width="2.6640625" hidden="1" customWidth="1" outlineLevel="1"/>
    <col min="48" max="48" width="1.6640625" hidden="1" customWidth="1" outlineLevel="1"/>
    <col min="49" max="49" width="2.33203125" hidden="1" customWidth="1" outlineLevel="1"/>
    <col min="50" max="50" width="3.83203125" hidden="1" customWidth="1" outlineLevel="1"/>
    <col min="51" max="51" width="3.33203125" hidden="1" customWidth="1" outlineLevel="1"/>
    <col min="52" max="52" width="1.33203125" hidden="1" customWidth="1" outlineLevel="1"/>
    <col min="53" max="53" width="3.33203125" hidden="1" customWidth="1" outlineLevel="1"/>
    <col min="54" max="54" width="1.6640625" hidden="1" customWidth="1" outlineLevel="1"/>
    <col min="55" max="55" width="2.1640625" hidden="1" customWidth="1" outlineLevel="1"/>
    <col min="56" max="56" width="3.83203125" hidden="1" customWidth="1" outlineLevel="1"/>
    <col min="57" max="57" width="3.33203125" hidden="1" customWidth="1" outlineLevel="1"/>
    <col min="58" max="58" width="1.33203125" hidden="1" customWidth="1" outlineLevel="1"/>
    <col min="59" max="59" width="3.6640625" hidden="1" customWidth="1" outlineLevel="1"/>
    <col min="60" max="60" width="2.5" hidden="1" customWidth="1" outlineLevel="1"/>
    <col min="61" max="61" width="3.33203125" hidden="1" customWidth="1" outlineLevel="1"/>
    <col min="62" max="62" width="1.33203125" hidden="1" customWidth="1" outlineLevel="1"/>
    <col min="63" max="63" width="2.83203125" hidden="1" customWidth="1" outlineLevel="1"/>
    <col min="64" max="64" width="1.6640625" hidden="1" customWidth="1" outlineLevel="1"/>
    <col min="65" max="65" width="2.1640625" hidden="1" customWidth="1" outlineLevel="1"/>
    <col min="66" max="66" width="2.33203125" hidden="1" customWidth="1" outlineLevel="1"/>
    <col min="67" max="67" width="3.33203125" hidden="1" customWidth="1" outlineLevel="1"/>
    <col min="68" max="68" width="1.33203125" hidden="1" customWidth="1" outlineLevel="1"/>
    <col min="69" max="69" width="2.6640625" hidden="1" customWidth="1" outlineLevel="1"/>
    <col min="70" max="70" width="1.6640625" hidden="1" customWidth="1" outlineLevel="1"/>
    <col min="71" max="71" width="2.1640625" hidden="1" customWidth="1" outlineLevel="1"/>
    <col min="72" max="72" width="2.83203125" hidden="1" customWidth="1" outlineLevel="1"/>
    <col min="73" max="73" width="3.33203125" hidden="1" customWidth="1" outlineLevel="1"/>
    <col min="74" max="74" width="1.33203125" hidden="1" customWidth="1" outlineLevel="1"/>
    <col min="75" max="75" width="2.6640625" hidden="1" customWidth="1" outlineLevel="1"/>
    <col min="76" max="76" width="1.6640625" hidden="1" customWidth="1" outlineLevel="1"/>
    <col min="77" max="77" width="2" hidden="1" customWidth="1" outlineLevel="1"/>
    <col min="78" max="78" width="3.83203125" hidden="1" customWidth="1" outlineLevel="1"/>
    <col min="79" max="79" width="3.33203125" hidden="1" customWidth="1" outlineLevel="1"/>
    <col min="80" max="80" width="1.33203125" hidden="1" customWidth="1" outlineLevel="1"/>
    <col min="81" max="81" width="2.6640625" hidden="1" customWidth="1" outlineLevel="1"/>
    <col min="82" max="82" width="1.6640625" hidden="1" customWidth="1" outlineLevel="1"/>
    <col min="83" max="83" width="2.5" hidden="1" customWidth="1" outlineLevel="1"/>
    <col min="84" max="84" width="3.83203125" hidden="1" customWidth="1" outlineLevel="1"/>
    <col min="85" max="85" width="3.33203125" hidden="1" customWidth="1" outlineLevel="1"/>
    <col min="86" max="86" width="1.33203125" hidden="1" customWidth="1" outlineLevel="1"/>
    <col min="87" max="87" width="3.6640625" hidden="1" customWidth="1" outlineLevel="1"/>
    <col min="88" max="88" width="4.6640625" customWidth="1" collapsed="1"/>
    <col min="89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74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75"/>
      <c r="CX2" s="139"/>
      <c r="CY2" s="139"/>
      <c r="CZ2" s="139"/>
      <c r="DA2" s="139"/>
      <c r="DB2" s="475" t="s">
        <v>68</v>
      </c>
      <c r="DC2" s="475"/>
      <c r="DD2" s="346"/>
      <c r="DE2" s="346"/>
      <c r="DH2" s="346"/>
      <c r="DI2" s="346"/>
      <c r="DT2" s="479"/>
      <c r="DU2" s="479"/>
      <c r="DV2" s="479"/>
      <c r="DW2" s="479"/>
      <c r="DX2" s="479"/>
      <c r="DY2" s="479"/>
      <c r="DZ2" s="479"/>
      <c r="EA2" s="479"/>
      <c r="EB2" s="479"/>
      <c r="EC2" s="479"/>
      <c r="ED2" s="479"/>
      <c r="EE2" s="479"/>
      <c r="EF2" s="479"/>
      <c r="EG2" s="479"/>
      <c r="EH2" s="479"/>
      <c r="EI2" s="479"/>
      <c r="EJ2" s="479"/>
      <c r="EK2" s="479"/>
      <c r="EV2" s="479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75"/>
      <c r="GO2" s="479"/>
    </row>
    <row r="3" spans="1:197" ht="20" thickBot="1" x14ac:dyDescent="0.3">
      <c r="A3" s="139"/>
      <c r="B3" s="139"/>
      <c r="C3" s="112" t="s">
        <v>0</v>
      </c>
      <c r="D3" s="476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76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76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76" t="s">
        <v>57</v>
      </c>
      <c r="CK3" s="476" t="s">
        <v>58</v>
      </c>
      <c r="CL3" s="476" t="s">
        <v>247</v>
      </c>
      <c r="CM3" s="476" t="s">
        <v>248</v>
      </c>
      <c r="CN3" s="476" t="s">
        <v>59</v>
      </c>
      <c r="CO3" s="174" t="s">
        <v>61</v>
      </c>
      <c r="CP3" s="476" t="s">
        <v>221</v>
      </c>
      <c r="CQ3" s="174" t="s">
        <v>62</v>
      </c>
      <c r="CR3" s="476" t="s">
        <v>63</v>
      </c>
      <c r="CS3" s="476" t="s">
        <v>64</v>
      </c>
      <c r="CT3" s="476" t="s">
        <v>1</v>
      </c>
      <c r="CU3" s="476" t="s">
        <v>65</v>
      </c>
      <c r="CV3" s="476" t="s">
        <v>66</v>
      </c>
      <c r="CW3" s="476" t="s">
        <v>180</v>
      </c>
      <c r="CX3" s="476" t="s">
        <v>105</v>
      </c>
      <c r="CY3" s="476" t="s">
        <v>28</v>
      </c>
      <c r="CZ3" s="476" t="s">
        <v>100</v>
      </c>
      <c r="DA3" s="476" t="s">
        <v>36</v>
      </c>
      <c r="DB3" s="476" t="s">
        <v>67</v>
      </c>
      <c r="DC3" s="476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76" t="s">
        <v>38</v>
      </c>
      <c r="FG3" s="548" t="s">
        <v>39</v>
      </c>
      <c r="FH3" s="549"/>
      <c r="FI3" s="549"/>
      <c r="FJ3" s="478" t="s">
        <v>102</v>
      </c>
      <c r="FK3" s="550" t="s">
        <v>103</v>
      </c>
      <c r="FL3" s="550"/>
      <c r="FM3" s="550"/>
      <c r="FN3" s="478" t="s">
        <v>102</v>
      </c>
      <c r="FO3" s="549" t="s">
        <v>41</v>
      </c>
      <c r="FP3" s="549"/>
      <c r="FQ3" s="549"/>
      <c r="FR3" s="189" t="s">
        <v>102</v>
      </c>
      <c r="FS3" s="476" t="s">
        <v>57</v>
      </c>
      <c r="FT3" s="476" t="s">
        <v>58</v>
      </c>
      <c r="FU3" s="476" t="s">
        <v>59</v>
      </c>
      <c r="FV3" s="174" t="s">
        <v>61</v>
      </c>
      <c r="FW3" s="476" t="s">
        <v>98</v>
      </c>
      <c r="FX3" s="476" t="s">
        <v>62</v>
      </c>
      <c r="FY3" s="476" t="s">
        <v>63</v>
      </c>
      <c r="FZ3" s="476" t="s">
        <v>64</v>
      </c>
      <c r="GA3" s="476" t="s">
        <v>1</v>
      </c>
      <c r="GB3" s="476" t="s">
        <v>65</v>
      </c>
      <c r="GC3" s="174" t="s">
        <v>66</v>
      </c>
      <c r="GD3" s="199" t="s">
        <v>105</v>
      </c>
      <c r="GE3" s="476" t="s">
        <v>28</v>
      </c>
      <c r="GF3" s="476" t="s">
        <v>100</v>
      </c>
      <c r="GG3" s="173" t="s">
        <v>36</v>
      </c>
      <c r="GH3" s="476"/>
      <c r="GJ3" s="477" t="s">
        <v>106</v>
      </c>
      <c r="GK3" s="478" t="s">
        <v>107</v>
      </c>
      <c r="GL3" s="16" t="s">
        <v>108</v>
      </c>
      <c r="GM3" s="16" t="s">
        <v>109</v>
      </c>
      <c r="GN3" s="478" t="s">
        <v>110</v>
      </c>
      <c r="GO3" s="214" t="s">
        <v>111</v>
      </c>
    </row>
    <row r="4" spans="1:197" x14ac:dyDescent="0.2">
      <c r="A4" s="139"/>
      <c r="B4" s="430" t="s">
        <v>117</v>
      </c>
      <c r="C4" s="431" t="s">
        <v>205</v>
      </c>
      <c r="D4" s="483">
        <v>12.42</v>
      </c>
      <c r="E4" s="114">
        <f t="shared" ref="E4:E18" si="0">IFERROR(AG4+BI4,"0")</f>
        <v>2</v>
      </c>
      <c r="F4" s="474" t="s">
        <v>52</v>
      </c>
      <c r="G4" s="115">
        <f t="shared" ref="G4:G18" si="1">IFERROR(AI4+BK4,"0")</f>
        <v>3</v>
      </c>
      <c r="H4" s="116" t="s">
        <v>53</v>
      </c>
      <c r="I4" s="474">
        <f>IFERROR(AK4+BM4,"0")</f>
        <v>2</v>
      </c>
      <c r="J4" s="115" t="s">
        <v>54</v>
      </c>
      <c r="K4" s="116">
        <f t="shared" ref="K4:K18" si="2">IFERROR(AM4+BO4,"0")</f>
        <v>0</v>
      </c>
      <c r="L4" s="474" t="s">
        <v>52</v>
      </c>
      <c r="M4" s="115">
        <f t="shared" ref="M4:M18" si="3">IFERROR(AO4+BQ4,"0")</f>
        <v>0</v>
      </c>
      <c r="N4" s="116" t="s">
        <v>53</v>
      </c>
      <c r="O4" s="474">
        <f t="shared" ref="O4:O18" si="4">IFERROR(AQ4+BS4,"0")</f>
        <v>0</v>
      </c>
      <c r="P4" s="115" t="s">
        <v>54</v>
      </c>
      <c r="Q4" s="116">
        <f t="shared" ref="Q4:Q18" si="5">IFERROR(AS4+BU4,"0")</f>
        <v>0</v>
      </c>
      <c r="R4" s="474" t="s">
        <v>52</v>
      </c>
      <c r="S4" s="115">
        <f>IFERROR(AU4+BW4,"0")</f>
        <v>0</v>
      </c>
      <c r="T4" s="116" t="s">
        <v>53</v>
      </c>
      <c r="U4" s="474">
        <f t="shared" ref="U4:U18" si="6">IFERROR(AW4+BY4,"0")</f>
        <v>0</v>
      </c>
      <c r="V4" s="115" t="s">
        <v>54</v>
      </c>
      <c r="W4" s="116">
        <f t="shared" ref="W4:W18" si="7">IFERROR(AY4+CA4,"0")</f>
        <v>2</v>
      </c>
      <c r="X4" s="474" t="s">
        <v>52</v>
      </c>
      <c r="Y4" s="115">
        <f t="shared" ref="Y4:Y18" si="8">IFERROR(BA4+CC4,"0")</f>
        <v>3</v>
      </c>
      <c r="Z4" s="116" t="s">
        <v>53</v>
      </c>
      <c r="AA4" s="474">
        <f t="shared" ref="AA4:AA18" si="9">IFERROR(BC4+CE4,"0")</f>
        <v>2</v>
      </c>
      <c r="AB4" s="115" t="s">
        <v>54</v>
      </c>
      <c r="AC4" s="116">
        <f>IFERROR((AE4*EZ4),"0")</f>
        <v>0</v>
      </c>
      <c r="AD4" s="474" t="s">
        <v>52</v>
      </c>
      <c r="AE4" s="117">
        <f>IFERROR((CR4*1),"0")</f>
        <v>0</v>
      </c>
      <c r="AF4" s="475"/>
      <c r="AG4" s="114">
        <f>IFERROR(AM4+AS4+AY4,"0")</f>
        <v>2</v>
      </c>
      <c r="AH4" s="474" t="s">
        <v>52</v>
      </c>
      <c r="AI4" s="115">
        <f t="shared" ref="AI4:AI18" si="10">IFERROR(AO4+AU4+BA4,"0")</f>
        <v>2</v>
      </c>
      <c r="AJ4" s="116" t="s">
        <v>53</v>
      </c>
      <c r="AK4" s="474">
        <f t="shared" ref="AK4:AK18" si="11">IFERROR(AQ4+AW4+BC4,"0")</f>
        <v>2</v>
      </c>
      <c r="AL4" s="115" t="s">
        <v>54</v>
      </c>
      <c r="AM4" s="246">
        <v>0</v>
      </c>
      <c r="AN4" s="244" t="s">
        <v>52</v>
      </c>
      <c r="AO4" s="245">
        <v>0</v>
      </c>
      <c r="AP4" s="246" t="s">
        <v>53</v>
      </c>
      <c r="AQ4" s="244">
        <v>0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2</v>
      </c>
      <c r="AZ4" s="244" t="s">
        <v>52</v>
      </c>
      <c r="BA4" s="245">
        <v>2</v>
      </c>
      <c r="BB4" s="246" t="s">
        <v>53</v>
      </c>
      <c r="BC4" s="244">
        <v>2</v>
      </c>
      <c r="BD4" s="245" t="s">
        <v>54</v>
      </c>
      <c r="BE4" s="116">
        <v>0</v>
      </c>
      <c r="BF4" s="474" t="s">
        <v>52</v>
      </c>
      <c r="BG4" s="117">
        <v>0</v>
      </c>
      <c r="BH4" s="115"/>
      <c r="BI4" s="114">
        <f t="shared" ref="BI4:BI18" si="12">IFERROR(BO4+BU4+CA4,"0")</f>
        <v>0</v>
      </c>
      <c r="BJ4" s="474" t="s">
        <v>52</v>
      </c>
      <c r="BK4" s="115">
        <f>IFERROR(BQ4+BW4+CC4,"0")</f>
        <v>1</v>
      </c>
      <c r="BL4" s="116" t="s">
        <v>53</v>
      </c>
      <c r="BM4" s="474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1</v>
      </c>
      <c r="CD4" s="246" t="s">
        <v>53</v>
      </c>
      <c r="CE4" s="244">
        <v>0</v>
      </c>
      <c r="CF4" s="245" t="s">
        <v>54</v>
      </c>
      <c r="CG4" s="116">
        <v>0</v>
      </c>
      <c r="CH4" s="474" t="s">
        <v>52</v>
      </c>
      <c r="CI4" s="117">
        <v>0</v>
      </c>
      <c r="CJ4" s="140">
        <v>0</v>
      </c>
      <c r="CK4" s="148">
        <f>CL4+CM4</f>
        <v>2</v>
      </c>
      <c r="CL4" s="148">
        <v>1</v>
      </c>
      <c r="CM4" s="148">
        <v>1</v>
      </c>
      <c r="CN4" s="148">
        <f>IFERROR(CJ4+CK4,"0")</f>
        <v>2</v>
      </c>
      <c r="CO4" s="175">
        <v>2</v>
      </c>
      <c r="CP4" s="140">
        <v>2</v>
      </c>
      <c r="CQ4" s="175">
        <v>0</v>
      </c>
      <c r="CR4" s="148">
        <v>0</v>
      </c>
      <c r="CS4" s="148">
        <v>0</v>
      </c>
      <c r="CT4" s="140">
        <v>1</v>
      </c>
      <c r="CU4" s="140">
        <v>0</v>
      </c>
      <c r="CV4" s="148">
        <f>IFERROR((W4*3)+((E4-W4)*2)+EX4,"0")</f>
        <v>6</v>
      </c>
      <c r="CW4" s="140"/>
      <c r="CX4" s="164">
        <f>IFERROR(100*(EH4/EG4),"0")</f>
        <v>144.83894775874845</v>
      </c>
      <c r="CY4" s="147">
        <f t="shared" ref="CY4:CY18" si="14">IFERROR(DU4/EG4,"0")</f>
        <v>0.50252041965047056</v>
      </c>
      <c r="CZ4" s="165">
        <f t="shared" ref="CZ4:CZ18" si="15">IFERROR((EG4/(EG25*DD4)),"0")</f>
        <v>9.9641558157027549E-2</v>
      </c>
      <c r="DA4" s="164">
        <f t="shared" ref="DA4:DA18" si="16">IFERROR(ES4+0.2*(100*ET4*(1-ER4)-ES4),"0")</f>
        <v>102.00017054242826</v>
      </c>
      <c r="DB4" s="141"/>
      <c r="DC4" s="141"/>
      <c r="DD4" s="77">
        <f>IFERROR(D4/($D$21/10),"0")</f>
        <v>0.95041322314049603</v>
      </c>
      <c r="DE4" s="37">
        <f>IFERROR(E4/G4,"0")</f>
        <v>0.66666666666666663</v>
      </c>
      <c r="DF4" s="37">
        <f>IFERROR(W4/Y4,"0")</f>
        <v>0.66666666666666663</v>
      </c>
      <c r="DG4" s="37">
        <f>IFERROR(((E4-W4)+1.5*W4)/G4,"0")</f>
        <v>1</v>
      </c>
      <c r="DH4" s="37">
        <f t="shared" ref="DH4:DH18" si="17">IFERROR(CJ4/(DD4*(CJ25+CK40)),"0")</f>
        <v>0</v>
      </c>
      <c r="DI4" s="37">
        <f t="shared" ref="DI4:DI18" si="18">IFERROR(CK4/(DD4*(CK25+CJ40)),"0")</f>
        <v>0.11690821256038646</v>
      </c>
      <c r="DJ4" s="37">
        <f t="shared" ref="DJ4:DJ18" si="19">IFERROR(CU4/(DD4*(M40)),"0")</f>
        <v>0</v>
      </c>
      <c r="DK4" s="37">
        <f t="shared" ref="DK4:DK18" si="20">IFERROR(CS4/(DD4*EG25),"0")</f>
        <v>0</v>
      </c>
      <c r="DL4" s="37">
        <f t="shared" ref="DL4:DL18" si="21">IFERROR(CO4/(DD4*(E25-E4)),"0")</f>
        <v>0.14028985507246375</v>
      </c>
      <c r="DM4" s="37">
        <f t="shared" ref="DM4:DM18" si="22">IFERROR((CO4+CP4)/(DD4*EG25),"0")</f>
        <v>0.10675443044651393</v>
      </c>
      <c r="DN4" s="37">
        <f>IFERROR(CT4/EG4,"0")</f>
        <v>0.26784614878833246</v>
      </c>
      <c r="DO4" s="37">
        <f>IFERROR(CO4/CT4,"0")</f>
        <v>2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22.626006441223829</v>
      </c>
      <c r="DU4" s="18">
        <f t="shared" ref="DU4:DU20" si="23">IFERROR((DV4+DX4+DY4)*(1-(CJ25/EZ25)*EA4*EC4)+ED4,"0")</f>
        <v>1.8761532391775819</v>
      </c>
      <c r="DV4" s="13">
        <f>IFERROR(E4*(1-0.5*((CV4-EX4)/(2*G4))*DW4),"0")</f>
        <v>1.2626594763768499</v>
      </c>
      <c r="DW4" s="14">
        <f t="shared" ref="DW4:DW20" si="24">IFERROR(((D4/(D25/5))*(1.14*((CO25-CO4)/E25)))+((((CO25/D25)*D4*5-CO4)/((E25/D25)*D4*5-E4))*(1-(D4/(D25/5)))),"0")</f>
        <v>0.73734052362315006</v>
      </c>
      <c r="DX4" s="14">
        <f t="shared" ref="DX4:DX20" si="25">IFERROR(0.5*(((CV25-EX25)-(CV4-EX4))/(2*(G25-G4)))*CO4,"0")</f>
        <v>0.68965517241379315</v>
      </c>
      <c r="DY4" s="14" t="str">
        <f>IFERROR((1-(1-(EX4/EY4))^2)*0.4*EY4,"0")</f>
        <v>0</v>
      </c>
      <c r="DZ4" s="15">
        <f t="shared" ref="DZ4:DZ20" si="26">IFERROR(E25+(1-(1-(EX25/EY25))^2)*EY25*0.4,"0")</f>
        <v>20.344000000000001</v>
      </c>
      <c r="EA4" s="14">
        <f>IFERROR(((1-EB4)*EC4)/((1-EB4)*EC4+EB4*(1-EC4)),"0")</f>
        <v>0.85043603529442036</v>
      </c>
      <c r="EB4" s="14">
        <f t="shared" ref="EB4:EB20" si="27">IFERROR(CJ25/(CJ25+(CN40-CJ40)),"0")</f>
        <v>0.13333333333333333</v>
      </c>
      <c r="EC4" s="14">
        <f t="shared" ref="EC4:EC20" si="28">IFERROR(DZ4/((G25+(EY25*0.4))+CT25),"0")</f>
        <v>0.46660550458715599</v>
      </c>
      <c r="ED4" s="14">
        <f>IFERROR(CJ4*EA4*EC4,"0")</f>
        <v>0</v>
      </c>
      <c r="EE4" s="19">
        <f>IFERROR((G4-E4)*(1-1.07*EB4),"0")</f>
        <v>0.85733333333333328</v>
      </c>
      <c r="EF4" s="67" t="str">
        <f>IFERROR(((1-(EX4/EY4))^2)*0.4*EY4,"0")</f>
        <v>0</v>
      </c>
      <c r="EG4" s="74">
        <f>IFERROR(DU4+EE4+EF4+CT4,"0")</f>
        <v>3.7334865725109152</v>
      </c>
      <c r="EH4" s="27">
        <f>IFERROR((EI4+EJ4+EX4)*(1-(CJ25/DZ4)*EA4*EC4)+EK4,"0")</f>
        <v>5.4075426663389718</v>
      </c>
      <c r="EI4" s="25">
        <f>IFERROR(2*((E4)+(0.5*W4))*(1-0.5*((CV4-EX4)/(2*(G4)))*DW4),"0")</f>
        <v>3.7879784291305496</v>
      </c>
      <c r="EJ4" s="25">
        <f>IFERROR(2*((E25-E4+0.5*(W25-W4))/(E25-E4))*0.5*(((CV25-EX25)-(CV4-EX4))/(2*(G25-G4)))*CO4,"0")</f>
        <v>1.8390804597701149</v>
      </c>
      <c r="EK4" s="26">
        <f t="shared" ref="EK4:EK20" si="29">IFERROR(CJ4*EA4*EC4*(CV25/(E25+(1-(1-(EX25/EY25))^2)*0.4*EY25)),"0")</f>
        <v>0</v>
      </c>
      <c r="EL4" s="29">
        <f>IFERROR((EN4*(1-EM4))/(EN4*(1-EM4)+(1-EN4)*EM4),"0")</f>
        <v>0.9296875</v>
      </c>
      <c r="EM4" s="30">
        <f t="shared" ref="EM4:EM20" si="30">IFERROR(CJ40/(CJ40+CK25),"0")</f>
        <v>5.5555555555555552E-2</v>
      </c>
      <c r="EN4" s="30">
        <f t="shared" ref="EN4:EN20" si="31">IFERROR(E40/G40,"0")</f>
        <v>0.4375</v>
      </c>
      <c r="EO4" s="31">
        <f>IFERROR(CS4+CU4*EL4*(1-1.07*EM4)+CK4*(1-EL4),"0")</f>
        <v>0.140625</v>
      </c>
      <c r="EP4" s="31">
        <f t="shared" ref="EP4:EP20" si="32">IFERROR((((G40-E40-CU25)/D25)*EL4*(1-1.07*EM4)+((CT40-CS25)/D25))*D4+(CQ4/CQ25)*0.4*EY40*(1-(EX40/EY40))^2,"0")</f>
        <v>2.8972241592056931</v>
      </c>
      <c r="EQ4" s="31">
        <f>IFERROR(EO4+EP4,"0")</f>
        <v>3.0378491592056931</v>
      </c>
      <c r="ER4" s="93">
        <f t="shared" ref="ER4:ER20" si="33">IFERROR((EQ4*D40)/(EG25*D4),"0")</f>
        <v>0.40537982096678132</v>
      </c>
      <c r="ES4" s="109">
        <f t="shared" ref="ES4:ES20" si="34">IFERROR(100*(CV40/EG25),"0")</f>
        <v>90.55378392524031</v>
      </c>
      <c r="ET4" s="32">
        <f t="shared" ref="ET4:ET20" si="35">IFERROR(CV40/(E40+(1-(1-(EX40/EY40))^2)*EY40*0.4),"0")</f>
        <v>2.4853801169590644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6">D4</f>
        <v>12.42</v>
      </c>
      <c r="FG4" s="182">
        <f t="shared" si="36"/>
        <v>2</v>
      </c>
      <c r="FH4" s="183" t="s">
        <v>52</v>
      </c>
      <c r="FI4" s="184">
        <f>G4</f>
        <v>3</v>
      </c>
      <c r="FJ4" s="193">
        <f>IFERROR(FG4/FI4,"0")</f>
        <v>0.66666666666666663</v>
      </c>
      <c r="FK4" s="185">
        <f t="shared" ref="FK4:FK18" si="37">W4</f>
        <v>2</v>
      </c>
      <c r="FL4" s="183" t="s">
        <v>52</v>
      </c>
      <c r="FM4" s="186">
        <f t="shared" ref="FM4:FM18" si="38">Y4</f>
        <v>3</v>
      </c>
      <c r="FN4" s="193">
        <f>IFERROR(FK4/FM4,"0")</f>
        <v>0.66666666666666663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9">CJ4</f>
        <v>0</v>
      </c>
      <c r="FT4" s="179">
        <f t="shared" si="39"/>
        <v>2</v>
      </c>
      <c r="FU4" s="179">
        <f t="shared" ref="FU4:GC19" si="40">CN4</f>
        <v>2</v>
      </c>
      <c r="FV4" s="187">
        <f t="shared" si="40"/>
        <v>2</v>
      </c>
      <c r="FW4" s="179">
        <f t="shared" si="40"/>
        <v>2</v>
      </c>
      <c r="FX4" s="179">
        <f t="shared" si="40"/>
        <v>0</v>
      </c>
      <c r="FY4" s="179">
        <f t="shared" si="40"/>
        <v>0</v>
      </c>
      <c r="FZ4" s="179">
        <f t="shared" si="40"/>
        <v>0</v>
      </c>
      <c r="GA4" s="179">
        <f t="shared" si="40"/>
        <v>1</v>
      </c>
      <c r="GB4" s="179">
        <f t="shared" si="40"/>
        <v>0</v>
      </c>
      <c r="GC4" s="187">
        <f t="shared" si="40"/>
        <v>6</v>
      </c>
      <c r="GD4" s="203">
        <f>CX4</f>
        <v>144.83894775874845</v>
      </c>
      <c r="GE4" s="179">
        <f>CY4</f>
        <v>0.50252041965047056</v>
      </c>
      <c r="GF4" s="179">
        <f>CZ4</f>
        <v>9.9641558157027549E-2</v>
      </c>
      <c r="GG4" s="258">
        <f>DA4</f>
        <v>102.00017054242826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0.9296875</v>
      </c>
      <c r="GN4" s="24">
        <f>GK4+(GL4/10)+(GJ4*GM4*(1-(CJ26/(CJ26+CK25))))+(CK4*(1-GM4))</f>
        <v>0.140625</v>
      </c>
      <c r="GO4" s="213">
        <f>GN4/(DD4*EG26)</f>
        <v>3.9032730992792013E-3</v>
      </c>
    </row>
    <row r="5" spans="1:197" x14ac:dyDescent="0.2">
      <c r="A5" s="139"/>
      <c r="B5" s="327" t="s">
        <v>82</v>
      </c>
      <c r="C5" s="291" t="s">
        <v>206</v>
      </c>
      <c r="D5" s="483">
        <v>0</v>
      </c>
      <c r="E5" s="114">
        <f t="shared" si="0"/>
        <v>0</v>
      </c>
      <c r="F5" s="474" t="s">
        <v>52</v>
      </c>
      <c r="G5" s="115">
        <f t="shared" si="1"/>
        <v>0</v>
      </c>
      <c r="H5" s="116" t="s">
        <v>53</v>
      </c>
      <c r="I5" s="474">
        <f t="shared" ref="I5:I18" si="41">IFERROR(AK5+BM5,"0")</f>
        <v>0</v>
      </c>
      <c r="J5" s="115" t="s">
        <v>54</v>
      </c>
      <c r="K5" s="116">
        <f t="shared" si="2"/>
        <v>0</v>
      </c>
      <c r="L5" s="474" t="s">
        <v>52</v>
      </c>
      <c r="M5" s="115">
        <f t="shared" si="3"/>
        <v>0</v>
      </c>
      <c r="N5" s="116" t="s">
        <v>53</v>
      </c>
      <c r="O5" s="474">
        <f t="shared" si="4"/>
        <v>0</v>
      </c>
      <c r="P5" s="115" t="s">
        <v>54</v>
      </c>
      <c r="Q5" s="116">
        <f t="shared" si="5"/>
        <v>0</v>
      </c>
      <c r="R5" s="474" t="s">
        <v>52</v>
      </c>
      <c r="S5" s="115">
        <f t="shared" ref="S5:S18" si="42">IFERROR(AU5+BW5,"0")</f>
        <v>0</v>
      </c>
      <c r="T5" s="116" t="s">
        <v>53</v>
      </c>
      <c r="U5" s="474">
        <f t="shared" si="6"/>
        <v>0</v>
      </c>
      <c r="V5" s="115" t="s">
        <v>54</v>
      </c>
      <c r="W5" s="116">
        <f t="shared" si="7"/>
        <v>0</v>
      </c>
      <c r="X5" s="474" t="s">
        <v>52</v>
      </c>
      <c r="Y5" s="115">
        <f t="shared" si="8"/>
        <v>0</v>
      </c>
      <c r="Z5" s="116" t="s">
        <v>53</v>
      </c>
      <c r="AA5" s="474">
        <f t="shared" si="9"/>
        <v>0</v>
      </c>
      <c r="AB5" s="115" t="s">
        <v>54</v>
      </c>
      <c r="AC5" s="116">
        <f t="shared" ref="AC5:AC18" si="43">IFERROR((AE5*EZ5),"0")</f>
        <v>0</v>
      </c>
      <c r="AD5" s="474" t="s">
        <v>52</v>
      </c>
      <c r="AE5" s="117">
        <f t="shared" ref="AE5:AE18" si="44">IFERROR((CR5*1),"0")</f>
        <v>0</v>
      </c>
      <c r="AF5" s="475"/>
      <c r="AG5" s="114">
        <f t="shared" ref="AG5:AG17" si="45">IFERROR(AM5+AS5+AY5,"0")</f>
        <v>0</v>
      </c>
      <c r="AH5" s="474" t="s">
        <v>52</v>
      </c>
      <c r="AI5" s="115">
        <f t="shared" si="10"/>
        <v>0</v>
      </c>
      <c r="AJ5" s="116" t="s">
        <v>53</v>
      </c>
      <c r="AK5" s="474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0</v>
      </c>
      <c r="BB5" s="246" t="s">
        <v>53</v>
      </c>
      <c r="BC5" s="244">
        <v>0</v>
      </c>
      <c r="BD5" s="245" t="s">
        <v>54</v>
      </c>
      <c r="BE5" s="116">
        <v>0</v>
      </c>
      <c r="BF5" s="474" t="s">
        <v>52</v>
      </c>
      <c r="BG5" s="117">
        <v>0</v>
      </c>
      <c r="BH5" s="115"/>
      <c r="BI5" s="114">
        <f t="shared" si="12"/>
        <v>0</v>
      </c>
      <c r="BJ5" s="474" t="s">
        <v>52</v>
      </c>
      <c r="BK5" s="115">
        <f t="shared" ref="BK5:BK18" si="46">IFERROR(BQ5+BW5+CC5,"0")</f>
        <v>0</v>
      </c>
      <c r="BL5" s="116" t="s">
        <v>53</v>
      </c>
      <c r="BM5" s="474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74" t="s">
        <v>52</v>
      </c>
      <c r="CI5" s="117">
        <v>0</v>
      </c>
      <c r="CJ5" s="148">
        <v>0</v>
      </c>
      <c r="CK5" s="148">
        <f t="shared" ref="CK5:CK18" si="47">CL5+CM5</f>
        <v>0</v>
      </c>
      <c r="CL5" s="148">
        <v>0</v>
      </c>
      <c r="CM5" s="148">
        <v>0</v>
      </c>
      <c r="CN5" s="148">
        <f t="shared" ref="CN5:CN20" si="48">IFERROR(CJ5+CK5,"0")</f>
        <v>0</v>
      </c>
      <c r="CO5" s="175">
        <v>0</v>
      </c>
      <c r="CP5" s="140">
        <v>0</v>
      </c>
      <c r="CQ5" s="175">
        <v>0</v>
      </c>
      <c r="CR5" s="148">
        <v>0</v>
      </c>
      <c r="CS5" s="148">
        <v>0</v>
      </c>
      <c r="CT5" s="140">
        <v>0</v>
      </c>
      <c r="CU5" s="140">
        <v>0</v>
      </c>
      <c r="CV5" s="148">
        <f t="shared" ref="CV5:CV18" si="49">IFERROR((W5*3)+((E5-W5)*2)+EX5,"0")</f>
        <v>0</v>
      </c>
      <c r="CW5" s="140"/>
      <c r="CX5" s="164" t="str">
        <f t="shared" ref="CX5:CX18" si="50">IFERROR(100*(EH5/EG5),"0")</f>
        <v>0</v>
      </c>
      <c r="CY5" s="147" t="str">
        <f t="shared" si="14"/>
        <v>0</v>
      </c>
      <c r="CZ5" s="165" t="str">
        <f t="shared" si="15"/>
        <v>0</v>
      </c>
      <c r="DA5" s="164">
        <f t="shared" si="16"/>
        <v>162.71866140452386</v>
      </c>
      <c r="DB5" s="141"/>
      <c r="DC5" s="141"/>
      <c r="DD5" s="77">
        <f t="shared" ref="DD5:DD18" si="51">IFERROR(D5/($D$21/10),"0")</f>
        <v>0</v>
      </c>
      <c r="DE5" s="37" t="str">
        <f t="shared" ref="DE5:DE18" si="52">IFERROR(E5/G5,"0")</f>
        <v>0</v>
      </c>
      <c r="DF5" s="37" t="str">
        <f t="shared" ref="DF5:DF18" si="53">IFERROR(W5/Y5,"0")</f>
        <v>0</v>
      </c>
      <c r="DG5" s="37" t="str">
        <f t="shared" ref="DG5:DG18" si="54">IFERROR(((E5-W5)+1.5*W5)/G5,"0")</f>
        <v>0</v>
      </c>
      <c r="DH5" s="37" t="str">
        <f t="shared" si="17"/>
        <v>0</v>
      </c>
      <c r="DI5" s="37" t="str">
        <f t="shared" si="18"/>
        <v>0</v>
      </c>
      <c r="DJ5" s="37" t="str">
        <f t="shared" si="19"/>
        <v>0</v>
      </c>
      <c r="DK5" s="37" t="str">
        <f t="shared" si="20"/>
        <v>0</v>
      </c>
      <c r="DL5" s="37" t="str">
        <f t="shared" si="21"/>
        <v>0</v>
      </c>
      <c r="DM5" s="37" t="str">
        <f t="shared" si="22"/>
        <v>0</v>
      </c>
      <c r="DN5" s="37" t="str">
        <f t="shared" ref="DN5:DN18" si="55">IFERROR(CT5/EG5,"0")</f>
        <v>0</v>
      </c>
      <c r="DO5" s="37" t="str">
        <f t="shared" ref="DO5:DO18" si="56">IFERROR(CO5/CT5,"0")</f>
        <v>0</v>
      </c>
      <c r="DP5" s="66" t="str">
        <f t="shared" ref="DP5:DP18" si="57">IFERROR((40/D5)*CQ5,"0")</f>
        <v>0</v>
      </c>
      <c r="DQ5" s="78" t="str">
        <f t="shared" ref="DQ5:DQ18" si="58">IFERROR((40/D5)*CR5,"0")</f>
        <v>0</v>
      </c>
      <c r="DR5" s="6"/>
      <c r="DS5" s="36"/>
      <c r="DT5" s="75" t="str">
        <f t="shared" ref="DT5:DT18" si="59">IFERROR(((E5*85.91)+(CS5*53.897)+(W5*51.757)+(EX5*46.845)+(CU5*39.19)+(CJ5*39.19)+(CO5*34.677)+(CK5*14.707)-(CQ5*17.174)-((EY5-EX5)*20.091)-((G5-E5)*39.19)-(CT5*53.897))*(1/D5),"0")</f>
        <v>0</v>
      </c>
      <c r="DU5" s="18">
        <f t="shared" si="23"/>
        <v>0</v>
      </c>
      <c r="DV5" s="13" t="str">
        <f t="shared" ref="DV5:DV20" si="60">IFERROR(E5*(1-0.5*((CV5-EX5)/(2*G5))*DW5),"0")</f>
        <v>0</v>
      </c>
      <c r="DW5" s="14" t="str">
        <f t="shared" si="24"/>
        <v>0</v>
      </c>
      <c r="DX5" s="14">
        <f t="shared" si="25"/>
        <v>0</v>
      </c>
      <c r="DY5" s="14" t="str">
        <f t="shared" ref="DY5:DY20" si="61">IFERROR((1-(1-(EX5/EY5))^2)*0.4*EY5,"0")</f>
        <v>0</v>
      </c>
      <c r="DZ5" s="15">
        <f t="shared" si="26"/>
        <v>14.364000000000001</v>
      </c>
      <c r="EA5" s="14">
        <f t="shared" ref="EA5:EA20" si="62">IFERROR(((1-EB5)*EC5)/((1-EB5)*EC5+EB5*(1-EC5)),"0")</f>
        <v>0.90700680474251927</v>
      </c>
      <c r="EB5" s="14">
        <f t="shared" si="27"/>
        <v>5.5555555555555552E-2</v>
      </c>
      <c r="EC5" s="14">
        <f t="shared" si="28"/>
        <v>0.36456852791878175</v>
      </c>
      <c r="ED5" s="14">
        <f t="shared" ref="ED5:ED20" si="63">IFERROR(CJ5*EA5*EC5,"0")</f>
        <v>0</v>
      </c>
      <c r="EE5" s="19">
        <f t="shared" ref="EE5:EE20" si="64">IFERROR((G5-E5)*(1-1.07*EB5),"0")</f>
        <v>0</v>
      </c>
      <c r="EF5" s="67" t="str">
        <f t="shared" ref="EF5:EF20" si="65">IFERROR(((1-(EX5/EY5))^2)*0.4*EY5,"0")</f>
        <v>0</v>
      </c>
      <c r="EG5" s="74">
        <f t="shared" ref="EG5:EG20" si="66">IFERROR(DU5+EE5+EF5+CT5,"0")</f>
        <v>0</v>
      </c>
      <c r="EH5" s="27">
        <f t="shared" ref="EH5:EH20" si="67">IFERROR((EI5+EJ5+EX5)*(1-(CJ26/DZ5)*EA5*EC5)+EK5,"0")</f>
        <v>0</v>
      </c>
      <c r="EI5" s="25" t="str">
        <f t="shared" ref="EI5:EI20" si="68">IFERROR(2*((E5)+(0.5*W5))*(1-0.5*((CV5-EX5)/(2*(G5)))*DW5),"0")</f>
        <v>0</v>
      </c>
      <c r="EJ5" s="25">
        <f t="shared" ref="EJ5:EJ20" si="69">IFERROR(2*((E26-E5+0.5*(W26-W5))/(E26-E5))*0.5*(((CV26-EX26)-(CV5-EX5))/(2*(G26-G5)))*CO5,"0")</f>
        <v>0</v>
      </c>
      <c r="EK5" s="26">
        <f t="shared" si="29"/>
        <v>0</v>
      </c>
      <c r="EL5" s="29">
        <f t="shared" ref="EL5:EL20" si="70">IFERROR((EN5*(1-EM5))/(EN5*(1-EM5)+(1-EN5)*EM5),"0")</f>
        <v>0.88047808764940239</v>
      </c>
      <c r="EM5" s="30">
        <f t="shared" si="30"/>
        <v>0.13333333333333333</v>
      </c>
      <c r="EN5" s="30">
        <f t="shared" si="31"/>
        <v>0.53125</v>
      </c>
      <c r="EO5" s="31">
        <f t="shared" ref="EO5:EO20" si="71">IFERROR(CS5+CU5*EL5*(1-1.07*EM5)+CK5*(1-EL5),"0")</f>
        <v>0</v>
      </c>
      <c r="EP5" s="31">
        <f t="shared" si="32"/>
        <v>0</v>
      </c>
      <c r="EQ5" s="31">
        <f t="shared" ref="EQ5:EQ20" si="72">IFERROR(EO5+EP5,"0")</f>
        <v>0</v>
      </c>
      <c r="ER5" s="93" t="str">
        <f t="shared" si="33"/>
        <v>0</v>
      </c>
      <c r="ES5" s="109">
        <f t="shared" si="34"/>
        <v>138.76010418388918</v>
      </c>
      <c r="ET5" s="32">
        <f t="shared" si="35"/>
        <v>2.585528902870625</v>
      </c>
      <c r="EV5" s="277"/>
      <c r="EW5" s="278"/>
      <c r="EX5" s="37">
        <f>AC5</f>
        <v>0</v>
      </c>
      <c r="EY5" s="72">
        <f t="shared" ref="EY5:EY16" si="73">AE5</f>
        <v>0</v>
      </c>
      <c r="EZ5" s="7">
        <v>0.75</v>
      </c>
      <c r="FB5" s="41"/>
      <c r="FC5" s="139"/>
      <c r="FD5" s="479" t="s">
        <v>82</v>
      </c>
      <c r="FE5" s="41" t="s">
        <v>234</v>
      </c>
      <c r="FF5" s="147">
        <f t="shared" si="36"/>
        <v>0</v>
      </c>
      <c r="FG5" s="144">
        <f t="shared" si="36"/>
        <v>0</v>
      </c>
      <c r="FH5" s="474" t="s">
        <v>52</v>
      </c>
      <c r="FI5" s="145">
        <f t="shared" ref="FI5:FI23" si="74">G5</f>
        <v>0</v>
      </c>
      <c r="FJ5" s="194" t="str">
        <f t="shared" ref="FJ5:FJ23" si="75">IFERROR(FG5/FI5,"0")</f>
        <v>0</v>
      </c>
      <c r="FK5" s="110">
        <f t="shared" si="37"/>
        <v>0</v>
      </c>
      <c r="FL5" s="474" t="s">
        <v>52</v>
      </c>
      <c r="FM5" s="168">
        <f t="shared" si="38"/>
        <v>0</v>
      </c>
      <c r="FN5" s="194" t="str">
        <f t="shared" ref="FN5:FN23" si="76">IFERROR(FK5/FM5,"0")</f>
        <v>0</v>
      </c>
      <c r="FO5" s="262">
        <f t="shared" ref="FO5:FO18" si="77">EV5</f>
        <v>0</v>
      </c>
      <c r="FP5" s="474" t="s">
        <v>52</v>
      </c>
      <c r="FQ5" s="274">
        <f t="shared" ref="FQ5:FQ17" si="78">EW5</f>
        <v>0</v>
      </c>
      <c r="FR5" s="197" t="str">
        <f t="shared" ref="FR5:FR23" si="79">IFERROR(FO5/FQ5,"0")</f>
        <v>0</v>
      </c>
      <c r="FS5" s="140">
        <f t="shared" si="39"/>
        <v>0</v>
      </c>
      <c r="FT5" s="140">
        <f t="shared" si="39"/>
        <v>0</v>
      </c>
      <c r="FU5" s="140">
        <f t="shared" si="40"/>
        <v>0</v>
      </c>
      <c r="FV5" s="175">
        <f t="shared" si="40"/>
        <v>0</v>
      </c>
      <c r="FW5" s="140">
        <f t="shared" si="40"/>
        <v>0</v>
      </c>
      <c r="FX5" s="140">
        <f t="shared" si="40"/>
        <v>0</v>
      </c>
      <c r="FY5" s="140">
        <f t="shared" si="40"/>
        <v>0</v>
      </c>
      <c r="FZ5" s="140">
        <f t="shared" si="40"/>
        <v>0</v>
      </c>
      <c r="GA5" s="140">
        <f t="shared" si="40"/>
        <v>0</v>
      </c>
      <c r="GB5" s="140">
        <f t="shared" si="40"/>
        <v>0</v>
      </c>
      <c r="GC5" s="175">
        <f t="shared" si="40"/>
        <v>0</v>
      </c>
      <c r="GD5" s="202" t="str">
        <f t="shared" ref="GD5:GG18" si="80">CX5</f>
        <v>0</v>
      </c>
      <c r="GE5" s="140" t="str">
        <f t="shared" si="80"/>
        <v>0</v>
      </c>
      <c r="GF5" s="140" t="str">
        <f t="shared" si="80"/>
        <v>0</v>
      </c>
      <c r="GG5" s="259">
        <f t="shared" si="80"/>
        <v>162.71866140452386</v>
      </c>
      <c r="GH5" s="140"/>
      <c r="GJ5" s="82"/>
      <c r="GK5" s="24"/>
      <c r="GL5" s="185">
        <f>(CQ5/CQ27)*(EY28-EX28)</f>
        <v>0</v>
      </c>
      <c r="GM5" s="185">
        <f>((E28/G28)*(1-(CJ28/(CJ28+CK27))))/((E28/G28)*(1-(CJ28/(CJ28+CK27)))+((1-(E28/G28)))*(CJ28/(CJ28+CK27)))</f>
        <v>0.88047808764940239</v>
      </c>
      <c r="GN5" s="24">
        <f>GK5+(GL5/10)+(GJ5*GM5*(1-(CJ28/(CJ28+CK27))))+(CK5*(1-GM5))</f>
        <v>0</v>
      </c>
      <c r="GO5" s="213" t="e">
        <f>GN5/(DD5*EG28)</f>
        <v>#DIV/0!</v>
      </c>
    </row>
    <row r="6" spans="1:197" x14ac:dyDescent="0.2">
      <c r="A6" s="139"/>
      <c r="B6" s="327" t="s">
        <v>82</v>
      </c>
      <c r="C6" s="291" t="s">
        <v>207</v>
      </c>
      <c r="D6" s="483">
        <v>0</v>
      </c>
      <c r="E6" s="114">
        <f t="shared" si="0"/>
        <v>0</v>
      </c>
      <c r="F6" s="474" t="s">
        <v>52</v>
      </c>
      <c r="G6" s="115">
        <f t="shared" si="1"/>
        <v>0</v>
      </c>
      <c r="H6" s="116" t="s">
        <v>53</v>
      </c>
      <c r="I6" s="474">
        <f t="shared" si="41"/>
        <v>0</v>
      </c>
      <c r="J6" s="115" t="s">
        <v>54</v>
      </c>
      <c r="K6" s="116">
        <f t="shared" si="2"/>
        <v>0</v>
      </c>
      <c r="L6" s="474" t="s">
        <v>52</v>
      </c>
      <c r="M6" s="115">
        <f t="shared" si="3"/>
        <v>0</v>
      </c>
      <c r="N6" s="116" t="s">
        <v>53</v>
      </c>
      <c r="O6" s="474">
        <f t="shared" si="4"/>
        <v>0</v>
      </c>
      <c r="P6" s="115" t="s">
        <v>54</v>
      </c>
      <c r="Q6" s="116">
        <f t="shared" si="5"/>
        <v>0</v>
      </c>
      <c r="R6" s="474" t="s">
        <v>52</v>
      </c>
      <c r="S6" s="115">
        <f t="shared" si="42"/>
        <v>0</v>
      </c>
      <c r="T6" s="116" t="s">
        <v>53</v>
      </c>
      <c r="U6" s="474">
        <f t="shared" si="6"/>
        <v>0</v>
      </c>
      <c r="V6" s="115" t="s">
        <v>54</v>
      </c>
      <c r="W6" s="116">
        <f t="shared" si="7"/>
        <v>0</v>
      </c>
      <c r="X6" s="474" t="s">
        <v>52</v>
      </c>
      <c r="Y6" s="115">
        <f t="shared" si="8"/>
        <v>0</v>
      </c>
      <c r="Z6" s="116" t="s">
        <v>53</v>
      </c>
      <c r="AA6" s="474">
        <f t="shared" si="9"/>
        <v>0</v>
      </c>
      <c r="AB6" s="115" t="s">
        <v>54</v>
      </c>
      <c r="AC6" s="116">
        <f t="shared" si="43"/>
        <v>0</v>
      </c>
      <c r="AD6" s="474" t="s">
        <v>52</v>
      </c>
      <c r="AE6" s="117">
        <f t="shared" si="44"/>
        <v>0</v>
      </c>
      <c r="AF6" s="475"/>
      <c r="AG6" s="114">
        <f t="shared" si="45"/>
        <v>0</v>
      </c>
      <c r="AH6" s="474" t="s">
        <v>52</v>
      </c>
      <c r="AI6" s="115">
        <f t="shared" si="10"/>
        <v>0</v>
      </c>
      <c r="AJ6" s="116" t="s">
        <v>53</v>
      </c>
      <c r="AK6" s="474">
        <f t="shared" si="11"/>
        <v>0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474" t="s">
        <v>52</v>
      </c>
      <c r="BG6" s="117">
        <v>0</v>
      </c>
      <c r="BH6" s="115"/>
      <c r="BI6" s="114">
        <f t="shared" si="12"/>
        <v>0</v>
      </c>
      <c r="BJ6" s="474" t="s">
        <v>52</v>
      </c>
      <c r="BK6" s="115">
        <f t="shared" si="46"/>
        <v>0</v>
      </c>
      <c r="BL6" s="116" t="s">
        <v>53</v>
      </c>
      <c r="BM6" s="474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74" t="s">
        <v>52</v>
      </c>
      <c r="CI6" s="117">
        <v>0</v>
      </c>
      <c r="CJ6" s="140">
        <v>0</v>
      </c>
      <c r="CK6" s="148">
        <f t="shared" si="47"/>
        <v>0</v>
      </c>
      <c r="CL6" s="148">
        <v>0</v>
      </c>
      <c r="CM6" s="148">
        <v>0</v>
      </c>
      <c r="CN6" s="148">
        <f t="shared" si="48"/>
        <v>0</v>
      </c>
      <c r="CO6" s="175">
        <v>0</v>
      </c>
      <c r="CP6" s="140">
        <v>0</v>
      </c>
      <c r="CQ6" s="175">
        <v>0</v>
      </c>
      <c r="CR6" s="148">
        <v>0</v>
      </c>
      <c r="CS6" s="148">
        <v>0</v>
      </c>
      <c r="CT6" s="140">
        <v>0</v>
      </c>
      <c r="CU6" s="140">
        <v>0</v>
      </c>
      <c r="CV6" s="148">
        <f t="shared" si="49"/>
        <v>0</v>
      </c>
      <c r="CW6" s="140"/>
      <c r="CX6" s="164" t="str">
        <f t="shared" si="50"/>
        <v>0</v>
      </c>
      <c r="CY6" s="147" t="str">
        <f t="shared" si="14"/>
        <v>0</v>
      </c>
      <c r="CZ6" s="165" t="str">
        <f t="shared" si="15"/>
        <v>0</v>
      </c>
      <c r="DA6" s="164">
        <f t="shared" si="16"/>
        <v>162.71866140452386</v>
      </c>
      <c r="DB6" s="141"/>
      <c r="DC6" s="141"/>
      <c r="DD6" s="77">
        <f t="shared" si="51"/>
        <v>0</v>
      </c>
      <c r="DE6" s="37" t="str">
        <f t="shared" si="52"/>
        <v>0</v>
      </c>
      <c r="DF6" s="37" t="str">
        <f t="shared" si="53"/>
        <v>0</v>
      </c>
      <c r="DG6" s="37" t="str">
        <f t="shared" si="54"/>
        <v>0</v>
      </c>
      <c r="DH6" s="37" t="str">
        <f t="shared" si="17"/>
        <v>0</v>
      </c>
      <c r="DI6" s="37" t="str">
        <f t="shared" si="18"/>
        <v>0</v>
      </c>
      <c r="DJ6" s="37" t="str">
        <f t="shared" si="19"/>
        <v>0</v>
      </c>
      <c r="DK6" s="37" t="str">
        <f t="shared" si="20"/>
        <v>0</v>
      </c>
      <c r="DL6" s="37" t="str">
        <f t="shared" si="21"/>
        <v>0</v>
      </c>
      <c r="DM6" s="37" t="str">
        <f t="shared" si="22"/>
        <v>0</v>
      </c>
      <c r="DN6" s="37" t="str">
        <f t="shared" si="55"/>
        <v>0</v>
      </c>
      <c r="DO6" s="37" t="str">
        <f t="shared" si="56"/>
        <v>0</v>
      </c>
      <c r="DP6" s="66" t="str">
        <f t="shared" si="57"/>
        <v>0</v>
      </c>
      <c r="DQ6" s="78" t="str">
        <f t="shared" si="58"/>
        <v>0</v>
      </c>
      <c r="DR6" s="6"/>
      <c r="DS6" s="36"/>
      <c r="DT6" s="75" t="str">
        <f t="shared" si="59"/>
        <v>0</v>
      </c>
      <c r="DU6" s="18">
        <f t="shared" si="23"/>
        <v>0</v>
      </c>
      <c r="DV6" s="13" t="str">
        <f t="shared" si="60"/>
        <v>0</v>
      </c>
      <c r="DW6" s="14" t="str">
        <f t="shared" si="24"/>
        <v>0</v>
      </c>
      <c r="DX6" s="14">
        <f t="shared" si="25"/>
        <v>0</v>
      </c>
      <c r="DY6" s="14" t="str">
        <f t="shared" si="61"/>
        <v>0</v>
      </c>
      <c r="DZ6" s="15">
        <f t="shared" si="26"/>
        <v>14.364000000000001</v>
      </c>
      <c r="EA6" s="14">
        <f t="shared" si="62"/>
        <v>0.90700680474251927</v>
      </c>
      <c r="EB6" s="14">
        <f t="shared" si="27"/>
        <v>5.5555555555555552E-2</v>
      </c>
      <c r="EC6" s="14">
        <f t="shared" si="28"/>
        <v>0.36456852791878175</v>
      </c>
      <c r="ED6" s="14">
        <f t="shared" si="63"/>
        <v>0</v>
      </c>
      <c r="EE6" s="19">
        <f t="shared" si="64"/>
        <v>0</v>
      </c>
      <c r="EF6" s="67" t="str">
        <f t="shared" si="65"/>
        <v>0</v>
      </c>
      <c r="EG6" s="74">
        <f t="shared" si="66"/>
        <v>0</v>
      </c>
      <c r="EH6" s="27">
        <f t="shared" si="67"/>
        <v>0</v>
      </c>
      <c r="EI6" s="25" t="str">
        <f t="shared" si="68"/>
        <v>0</v>
      </c>
      <c r="EJ6" s="25">
        <f t="shared" si="69"/>
        <v>0</v>
      </c>
      <c r="EK6" s="26">
        <f t="shared" si="29"/>
        <v>0</v>
      </c>
      <c r="EL6" s="29">
        <f t="shared" si="70"/>
        <v>0.88047808764940239</v>
      </c>
      <c r="EM6" s="30">
        <f t="shared" si="30"/>
        <v>0.13333333333333333</v>
      </c>
      <c r="EN6" s="30">
        <f t="shared" si="31"/>
        <v>0.53125</v>
      </c>
      <c r="EO6" s="31">
        <f t="shared" si="71"/>
        <v>0</v>
      </c>
      <c r="EP6" s="31">
        <f t="shared" si="32"/>
        <v>0</v>
      </c>
      <c r="EQ6" s="31">
        <f t="shared" si="72"/>
        <v>0</v>
      </c>
      <c r="ER6" s="93" t="str">
        <f t="shared" si="33"/>
        <v>0</v>
      </c>
      <c r="ES6" s="109">
        <f t="shared" si="34"/>
        <v>138.76010418388918</v>
      </c>
      <c r="ET6" s="32">
        <f t="shared" si="35"/>
        <v>2.585528902870625</v>
      </c>
      <c r="EV6" s="277"/>
      <c r="EW6" s="278"/>
      <c r="EX6" s="37">
        <f t="shared" ref="EX6:EX16" si="81">AC6</f>
        <v>0</v>
      </c>
      <c r="EY6" s="72">
        <f t="shared" si="73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0</v>
      </c>
      <c r="FG6" s="182">
        <f t="shared" si="36"/>
        <v>0</v>
      </c>
      <c r="FH6" s="183" t="s">
        <v>52</v>
      </c>
      <c r="FI6" s="184">
        <f t="shared" si="74"/>
        <v>0</v>
      </c>
      <c r="FJ6" s="193" t="str">
        <f t="shared" si="75"/>
        <v>0</v>
      </c>
      <c r="FK6" s="185">
        <f t="shared" si="37"/>
        <v>0</v>
      </c>
      <c r="FL6" s="183" t="s">
        <v>52</v>
      </c>
      <c r="FM6" s="186">
        <f t="shared" si="38"/>
        <v>0</v>
      </c>
      <c r="FN6" s="193" t="str">
        <f t="shared" si="76"/>
        <v>0</v>
      </c>
      <c r="FO6" s="261">
        <f t="shared" si="77"/>
        <v>0</v>
      </c>
      <c r="FP6" s="183" t="s">
        <v>52</v>
      </c>
      <c r="FQ6" s="268">
        <f t="shared" si="78"/>
        <v>0</v>
      </c>
      <c r="FR6" s="196" t="str">
        <f t="shared" si="79"/>
        <v>0</v>
      </c>
      <c r="FS6" s="179">
        <f t="shared" si="39"/>
        <v>0</v>
      </c>
      <c r="FT6" s="179">
        <f t="shared" si="39"/>
        <v>0</v>
      </c>
      <c r="FU6" s="179">
        <f t="shared" si="40"/>
        <v>0</v>
      </c>
      <c r="FV6" s="187">
        <f t="shared" si="40"/>
        <v>0</v>
      </c>
      <c r="FW6" s="179">
        <f t="shared" si="40"/>
        <v>0</v>
      </c>
      <c r="FX6" s="179">
        <f t="shared" si="40"/>
        <v>0</v>
      </c>
      <c r="FY6" s="179">
        <f t="shared" si="40"/>
        <v>0</v>
      </c>
      <c r="FZ6" s="179">
        <f t="shared" si="40"/>
        <v>0</v>
      </c>
      <c r="GA6" s="179">
        <f t="shared" si="40"/>
        <v>0</v>
      </c>
      <c r="GB6" s="179">
        <f t="shared" si="40"/>
        <v>0</v>
      </c>
      <c r="GC6" s="187">
        <f t="shared" si="40"/>
        <v>0</v>
      </c>
      <c r="GD6" s="203" t="str">
        <f t="shared" si="80"/>
        <v>0</v>
      </c>
      <c r="GE6" s="179" t="str">
        <f t="shared" si="80"/>
        <v>0</v>
      </c>
      <c r="GF6" s="179" t="str">
        <f t="shared" si="80"/>
        <v>0</v>
      </c>
      <c r="GG6" s="258">
        <f t="shared" si="80"/>
        <v>162.71866140452386</v>
      </c>
      <c r="GH6" s="179"/>
      <c r="GJ6" s="82"/>
      <c r="GK6" s="24"/>
      <c r="GL6" s="185">
        <f>(CQ6/CQ29)*(EY30-EX30)</f>
        <v>0</v>
      </c>
      <c r="GM6" s="185">
        <f>((E30/G30)*(1-(CJ30/(CJ30+CK29))))/((E30/G30)*(1-(CJ30/(CJ30+CK29)))+((1-(E30/G30)))*(CJ30/(CJ30+CK29)))</f>
        <v>0.91</v>
      </c>
      <c r="GN6" s="24">
        <f>GK6+(GL6/10)+(GJ6*GM6*(1-(CJ30/(CJ30+CK29))))+(CK6*(1-GM6))</f>
        <v>0</v>
      </c>
      <c r="GO6" s="213" t="e">
        <f>GN6/(DD6*EG30)</f>
        <v>#DIV/0!</v>
      </c>
    </row>
    <row r="7" spans="1:197" x14ac:dyDescent="0.2">
      <c r="A7" s="139"/>
      <c r="B7" s="430" t="s">
        <v>117</v>
      </c>
      <c r="C7" s="431" t="s">
        <v>175</v>
      </c>
      <c r="D7" s="483">
        <v>10.38</v>
      </c>
      <c r="E7" s="114">
        <f t="shared" si="0"/>
        <v>0</v>
      </c>
      <c r="F7" s="474" t="s">
        <v>52</v>
      </c>
      <c r="G7" s="115">
        <f t="shared" si="1"/>
        <v>0</v>
      </c>
      <c r="H7" s="116" t="s">
        <v>53</v>
      </c>
      <c r="I7" s="474">
        <f t="shared" si="41"/>
        <v>0</v>
      </c>
      <c r="J7" s="115" t="s">
        <v>54</v>
      </c>
      <c r="K7" s="116">
        <f t="shared" si="2"/>
        <v>0</v>
      </c>
      <c r="L7" s="474" t="s">
        <v>52</v>
      </c>
      <c r="M7" s="115">
        <f t="shared" si="3"/>
        <v>0</v>
      </c>
      <c r="N7" s="116" t="s">
        <v>53</v>
      </c>
      <c r="O7" s="474">
        <f t="shared" si="4"/>
        <v>0</v>
      </c>
      <c r="P7" s="115" t="s">
        <v>54</v>
      </c>
      <c r="Q7" s="116">
        <f t="shared" si="5"/>
        <v>0</v>
      </c>
      <c r="R7" s="474" t="s">
        <v>52</v>
      </c>
      <c r="S7" s="115">
        <f t="shared" si="42"/>
        <v>0</v>
      </c>
      <c r="T7" s="116" t="s">
        <v>53</v>
      </c>
      <c r="U7" s="474">
        <f t="shared" si="6"/>
        <v>0</v>
      </c>
      <c r="V7" s="115" t="s">
        <v>54</v>
      </c>
      <c r="W7" s="116">
        <f t="shared" si="7"/>
        <v>0</v>
      </c>
      <c r="X7" s="474" t="s">
        <v>52</v>
      </c>
      <c r="Y7" s="115">
        <f t="shared" si="8"/>
        <v>0</v>
      </c>
      <c r="Z7" s="116" t="s">
        <v>53</v>
      </c>
      <c r="AA7" s="474">
        <f t="shared" si="9"/>
        <v>0</v>
      </c>
      <c r="AB7" s="115" t="s">
        <v>54</v>
      </c>
      <c r="AC7" s="116">
        <f t="shared" si="43"/>
        <v>0</v>
      </c>
      <c r="AD7" s="474" t="s">
        <v>52</v>
      </c>
      <c r="AE7" s="117">
        <f t="shared" si="44"/>
        <v>0</v>
      </c>
      <c r="AF7" s="475"/>
      <c r="AG7" s="114">
        <f>IFERROR(AM7+AS7+AY7,"0")</f>
        <v>0</v>
      </c>
      <c r="AH7" s="474" t="s">
        <v>52</v>
      </c>
      <c r="AI7" s="115">
        <f t="shared" si="10"/>
        <v>0</v>
      </c>
      <c r="AJ7" s="116" t="s">
        <v>53</v>
      </c>
      <c r="AK7" s="474">
        <f t="shared" si="11"/>
        <v>0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0</v>
      </c>
      <c r="AZ7" s="244" t="s">
        <v>52</v>
      </c>
      <c r="BA7" s="245">
        <v>0</v>
      </c>
      <c r="BB7" s="246" t="s">
        <v>53</v>
      </c>
      <c r="BC7" s="244">
        <v>0</v>
      </c>
      <c r="BD7" s="245" t="s">
        <v>54</v>
      </c>
      <c r="BE7" s="116">
        <v>0</v>
      </c>
      <c r="BF7" s="474" t="s">
        <v>52</v>
      </c>
      <c r="BG7" s="117">
        <v>0</v>
      </c>
      <c r="BH7" s="115"/>
      <c r="BI7" s="114">
        <f>IFERROR(BO7+BU7+CA7,"0")</f>
        <v>0</v>
      </c>
      <c r="BJ7" s="474" t="s">
        <v>52</v>
      </c>
      <c r="BK7" s="115">
        <f t="shared" si="46"/>
        <v>0</v>
      </c>
      <c r="BL7" s="116" t="s">
        <v>53</v>
      </c>
      <c r="BM7" s="474">
        <f t="shared" si="13"/>
        <v>0</v>
      </c>
      <c r="BN7" s="115" t="s">
        <v>54</v>
      </c>
      <c r="BO7" s="246">
        <v>0</v>
      </c>
      <c r="BP7" s="244" t="s">
        <v>52</v>
      </c>
      <c r="BQ7" s="245">
        <v>0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0</v>
      </c>
      <c r="CD7" s="246" t="s">
        <v>53</v>
      </c>
      <c r="CE7" s="244">
        <v>0</v>
      </c>
      <c r="CF7" s="245" t="s">
        <v>54</v>
      </c>
      <c r="CG7" s="116">
        <v>0</v>
      </c>
      <c r="CH7" s="474" t="s">
        <v>52</v>
      </c>
      <c r="CI7" s="117">
        <v>0</v>
      </c>
      <c r="CJ7" s="140">
        <v>0</v>
      </c>
      <c r="CK7" s="148">
        <f t="shared" si="47"/>
        <v>0</v>
      </c>
      <c r="CL7" s="148">
        <v>0</v>
      </c>
      <c r="CM7" s="148">
        <v>0</v>
      </c>
      <c r="CN7" s="148">
        <f t="shared" si="48"/>
        <v>0</v>
      </c>
      <c r="CO7" s="175">
        <v>2</v>
      </c>
      <c r="CP7" s="140">
        <v>0</v>
      </c>
      <c r="CQ7" s="175">
        <v>1</v>
      </c>
      <c r="CR7" s="148">
        <v>0</v>
      </c>
      <c r="CS7" s="148">
        <v>1</v>
      </c>
      <c r="CT7" s="140">
        <v>1</v>
      </c>
      <c r="CU7" s="140">
        <v>1</v>
      </c>
      <c r="CV7" s="148">
        <f t="shared" si="49"/>
        <v>0</v>
      </c>
      <c r="CW7" s="140"/>
      <c r="CX7" s="164">
        <f t="shared" si="50"/>
        <v>110.54418256372935</v>
      </c>
      <c r="CY7" s="147">
        <f t="shared" si="14"/>
        <v>0.40853284860508671</v>
      </c>
      <c r="CZ7" s="165">
        <f t="shared" si="15"/>
        <v>5.3990770939258276E-2</v>
      </c>
      <c r="DA7" s="164">
        <f t="shared" si="16"/>
        <v>87.770397530268625</v>
      </c>
      <c r="DB7" s="141"/>
      <c r="DC7" s="141"/>
      <c r="DD7" s="77">
        <f t="shared" si="51"/>
        <v>0.79430670339761267</v>
      </c>
      <c r="DE7" s="37" t="str">
        <f t="shared" si="52"/>
        <v>0</v>
      </c>
      <c r="DF7" s="37" t="str">
        <f t="shared" si="53"/>
        <v>0</v>
      </c>
      <c r="DG7" s="37" t="str">
        <f t="shared" si="54"/>
        <v>0</v>
      </c>
      <c r="DH7" s="37">
        <f t="shared" si="17"/>
        <v>0</v>
      </c>
      <c r="DI7" s="37">
        <f t="shared" si="18"/>
        <v>0</v>
      </c>
      <c r="DJ7" s="37">
        <f t="shared" si="19"/>
        <v>0.11445086705202311</v>
      </c>
      <c r="DK7" s="37">
        <f t="shared" si="20"/>
        <v>3.1933767489058358E-2</v>
      </c>
      <c r="DL7" s="37">
        <f t="shared" si="21"/>
        <v>0.14811288677320636</v>
      </c>
      <c r="DM7" s="37">
        <f t="shared" si="22"/>
        <v>6.3867534978116716E-2</v>
      </c>
      <c r="DN7" s="37">
        <f t="shared" si="55"/>
        <v>0.59146715139491324</v>
      </c>
      <c r="DO7" s="37">
        <f t="shared" si="56"/>
        <v>2</v>
      </c>
      <c r="DP7" s="66">
        <f t="shared" si="57"/>
        <v>3.8535645472061653</v>
      </c>
      <c r="DQ7" s="78">
        <f t="shared" si="58"/>
        <v>0</v>
      </c>
      <c r="DR7" s="6"/>
      <c r="DS7" s="36"/>
      <c r="DT7" s="75">
        <f t="shared" si="59"/>
        <v>8.8025048169556808</v>
      </c>
      <c r="DU7" s="18">
        <f t="shared" si="23"/>
        <v>0.69071096787303377</v>
      </c>
      <c r="DV7" s="13" t="str">
        <f t="shared" si="60"/>
        <v>0</v>
      </c>
      <c r="DW7" s="14">
        <f t="shared" si="24"/>
        <v>0.71274704948779943</v>
      </c>
      <c r="DX7" s="14">
        <f t="shared" si="25"/>
        <v>0.71875</v>
      </c>
      <c r="DY7" s="14" t="str">
        <f t="shared" si="61"/>
        <v>0</v>
      </c>
      <c r="DZ7" s="15">
        <f t="shared" si="26"/>
        <v>20.344000000000001</v>
      </c>
      <c r="EA7" s="14">
        <f t="shared" si="62"/>
        <v>0.85043603529442036</v>
      </c>
      <c r="EB7" s="14">
        <f t="shared" si="27"/>
        <v>0.13333333333333333</v>
      </c>
      <c r="EC7" s="14">
        <f t="shared" si="28"/>
        <v>0.46660550458715599</v>
      </c>
      <c r="ED7" s="14">
        <f t="shared" si="63"/>
        <v>0</v>
      </c>
      <c r="EE7" s="19">
        <f t="shared" si="64"/>
        <v>0</v>
      </c>
      <c r="EF7" s="67" t="str">
        <f t="shared" si="65"/>
        <v>0</v>
      </c>
      <c r="EG7" s="74">
        <f t="shared" si="66"/>
        <v>1.6907109678730339</v>
      </c>
      <c r="EH7" s="27">
        <f t="shared" si="67"/>
        <v>1.8689826189505621</v>
      </c>
      <c r="EI7" s="25" t="str">
        <f t="shared" si="68"/>
        <v>0</v>
      </c>
      <c r="EJ7" s="25">
        <f t="shared" si="69"/>
        <v>1.9448529411764708</v>
      </c>
      <c r="EK7" s="26">
        <f t="shared" si="29"/>
        <v>0</v>
      </c>
      <c r="EL7" s="29">
        <f t="shared" si="70"/>
        <v>0.9296875</v>
      </c>
      <c r="EM7" s="30">
        <f t="shared" si="30"/>
        <v>5.5555555555555552E-2</v>
      </c>
      <c r="EN7" s="30">
        <f t="shared" si="31"/>
        <v>0.4375</v>
      </c>
      <c r="EO7" s="31">
        <f t="shared" si="71"/>
        <v>1.8744227430555556</v>
      </c>
      <c r="EP7" s="31">
        <f t="shared" si="32"/>
        <v>2.4573515919931643</v>
      </c>
      <c r="EQ7" s="31">
        <f t="shared" si="72"/>
        <v>4.3317743350487197</v>
      </c>
      <c r="ER7" s="93">
        <f t="shared" si="33"/>
        <v>0.69164937215258104</v>
      </c>
      <c r="ES7" s="109">
        <f t="shared" si="34"/>
        <v>90.55378392524031</v>
      </c>
      <c r="ET7" s="32">
        <f t="shared" si="35"/>
        <v>2.4853801169590644</v>
      </c>
      <c r="EV7" s="277"/>
      <c r="EW7" s="278"/>
      <c r="EX7" s="37">
        <f t="shared" si="81"/>
        <v>0</v>
      </c>
      <c r="EY7" s="72">
        <f t="shared" si="73"/>
        <v>0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10.38</v>
      </c>
      <c r="FG7" s="144">
        <f t="shared" si="36"/>
        <v>0</v>
      </c>
      <c r="FH7" s="474" t="s">
        <v>52</v>
      </c>
      <c r="FI7" s="145">
        <f t="shared" si="74"/>
        <v>0</v>
      </c>
      <c r="FJ7" s="194" t="str">
        <f t="shared" si="75"/>
        <v>0</v>
      </c>
      <c r="FK7" s="110">
        <f t="shared" si="37"/>
        <v>0</v>
      </c>
      <c r="FL7" s="474" t="s">
        <v>52</v>
      </c>
      <c r="FM7" s="168">
        <f t="shared" si="38"/>
        <v>0</v>
      </c>
      <c r="FN7" s="194" t="str">
        <f t="shared" si="76"/>
        <v>0</v>
      </c>
      <c r="FO7" s="262">
        <f t="shared" si="77"/>
        <v>0</v>
      </c>
      <c r="FP7" s="474" t="s">
        <v>52</v>
      </c>
      <c r="FQ7" s="274">
        <f t="shared" si="78"/>
        <v>0</v>
      </c>
      <c r="FR7" s="197" t="str">
        <f t="shared" si="79"/>
        <v>0</v>
      </c>
      <c r="FS7" s="140">
        <f t="shared" si="39"/>
        <v>0</v>
      </c>
      <c r="FT7" s="140">
        <f t="shared" si="39"/>
        <v>0</v>
      </c>
      <c r="FU7" s="140">
        <f t="shared" si="40"/>
        <v>0</v>
      </c>
      <c r="FV7" s="175">
        <f t="shared" si="40"/>
        <v>2</v>
      </c>
      <c r="FW7" s="140">
        <f t="shared" si="40"/>
        <v>0</v>
      </c>
      <c r="FX7" s="140">
        <f t="shared" si="40"/>
        <v>1</v>
      </c>
      <c r="FY7" s="140">
        <f t="shared" si="40"/>
        <v>0</v>
      </c>
      <c r="FZ7" s="140">
        <f t="shared" si="40"/>
        <v>1</v>
      </c>
      <c r="GA7" s="140">
        <f t="shared" si="40"/>
        <v>1</v>
      </c>
      <c r="GB7" s="140">
        <f t="shared" si="40"/>
        <v>1</v>
      </c>
      <c r="GC7" s="175">
        <f t="shared" si="40"/>
        <v>0</v>
      </c>
      <c r="GD7" s="202">
        <f t="shared" si="80"/>
        <v>110.54418256372935</v>
      </c>
      <c r="GE7" s="140">
        <f t="shared" si="80"/>
        <v>0.40853284860508671</v>
      </c>
      <c r="GF7" s="140">
        <f t="shared" si="80"/>
        <v>5.3990770939258276E-2</v>
      </c>
      <c r="GG7" s="259">
        <f t="shared" si="80"/>
        <v>87.770397530268625</v>
      </c>
      <c r="GH7" s="140"/>
      <c r="GJ7" s="82"/>
      <c r="GK7" s="24"/>
      <c r="GL7" s="185">
        <f>(CQ7/CQ31)*(EY32-EX32)</f>
        <v>0.30000000000000004</v>
      </c>
      <c r="GM7" s="185">
        <f>((E32/G32)*(1-(CJ32/(CJ32+CK31))))/((E32/G32)*(1-(CJ32/(CJ32+CK31)))+((1-(E32/G32)))*(CJ32/(CJ32+CK31)))</f>
        <v>0.9296875</v>
      </c>
      <c r="GN7" s="24">
        <f>GK7+(GL7/10)+(GJ7*GM7*(1-(CJ32/(CJ32+CK31))))+(CK7*(1-GM7))</f>
        <v>3.0000000000000006E-2</v>
      </c>
      <c r="GO7" s="213">
        <f>GN7/(DD7*EG32)</f>
        <v>9.9634994256745388E-4</v>
      </c>
    </row>
    <row r="8" spans="1:197" x14ac:dyDescent="0.2">
      <c r="A8" s="139"/>
      <c r="B8" s="89" t="s">
        <v>82</v>
      </c>
      <c r="C8" s="41" t="s">
        <v>208</v>
      </c>
      <c r="D8" s="483">
        <v>12.12</v>
      </c>
      <c r="E8" s="114">
        <f t="shared" si="0"/>
        <v>2</v>
      </c>
      <c r="F8" s="474" t="s">
        <v>52</v>
      </c>
      <c r="G8" s="115">
        <f t="shared" si="1"/>
        <v>8</v>
      </c>
      <c r="H8" s="116" t="s">
        <v>53</v>
      </c>
      <c r="I8" s="474">
        <f t="shared" si="41"/>
        <v>1</v>
      </c>
      <c r="J8" s="115" t="s">
        <v>54</v>
      </c>
      <c r="K8" s="116">
        <f t="shared" si="2"/>
        <v>0</v>
      </c>
      <c r="L8" s="474" t="s">
        <v>52</v>
      </c>
      <c r="M8" s="115">
        <f t="shared" si="3"/>
        <v>3</v>
      </c>
      <c r="N8" s="116" t="s">
        <v>53</v>
      </c>
      <c r="O8" s="474">
        <f t="shared" si="4"/>
        <v>0</v>
      </c>
      <c r="P8" s="115" t="s">
        <v>54</v>
      </c>
      <c r="Q8" s="116">
        <f t="shared" si="5"/>
        <v>1</v>
      </c>
      <c r="R8" s="474" t="s">
        <v>52</v>
      </c>
      <c r="S8" s="115">
        <f t="shared" si="42"/>
        <v>2</v>
      </c>
      <c r="T8" s="116" t="s">
        <v>53</v>
      </c>
      <c r="U8" s="474">
        <f t="shared" si="6"/>
        <v>0</v>
      </c>
      <c r="V8" s="115" t="s">
        <v>54</v>
      </c>
      <c r="W8" s="116">
        <f t="shared" si="7"/>
        <v>1</v>
      </c>
      <c r="X8" s="474" t="s">
        <v>52</v>
      </c>
      <c r="Y8" s="115">
        <f t="shared" si="8"/>
        <v>3</v>
      </c>
      <c r="Z8" s="116" t="s">
        <v>53</v>
      </c>
      <c r="AA8" s="474">
        <f t="shared" si="9"/>
        <v>1</v>
      </c>
      <c r="AB8" s="115" t="s">
        <v>54</v>
      </c>
      <c r="AC8" s="116">
        <f t="shared" si="43"/>
        <v>0</v>
      </c>
      <c r="AD8" s="474" t="s">
        <v>52</v>
      </c>
      <c r="AE8" s="117">
        <f t="shared" si="44"/>
        <v>0</v>
      </c>
      <c r="AF8" s="475"/>
      <c r="AG8" s="114">
        <f t="shared" si="45"/>
        <v>2</v>
      </c>
      <c r="AH8" s="474" t="s">
        <v>52</v>
      </c>
      <c r="AI8" s="115">
        <f t="shared" si="10"/>
        <v>8</v>
      </c>
      <c r="AJ8" s="116" t="s">
        <v>53</v>
      </c>
      <c r="AK8" s="474">
        <f t="shared" si="11"/>
        <v>1</v>
      </c>
      <c r="AL8" s="115" t="s">
        <v>54</v>
      </c>
      <c r="AM8" s="246">
        <v>0</v>
      </c>
      <c r="AN8" s="244" t="s">
        <v>52</v>
      </c>
      <c r="AO8" s="245">
        <v>3</v>
      </c>
      <c r="AP8" s="246" t="s">
        <v>53</v>
      </c>
      <c r="AQ8" s="244">
        <v>0</v>
      </c>
      <c r="AR8" s="245" t="s">
        <v>54</v>
      </c>
      <c r="AS8" s="246">
        <v>1</v>
      </c>
      <c r="AT8" s="244" t="s">
        <v>52</v>
      </c>
      <c r="AU8" s="245">
        <v>2</v>
      </c>
      <c r="AV8" s="246" t="s">
        <v>53</v>
      </c>
      <c r="AW8" s="244">
        <v>0</v>
      </c>
      <c r="AX8" s="245" t="s">
        <v>54</v>
      </c>
      <c r="AY8" s="246">
        <v>1</v>
      </c>
      <c r="AZ8" s="244" t="s">
        <v>52</v>
      </c>
      <c r="BA8" s="245">
        <v>3</v>
      </c>
      <c r="BB8" s="246" t="s">
        <v>53</v>
      </c>
      <c r="BC8" s="244">
        <v>1</v>
      </c>
      <c r="BD8" s="245" t="s">
        <v>54</v>
      </c>
      <c r="BE8" s="116">
        <v>0</v>
      </c>
      <c r="BF8" s="474" t="s">
        <v>52</v>
      </c>
      <c r="BG8" s="117">
        <v>0</v>
      </c>
      <c r="BH8" s="115"/>
      <c r="BI8" s="114">
        <f t="shared" si="12"/>
        <v>0</v>
      </c>
      <c r="BJ8" s="474" t="s">
        <v>52</v>
      </c>
      <c r="BK8" s="115">
        <f t="shared" si="46"/>
        <v>0</v>
      </c>
      <c r="BL8" s="116" t="s">
        <v>53</v>
      </c>
      <c r="BM8" s="474">
        <f t="shared" si="13"/>
        <v>0</v>
      </c>
      <c r="BN8" s="115" t="s">
        <v>54</v>
      </c>
      <c r="BO8" s="246">
        <v>0</v>
      </c>
      <c r="BP8" s="244" t="s">
        <v>52</v>
      </c>
      <c r="BQ8" s="245">
        <v>0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74" t="s">
        <v>52</v>
      </c>
      <c r="CI8" s="117">
        <v>0</v>
      </c>
      <c r="CJ8" s="140">
        <v>0</v>
      </c>
      <c r="CK8" s="148">
        <f t="shared" si="47"/>
        <v>3</v>
      </c>
      <c r="CL8" s="148">
        <v>1</v>
      </c>
      <c r="CM8" s="148">
        <v>2</v>
      </c>
      <c r="CN8" s="148">
        <f t="shared" si="48"/>
        <v>3</v>
      </c>
      <c r="CO8" s="175">
        <v>4</v>
      </c>
      <c r="CP8" s="140">
        <v>1</v>
      </c>
      <c r="CQ8" s="175">
        <v>1</v>
      </c>
      <c r="CR8" s="148">
        <v>0</v>
      </c>
      <c r="CS8" s="148">
        <v>0</v>
      </c>
      <c r="CT8" s="140">
        <v>4</v>
      </c>
      <c r="CU8" s="140">
        <v>0</v>
      </c>
      <c r="CV8" s="148">
        <f t="shared" si="49"/>
        <v>5</v>
      </c>
      <c r="CW8" s="140"/>
      <c r="CX8" s="164">
        <f t="shared" si="50"/>
        <v>59.714196987777655</v>
      </c>
      <c r="CY8" s="147">
        <f t="shared" si="14"/>
        <v>0.23885678795111065</v>
      </c>
      <c r="CZ8" s="165">
        <f t="shared" si="15"/>
        <v>0.36036796669041798</v>
      </c>
      <c r="DA8" s="164">
        <f t="shared" si="16"/>
        <v>143.42325188069182</v>
      </c>
      <c r="DB8" s="141"/>
      <c r="DC8" s="141"/>
      <c r="DD8" s="77">
        <f t="shared" si="51"/>
        <v>0.92745638200183667</v>
      </c>
      <c r="DE8" s="37">
        <f t="shared" si="52"/>
        <v>0.25</v>
      </c>
      <c r="DF8" s="37">
        <f t="shared" si="53"/>
        <v>0.33333333333333331</v>
      </c>
      <c r="DG8" s="37">
        <f t="shared" si="54"/>
        <v>0.3125</v>
      </c>
      <c r="DH8" s="37">
        <f t="shared" si="17"/>
        <v>0</v>
      </c>
      <c r="DI8" s="37">
        <f t="shared" si="18"/>
        <v>0.21564356435643561</v>
      </c>
      <c r="DJ8" s="37">
        <f t="shared" si="19"/>
        <v>0</v>
      </c>
      <c r="DK8" s="37">
        <f t="shared" si="20"/>
        <v>0</v>
      </c>
      <c r="DL8" s="37">
        <f t="shared" si="21"/>
        <v>0.35940594059405934</v>
      </c>
      <c r="DM8" s="37">
        <f t="shared" si="22"/>
        <v>0.14221826737967783</v>
      </c>
      <c r="DN8" s="37">
        <f t="shared" si="55"/>
        <v>0.3157178895467222</v>
      </c>
      <c r="DO8" s="37">
        <f t="shared" si="56"/>
        <v>1</v>
      </c>
      <c r="DP8" s="66">
        <f t="shared" si="57"/>
        <v>3.3003300330033007</v>
      </c>
      <c r="DQ8" s="78">
        <f t="shared" si="58"/>
        <v>0</v>
      </c>
      <c r="DR8" s="6"/>
      <c r="DS8" s="36"/>
      <c r="DT8" s="75">
        <f t="shared" si="59"/>
        <v>-5.0739273927392743</v>
      </c>
      <c r="DU8" s="18">
        <f t="shared" si="23"/>
        <v>3.0262053036530627</v>
      </c>
      <c r="DV8" s="13">
        <f t="shared" si="60"/>
        <v>1.847511496679886</v>
      </c>
      <c r="DW8" s="14">
        <f t="shared" si="24"/>
        <v>0.48796321062436476</v>
      </c>
      <c r="DX8" s="14">
        <f t="shared" si="25"/>
        <v>1.25</v>
      </c>
      <c r="DY8" s="14" t="str">
        <f t="shared" si="61"/>
        <v>0</v>
      </c>
      <c r="DZ8" s="15">
        <f t="shared" si="26"/>
        <v>14.364000000000001</v>
      </c>
      <c r="EA8" s="14">
        <f t="shared" si="62"/>
        <v>0.90700680474251927</v>
      </c>
      <c r="EB8" s="14">
        <f t="shared" si="27"/>
        <v>5.5555555555555552E-2</v>
      </c>
      <c r="EC8" s="14">
        <f t="shared" si="28"/>
        <v>0.36456852791878175</v>
      </c>
      <c r="ED8" s="14">
        <f t="shared" si="63"/>
        <v>0</v>
      </c>
      <c r="EE8" s="19">
        <f t="shared" si="64"/>
        <v>5.6433333333333335</v>
      </c>
      <c r="EF8" s="67" t="str">
        <f t="shared" si="65"/>
        <v>0</v>
      </c>
      <c r="EG8" s="74">
        <f t="shared" si="66"/>
        <v>12.669538636986395</v>
      </c>
      <c r="EH8" s="27">
        <f t="shared" si="67"/>
        <v>7.5655132591326559</v>
      </c>
      <c r="EI8" s="25">
        <f t="shared" si="68"/>
        <v>4.6187787416997148</v>
      </c>
      <c r="EJ8" s="25">
        <f t="shared" si="69"/>
        <v>3.125</v>
      </c>
      <c r="EK8" s="26">
        <f t="shared" si="29"/>
        <v>0</v>
      </c>
      <c r="EL8" s="29">
        <f t="shared" si="70"/>
        <v>0.88047808764940239</v>
      </c>
      <c r="EM8" s="30">
        <f t="shared" si="30"/>
        <v>0.13333333333333333</v>
      </c>
      <c r="EN8" s="30">
        <f t="shared" si="31"/>
        <v>0.53125</v>
      </c>
      <c r="EO8" s="31">
        <f t="shared" si="71"/>
        <v>0.35856573705179284</v>
      </c>
      <c r="EP8" s="31">
        <f t="shared" si="32"/>
        <v>2.2651647660963117</v>
      </c>
      <c r="EQ8" s="31">
        <f t="shared" si="72"/>
        <v>2.6237305031481046</v>
      </c>
      <c r="ER8" s="93">
        <f t="shared" si="33"/>
        <v>0.37314240622893385</v>
      </c>
      <c r="ES8" s="109">
        <f t="shared" si="34"/>
        <v>138.76010418388918</v>
      </c>
      <c r="ET8" s="32">
        <f t="shared" si="35"/>
        <v>2.585528902870625</v>
      </c>
      <c r="EV8" s="277"/>
      <c r="EW8" s="278"/>
      <c r="EX8" s="37">
        <f t="shared" si="81"/>
        <v>0</v>
      </c>
      <c r="EY8" s="72">
        <f t="shared" si="73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12.12</v>
      </c>
      <c r="FG8" s="182">
        <f t="shared" si="36"/>
        <v>2</v>
      </c>
      <c r="FH8" s="183" t="s">
        <v>52</v>
      </c>
      <c r="FI8" s="184">
        <f t="shared" si="74"/>
        <v>8</v>
      </c>
      <c r="FJ8" s="193">
        <f t="shared" si="75"/>
        <v>0.25</v>
      </c>
      <c r="FK8" s="185">
        <f t="shared" si="37"/>
        <v>1</v>
      </c>
      <c r="FL8" s="183" t="s">
        <v>52</v>
      </c>
      <c r="FM8" s="186">
        <f t="shared" si="38"/>
        <v>3</v>
      </c>
      <c r="FN8" s="193">
        <f t="shared" si="76"/>
        <v>0.33333333333333331</v>
      </c>
      <c r="FO8" s="261">
        <f t="shared" si="77"/>
        <v>0</v>
      </c>
      <c r="FP8" s="183" t="s">
        <v>52</v>
      </c>
      <c r="FQ8" s="268">
        <f t="shared" si="78"/>
        <v>0</v>
      </c>
      <c r="FR8" s="196" t="str">
        <f t="shared" si="79"/>
        <v>0</v>
      </c>
      <c r="FS8" s="179">
        <f t="shared" si="39"/>
        <v>0</v>
      </c>
      <c r="FT8" s="179">
        <f t="shared" si="39"/>
        <v>3</v>
      </c>
      <c r="FU8" s="179">
        <f t="shared" si="40"/>
        <v>3</v>
      </c>
      <c r="FV8" s="187">
        <f t="shared" si="40"/>
        <v>4</v>
      </c>
      <c r="FW8" s="179">
        <f t="shared" si="40"/>
        <v>1</v>
      </c>
      <c r="FX8" s="179">
        <f t="shared" si="40"/>
        <v>1</v>
      </c>
      <c r="FY8" s="179">
        <f t="shared" si="40"/>
        <v>0</v>
      </c>
      <c r="FZ8" s="179">
        <f t="shared" si="40"/>
        <v>0</v>
      </c>
      <c r="GA8" s="179">
        <f t="shared" si="40"/>
        <v>4</v>
      </c>
      <c r="GB8" s="179">
        <f t="shared" si="40"/>
        <v>0</v>
      </c>
      <c r="GC8" s="187">
        <f t="shared" si="40"/>
        <v>5</v>
      </c>
      <c r="GD8" s="203">
        <f t="shared" si="80"/>
        <v>59.714196987777655</v>
      </c>
      <c r="GE8" s="179">
        <f t="shared" si="80"/>
        <v>0.23885678795111065</v>
      </c>
      <c r="GF8" s="179">
        <f t="shared" si="80"/>
        <v>0.36036796669041798</v>
      </c>
      <c r="GG8" s="258">
        <f t="shared" si="80"/>
        <v>143.42325188069182</v>
      </c>
      <c r="GH8" s="179"/>
      <c r="GJ8" s="82"/>
      <c r="GK8" s="24"/>
      <c r="GL8" s="185">
        <f>(CQ8/CQ33)*(EY34-EX34)</f>
        <v>2.4000000000000004</v>
      </c>
      <c r="GM8" s="185">
        <f>((E34/G34)*(1-(CJ34/(CJ34+CK33))))/((E34/G34)*(1-(CJ34/(CJ34+CK33)))+((1-(E34/G34)))*(CJ34/(CJ34+CK33)))</f>
        <v>0.90595611285266453</v>
      </c>
      <c r="GN8" s="24">
        <f>GK8+(GL8/10)+(GJ8*GM8*(1-(CJ34/(CJ34+CK33))))+(CK8*(1-GM8))</f>
        <v>0.5221316614420064</v>
      </c>
      <c r="GO8" s="213">
        <f>GN8/(DD8*EG34)</f>
        <v>1.4279891960413392E-2</v>
      </c>
    </row>
    <row r="9" spans="1:197" x14ac:dyDescent="0.2">
      <c r="A9" s="139"/>
      <c r="B9" s="89" t="s">
        <v>82</v>
      </c>
      <c r="C9" s="41" t="s">
        <v>209</v>
      </c>
      <c r="D9" s="483">
        <v>12.27</v>
      </c>
      <c r="E9" s="114">
        <f t="shared" si="0"/>
        <v>3</v>
      </c>
      <c r="F9" s="474" t="s">
        <v>52</v>
      </c>
      <c r="G9" s="115">
        <f t="shared" si="1"/>
        <v>5</v>
      </c>
      <c r="H9" s="116" t="s">
        <v>53</v>
      </c>
      <c r="I9" s="474">
        <f t="shared" si="41"/>
        <v>2</v>
      </c>
      <c r="J9" s="115" t="s">
        <v>54</v>
      </c>
      <c r="K9" s="116">
        <f t="shared" si="2"/>
        <v>1</v>
      </c>
      <c r="L9" s="474" t="s">
        <v>52</v>
      </c>
      <c r="M9" s="115">
        <f t="shared" si="3"/>
        <v>1</v>
      </c>
      <c r="N9" s="116" t="s">
        <v>53</v>
      </c>
      <c r="O9" s="474">
        <f t="shared" si="4"/>
        <v>1</v>
      </c>
      <c r="P9" s="115" t="s">
        <v>54</v>
      </c>
      <c r="Q9" s="116">
        <f t="shared" si="5"/>
        <v>0</v>
      </c>
      <c r="R9" s="474" t="s">
        <v>52</v>
      </c>
      <c r="S9" s="115">
        <f t="shared" si="42"/>
        <v>0</v>
      </c>
      <c r="T9" s="116" t="s">
        <v>53</v>
      </c>
      <c r="U9" s="474">
        <f t="shared" si="6"/>
        <v>0</v>
      </c>
      <c r="V9" s="115" t="s">
        <v>54</v>
      </c>
      <c r="W9" s="116">
        <f t="shared" si="7"/>
        <v>2</v>
      </c>
      <c r="X9" s="474" t="s">
        <v>52</v>
      </c>
      <c r="Y9" s="115">
        <f t="shared" si="8"/>
        <v>4</v>
      </c>
      <c r="Z9" s="116" t="s">
        <v>53</v>
      </c>
      <c r="AA9" s="474">
        <f t="shared" si="9"/>
        <v>1</v>
      </c>
      <c r="AB9" s="115" t="s">
        <v>54</v>
      </c>
      <c r="AC9" s="116">
        <f t="shared" si="43"/>
        <v>0</v>
      </c>
      <c r="AD9" s="474" t="s">
        <v>52</v>
      </c>
      <c r="AE9" s="117">
        <f t="shared" si="44"/>
        <v>0</v>
      </c>
      <c r="AF9" s="475"/>
      <c r="AG9" s="114">
        <f t="shared" si="45"/>
        <v>2</v>
      </c>
      <c r="AH9" s="474" t="s">
        <v>52</v>
      </c>
      <c r="AI9" s="115">
        <f t="shared" si="10"/>
        <v>4</v>
      </c>
      <c r="AJ9" s="116" t="s">
        <v>53</v>
      </c>
      <c r="AK9" s="474">
        <f t="shared" si="11"/>
        <v>1</v>
      </c>
      <c r="AL9" s="115" t="s">
        <v>54</v>
      </c>
      <c r="AM9" s="246">
        <v>1</v>
      </c>
      <c r="AN9" s="244" t="s">
        <v>52</v>
      </c>
      <c r="AO9" s="245">
        <v>1</v>
      </c>
      <c r="AP9" s="246" t="s">
        <v>53</v>
      </c>
      <c r="AQ9" s="244">
        <v>1</v>
      </c>
      <c r="AR9" s="245" t="s">
        <v>54</v>
      </c>
      <c r="AS9" s="246">
        <v>0</v>
      </c>
      <c r="AT9" s="244" t="s">
        <v>52</v>
      </c>
      <c r="AU9" s="245">
        <v>0</v>
      </c>
      <c r="AV9" s="246" t="s">
        <v>53</v>
      </c>
      <c r="AW9" s="244">
        <v>0</v>
      </c>
      <c r="AX9" s="245" t="s">
        <v>54</v>
      </c>
      <c r="AY9" s="246">
        <v>1</v>
      </c>
      <c r="AZ9" s="244" t="s">
        <v>52</v>
      </c>
      <c r="BA9" s="245">
        <v>3</v>
      </c>
      <c r="BB9" s="246" t="s">
        <v>53</v>
      </c>
      <c r="BC9" s="244">
        <v>0</v>
      </c>
      <c r="BD9" s="245" t="s">
        <v>54</v>
      </c>
      <c r="BE9" s="116">
        <v>0</v>
      </c>
      <c r="BF9" s="474" t="s">
        <v>52</v>
      </c>
      <c r="BG9" s="117">
        <v>0</v>
      </c>
      <c r="BH9" s="115"/>
      <c r="BI9" s="114">
        <f t="shared" si="12"/>
        <v>1</v>
      </c>
      <c r="BJ9" s="474" t="s">
        <v>52</v>
      </c>
      <c r="BK9" s="115">
        <f t="shared" si="46"/>
        <v>1</v>
      </c>
      <c r="BL9" s="116" t="s">
        <v>53</v>
      </c>
      <c r="BM9" s="474">
        <f t="shared" si="13"/>
        <v>1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1</v>
      </c>
      <c r="CB9" s="244" t="s">
        <v>52</v>
      </c>
      <c r="CC9" s="245">
        <v>1</v>
      </c>
      <c r="CD9" s="246" t="s">
        <v>53</v>
      </c>
      <c r="CE9" s="244">
        <v>1</v>
      </c>
      <c r="CF9" s="245" t="s">
        <v>54</v>
      </c>
      <c r="CG9" s="116">
        <v>0</v>
      </c>
      <c r="CH9" s="474" t="s">
        <v>52</v>
      </c>
      <c r="CI9" s="117">
        <v>0</v>
      </c>
      <c r="CJ9" s="140">
        <v>0</v>
      </c>
      <c r="CK9" s="148">
        <f t="shared" si="47"/>
        <v>5</v>
      </c>
      <c r="CL9" s="148">
        <v>0</v>
      </c>
      <c r="CM9" s="148">
        <v>5</v>
      </c>
      <c r="CN9" s="148">
        <f t="shared" si="48"/>
        <v>5</v>
      </c>
      <c r="CO9" s="175">
        <v>0</v>
      </c>
      <c r="CP9" s="140">
        <v>1</v>
      </c>
      <c r="CQ9" s="175">
        <v>6</v>
      </c>
      <c r="CR9" s="148">
        <v>0</v>
      </c>
      <c r="CS9" s="148">
        <v>3</v>
      </c>
      <c r="CT9" s="140">
        <v>1</v>
      </c>
      <c r="CU9" s="140">
        <v>1</v>
      </c>
      <c r="CV9" s="148">
        <f t="shared" si="49"/>
        <v>8</v>
      </c>
      <c r="CW9" s="140"/>
      <c r="CX9" s="164">
        <f t="shared" si="50"/>
        <v>108.23672198475678</v>
      </c>
      <c r="CY9" s="147">
        <f t="shared" si="14"/>
        <v>0.40588770744283797</v>
      </c>
      <c r="CZ9" s="165">
        <f t="shared" si="15"/>
        <v>0.13624949623516538</v>
      </c>
      <c r="DA9" s="164">
        <f t="shared" si="16"/>
        <v>113.41202695729093</v>
      </c>
      <c r="DB9" s="141"/>
      <c r="DC9" s="141"/>
      <c r="DD9" s="77">
        <f t="shared" si="51"/>
        <v>0.93893480257116635</v>
      </c>
      <c r="DE9" s="37">
        <f t="shared" si="52"/>
        <v>0.6</v>
      </c>
      <c r="DF9" s="37">
        <f t="shared" si="53"/>
        <v>0.5</v>
      </c>
      <c r="DG9" s="37">
        <f t="shared" si="54"/>
        <v>0.8</v>
      </c>
      <c r="DH9" s="37">
        <f t="shared" si="17"/>
        <v>0</v>
      </c>
      <c r="DI9" s="37">
        <f t="shared" si="18"/>
        <v>0.35501222493887524</v>
      </c>
      <c r="DJ9" s="37">
        <f t="shared" si="19"/>
        <v>0.13312958435207822</v>
      </c>
      <c r="DK9" s="37">
        <f t="shared" si="20"/>
        <v>8.4287794652405629E-2</v>
      </c>
      <c r="DL9" s="37">
        <f t="shared" si="21"/>
        <v>0</v>
      </c>
      <c r="DM9" s="37">
        <f t="shared" si="22"/>
        <v>2.8095931550801877E-2</v>
      </c>
      <c r="DN9" s="37">
        <f t="shared" si="55"/>
        <v>0.20620943436230071</v>
      </c>
      <c r="DO9" s="37">
        <f t="shared" si="56"/>
        <v>0</v>
      </c>
      <c r="DP9" s="66">
        <f t="shared" si="57"/>
        <v>19.559902200488999</v>
      </c>
      <c r="DQ9" s="78">
        <f t="shared" si="58"/>
        <v>0</v>
      </c>
      <c r="DR9" s="6"/>
      <c r="DS9" s="36"/>
      <c r="DT9" s="75">
        <f t="shared" si="59"/>
        <v>32.627465362673185</v>
      </c>
      <c r="DU9" s="18">
        <f t="shared" si="23"/>
        <v>1.9683275340822257</v>
      </c>
      <c r="DV9" s="13">
        <f t="shared" si="60"/>
        <v>2.0147070519939323</v>
      </c>
      <c r="DW9" s="14">
        <f t="shared" si="24"/>
        <v>0.82107745667172305</v>
      </c>
      <c r="DX9" s="14">
        <f t="shared" si="25"/>
        <v>0</v>
      </c>
      <c r="DY9" s="14" t="str">
        <f t="shared" si="61"/>
        <v>0</v>
      </c>
      <c r="DZ9" s="15">
        <f t="shared" si="26"/>
        <v>14.364000000000001</v>
      </c>
      <c r="EA9" s="14">
        <f t="shared" si="62"/>
        <v>0.90700680474251927</v>
      </c>
      <c r="EB9" s="14">
        <f t="shared" si="27"/>
        <v>5.5555555555555552E-2</v>
      </c>
      <c r="EC9" s="14">
        <f t="shared" si="28"/>
        <v>0.36456852791878175</v>
      </c>
      <c r="ED9" s="14">
        <f t="shared" si="63"/>
        <v>0</v>
      </c>
      <c r="EE9" s="19">
        <f t="shared" si="64"/>
        <v>1.8811111111111112</v>
      </c>
      <c r="EF9" s="67" t="str">
        <f t="shared" si="65"/>
        <v>0</v>
      </c>
      <c r="EG9" s="74">
        <f t="shared" si="66"/>
        <v>4.8494386451933371</v>
      </c>
      <c r="EH9" s="27">
        <f t="shared" si="67"/>
        <v>5.2488734242192683</v>
      </c>
      <c r="EI9" s="25">
        <f t="shared" si="68"/>
        <v>5.3725521386504855</v>
      </c>
      <c r="EJ9" s="25">
        <f t="shared" si="69"/>
        <v>0</v>
      </c>
      <c r="EK9" s="26">
        <f t="shared" si="29"/>
        <v>0</v>
      </c>
      <c r="EL9" s="29">
        <f t="shared" si="70"/>
        <v>0.88047808764940239</v>
      </c>
      <c r="EM9" s="30">
        <f t="shared" si="30"/>
        <v>0.13333333333333333</v>
      </c>
      <c r="EN9" s="30">
        <f t="shared" si="31"/>
        <v>0.53125</v>
      </c>
      <c r="EO9" s="31">
        <f t="shared" si="71"/>
        <v>4.3524727755644088</v>
      </c>
      <c r="EP9" s="31">
        <f t="shared" si="32"/>
        <v>2.4350691705171958</v>
      </c>
      <c r="EQ9" s="31">
        <f t="shared" si="72"/>
        <v>6.7875419460816051</v>
      </c>
      <c r="ER9" s="93">
        <f t="shared" si="33"/>
        <v>0.95351156957652694</v>
      </c>
      <c r="ES9" s="109">
        <f t="shared" si="34"/>
        <v>138.76010418388918</v>
      </c>
      <c r="ET9" s="32">
        <f t="shared" si="35"/>
        <v>2.585528902870625</v>
      </c>
      <c r="EV9" s="277"/>
      <c r="EW9" s="278"/>
      <c r="EX9" s="37">
        <f t="shared" si="81"/>
        <v>0</v>
      </c>
      <c r="EY9" s="72">
        <f t="shared" si="73"/>
        <v>0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12.27</v>
      </c>
      <c r="FG9" s="144">
        <f t="shared" si="36"/>
        <v>3</v>
      </c>
      <c r="FH9" s="474" t="s">
        <v>52</v>
      </c>
      <c r="FI9" s="145">
        <f t="shared" si="74"/>
        <v>5</v>
      </c>
      <c r="FJ9" s="194">
        <f t="shared" si="75"/>
        <v>0.6</v>
      </c>
      <c r="FK9" s="110">
        <f t="shared" si="37"/>
        <v>2</v>
      </c>
      <c r="FL9" s="474" t="s">
        <v>52</v>
      </c>
      <c r="FM9" s="168">
        <f t="shared" si="38"/>
        <v>4</v>
      </c>
      <c r="FN9" s="194">
        <f t="shared" si="76"/>
        <v>0.5</v>
      </c>
      <c r="FO9" s="262">
        <f t="shared" si="77"/>
        <v>0</v>
      </c>
      <c r="FP9" s="474" t="s">
        <v>52</v>
      </c>
      <c r="FQ9" s="274">
        <f t="shared" si="78"/>
        <v>0</v>
      </c>
      <c r="FR9" s="197" t="str">
        <f t="shared" si="79"/>
        <v>0</v>
      </c>
      <c r="FS9" s="140">
        <f t="shared" si="39"/>
        <v>0</v>
      </c>
      <c r="FT9" s="140">
        <f t="shared" si="39"/>
        <v>5</v>
      </c>
      <c r="FU9" s="140">
        <f t="shared" si="40"/>
        <v>5</v>
      </c>
      <c r="FV9" s="175">
        <f t="shared" si="40"/>
        <v>0</v>
      </c>
      <c r="FW9" s="140">
        <f t="shared" si="40"/>
        <v>1</v>
      </c>
      <c r="FX9" s="140">
        <f t="shared" si="40"/>
        <v>6</v>
      </c>
      <c r="FY9" s="140">
        <f t="shared" si="40"/>
        <v>0</v>
      </c>
      <c r="FZ9" s="140">
        <f t="shared" si="40"/>
        <v>3</v>
      </c>
      <c r="GA9" s="140">
        <f t="shared" si="40"/>
        <v>1</v>
      </c>
      <c r="GB9" s="140">
        <f t="shared" si="40"/>
        <v>1</v>
      </c>
      <c r="GC9" s="175">
        <f t="shared" si="40"/>
        <v>8</v>
      </c>
      <c r="GD9" s="202">
        <f t="shared" si="80"/>
        <v>108.23672198475678</v>
      </c>
      <c r="GE9" s="140">
        <f t="shared" si="80"/>
        <v>0.40588770744283797</v>
      </c>
      <c r="GF9" s="140">
        <f t="shared" si="80"/>
        <v>0.13624949623516538</v>
      </c>
      <c r="GG9" s="259">
        <f t="shared" si="80"/>
        <v>113.41202695729093</v>
      </c>
      <c r="GH9" s="140"/>
      <c r="GJ9" s="82"/>
      <c r="GK9" s="24"/>
      <c r="GL9" s="185">
        <f>(CQ9/CQ35)*(EY36-EX36)</f>
        <v>1.6</v>
      </c>
      <c r="GM9" s="185">
        <f>((E36/G36)*(1-(CJ36/(CJ36+CK35))))/((E36/G36)*(1-(CJ36/(CJ36+CK35)))+((1-(E36/G36)))*(CJ36/(CJ36+CK35)))</f>
        <v>0.88047808764940239</v>
      </c>
      <c r="GN9" s="24">
        <f>GK9+(GL9/10)+(GJ9*GM9*(1-(CJ36/(CJ36+CK35))))+(CK9*(1-GM9))</f>
        <v>0.7576095617529881</v>
      </c>
      <c r="GO9" s="213">
        <f>GN9/(DD9*EG36)</f>
        <v>2.0466727009798371E-2</v>
      </c>
    </row>
    <row r="10" spans="1:197" x14ac:dyDescent="0.2">
      <c r="A10" s="139"/>
      <c r="B10" s="430" t="s">
        <v>117</v>
      </c>
      <c r="C10" s="431" t="s">
        <v>210</v>
      </c>
      <c r="D10" s="483">
        <v>8.0299999999999994</v>
      </c>
      <c r="E10" s="114">
        <f t="shared" si="0"/>
        <v>0</v>
      </c>
      <c r="F10" s="474" t="s">
        <v>52</v>
      </c>
      <c r="G10" s="115">
        <f t="shared" si="1"/>
        <v>2</v>
      </c>
      <c r="H10" s="116" t="s">
        <v>53</v>
      </c>
      <c r="I10" s="474">
        <f t="shared" si="41"/>
        <v>0</v>
      </c>
      <c r="J10" s="115" t="s">
        <v>54</v>
      </c>
      <c r="K10" s="116">
        <f t="shared" si="2"/>
        <v>0</v>
      </c>
      <c r="L10" s="474" t="s">
        <v>52</v>
      </c>
      <c r="M10" s="115">
        <f t="shared" si="3"/>
        <v>0</v>
      </c>
      <c r="N10" s="116" t="s">
        <v>53</v>
      </c>
      <c r="O10" s="474">
        <f t="shared" si="4"/>
        <v>0</v>
      </c>
      <c r="P10" s="115" t="s">
        <v>54</v>
      </c>
      <c r="Q10" s="116">
        <f t="shared" si="5"/>
        <v>0</v>
      </c>
      <c r="R10" s="474" t="s">
        <v>52</v>
      </c>
      <c r="S10" s="115">
        <f t="shared" si="42"/>
        <v>1</v>
      </c>
      <c r="T10" s="116" t="s">
        <v>53</v>
      </c>
      <c r="U10" s="474">
        <f t="shared" si="6"/>
        <v>0</v>
      </c>
      <c r="V10" s="115" t="s">
        <v>54</v>
      </c>
      <c r="W10" s="116">
        <f t="shared" si="7"/>
        <v>0</v>
      </c>
      <c r="X10" s="474" t="s">
        <v>52</v>
      </c>
      <c r="Y10" s="115">
        <f t="shared" si="8"/>
        <v>1</v>
      </c>
      <c r="Z10" s="116" t="s">
        <v>53</v>
      </c>
      <c r="AA10" s="474">
        <f t="shared" si="9"/>
        <v>0</v>
      </c>
      <c r="AB10" s="115" t="s">
        <v>54</v>
      </c>
      <c r="AC10" s="116">
        <f t="shared" si="43"/>
        <v>0</v>
      </c>
      <c r="AD10" s="474" t="s">
        <v>52</v>
      </c>
      <c r="AE10" s="117">
        <f t="shared" si="44"/>
        <v>0</v>
      </c>
      <c r="AF10" s="475"/>
      <c r="AG10" s="114">
        <f t="shared" si="45"/>
        <v>0</v>
      </c>
      <c r="AH10" s="474" t="s">
        <v>52</v>
      </c>
      <c r="AI10" s="115">
        <f t="shared" si="10"/>
        <v>2</v>
      </c>
      <c r="AJ10" s="116" t="s">
        <v>53</v>
      </c>
      <c r="AK10" s="474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1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1</v>
      </c>
      <c r="BB10" s="246" t="s">
        <v>53</v>
      </c>
      <c r="BC10" s="244">
        <v>0</v>
      </c>
      <c r="BD10" s="245" t="s">
        <v>54</v>
      </c>
      <c r="BE10" s="116">
        <v>0</v>
      </c>
      <c r="BF10" s="474" t="s">
        <v>52</v>
      </c>
      <c r="BG10" s="117">
        <v>0</v>
      </c>
      <c r="BH10" s="115"/>
      <c r="BI10" s="114">
        <f t="shared" si="12"/>
        <v>0</v>
      </c>
      <c r="BJ10" s="474" t="s">
        <v>52</v>
      </c>
      <c r="BK10" s="115">
        <f t="shared" si="46"/>
        <v>0</v>
      </c>
      <c r="BL10" s="116" t="s">
        <v>53</v>
      </c>
      <c r="BM10" s="474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74" t="s">
        <v>52</v>
      </c>
      <c r="CI10" s="117">
        <v>0</v>
      </c>
      <c r="CJ10" s="140">
        <v>0</v>
      </c>
      <c r="CK10" s="148">
        <f t="shared" si="47"/>
        <v>1</v>
      </c>
      <c r="CL10" s="148">
        <v>0</v>
      </c>
      <c r="CM10" s="148">
        <v>1</v>
      </c>
      <c r="CN10" s="148">
        <f t="shared" si="48"/>
        <v>1</v>
      </c>
      <c r="CO10" s="175">
        <v>3</v>
      </c>
      <c r="CP10" s="140">
        <v>4</v>
      </c>
      <c r="CQ10" s="175">
        <v>0</v>
      </c>
      <c r="CR10" s="148">
        <v>0</v>
      </c>
      <c r="CS10" s="148">
        <v>1</v>
      </c>
      <c r="CT10" s="140">
        <v>1</v>
      </c>
      <c r="CU10" s="140">
        <v>0</v>
      </c>
      <c r="CV10" s="148">
        <f t="shared" si="49"/>
        <v>0</v>
      </c>
      <c r="CW10" s="140"/>
      <c r="CX10" s="164">
        <f t="shared" si="50"/>
        <v>78.286006868406986</v>
      </c>
      <c r="CY10" s="147">
        <f t="shared" si="14"/>
        <v>0.28931785147019973</v>
      </c>
      <c r="CZ10" s="165">
        <f t="shared" si="15"/>
        <v>0.15767871453447127</v>
      </c>
      <c r="DA10" s="164">
        <f t="shared" si="16"/>
        <v>91.95211947035385</v>
      </c>
      <c r="DB10" s="141"/>
      <c r="DC10" s="141"/>
      <c r="DD10" s="77">
        <f t="shared" si="51"/>
        <v>0.61447811447811451</v>
      </c>
      <c r="DE10" s="37">
        <f t="shared" si="52"/>
        <v>0</v>
      </c>
      <c r="DF10" s="37">
        <f t="shared" si="53"/>
        <v>0</v>
      </c>
      <c r="DG10" s="37">
        <f t="shared" si="54"/>
        <v>0</v>
      </c>
      <c r="DH10" s="37">
        <f t="shared" si="17"/>
        <v>0</v>
      </c>
      <c r="DI10" s="37">
        <f t="shared" si="18"/>
        <v>9.0410958904109592E-2</v>
      </c>
      <c r="DJ10" s="37">
        <f t="shared" si="19"/>
        <v>0</v>
      </c>
      <c r="DK10" s="37">
        <f t="shared" si="20"/>
        <v>4.1279266069293379E-2</v>
      </c>
      <c r="DL10" s="37">
        <f t="shared" si="21"/>
        <v>0.287187751813054</v>
      </c>
      <c r="DM10" s="37">
        <f t="shared" si="22"/>
        <v>0.28895486248505364</v>
      </c>
      <c r="DN10" s="37">
        <f t="shared" si="55"/>
        <v>0.26179352229732328</v>
      </c>
      <c r="DO10" s="37">
        <f t="shared" si="56"/>
        <v>3</v>
      </c>
      <c r="DP10" s="66">
        <f t="shared" si="57"/>
        <v>0</v>
      </c>
      <c r="DQ10" s="78">
        <f t="shared" si="58"/>
        <v>0</v>
      </c>
      <c r="DR10" s="6"/>
      <c r="DS10" s="36"/>
      <c r="DT10" s="75">
        <f t="shared" si="59"/>
        <v>5.0259028642590291</v>
      </c>
      <c r="DU10" s="18">
        <f t="shared" si="23"/>
        <v>1.1051375485968542</v>
      </c>
      <c r="DV10" s="13">
        <f t="shared" si="60"/>
        <v>0</v>
      </c>
      <c r="DW10" s="14">
        <f t="shared" si="24"/>
        <v>0.5961554844713588</v>
      </c>
      <c r="DX10" s="14">
        <f t="shared" si="25"/>
        <v>1.1500000000000001</v>
      </c>
      <c r="DY10" s="14" t="str">
        <f t="shared" si="61"/>
        <v>0</v>
      </c>
      <c r="DZ10" s="15">
        <f t="shared" si="26"/>
        <v>20.344000000000001</v>
      </c>
      <c r="EA10" s="14">
        <f t="shared" si="62"/>
        <v>0.85043603529442036</v>
      </c>
      <c r="EB10" s="14">
        <f t="shared" si="27"/>
        <v>0.13333333333333333</v>
      </c>
      <c r="EC10" s="14">
        <f t="shared" si="28"/>
        <v>0.46660550458715599</v>
      </c>
      <c r="ED10" s="14">
        <f t="shared" si="63"/>
        <v>0</v>
      </c>
      <c r="EE10" s="19">
        <f t="shared" si="64"/>
        <v>1.7146666666666666</v>
      </c>
      <c r="EF10" s="67" t="str">
        <f t="shared" si="65"/>
        <v>0</v>
      </c>
      <c r="EG10" s="74">
        <f t="shared" si="66"/>
        <v>3.8198042152635208</v>
      </c>
      <c r="EH10" s="27">
        <f t="shared" si="67"/>
        <v>2.9903721903208993</v>
      </c>
      <c r="EI10" s="25">
        <f t="shared" si="68"/>
        <v>0</v>
      </c>
      <c r="EJ10" s="25">
        <f t="shared" si="69"/>
        <v>3.1117647058823534</v>
      </c>
      <c r="EK10" s="26">
        <f t="shared" si="29"/>
        <v>0</v>
      </c>
      <c r="EL10" s="29">
        <f t="shared" si="70"/>
        <v>0.9296875</v>
      </c>
      <c r="EM10" s="30">
        <f t="shared" si="30"/>
        <v>5.5555555555555552E-2</v>
      </c>
      <c r="EN10" s="30">
        <f t="shared" si="31"/>
        <v>0.4375</v>
      </c>
      <c r="EO10" s="31">
        <f t="shared" si="71"/>
        <v>1.0703125</v>
      </c>
      <c r="EP10" s="31">
        <f t="shared" si="32"/>
        <v>1.8731650562336324</v>
      </c>
      <c r="EQ10" s="31">
        <f t="shared" si="72"/>
        <v>2.9434775562336322</v>
      </c>
      <c r="ER10" s="93">
        <f t="shared" si="33"/>
        <v>0.60752296606380785</v>
      </c>
      <c r="ES10" s="109">
        <f t="shared" si="34"/>
        <v>90.55378392524031</v>
      </c>
      <c r="ET10" s="32">
        <f t="shared" si="35"/>
        <v>2.4853801169590644</v>
      </c>
      <c r="EV10" s="277"/>
      <c r="EW10" s="278"/>
      <c r="EX10" s="37">
        <f t="shared" si="81"/>
        <v>0</v>
      </c>
      <c r="EY10" s="72">
        <f t="shared" si="73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8.0299999999999994</v>
      </c>
      <c r="FG10" s="182">
        <f t="shared" si="36"/>
        <v>0</v>
      </c>
      <c r="FH10" s="183" t="s">
        <v>52</v>
      </c>
      <c r="FI10" s="184">
        <f t="shared" si="74"/>
        <v>2</v>
      </c>
      <c r="FJ10" s="193">
        <f t="shared" si="75"/>
        <v>0</v>
      </c>
      <c r="FK10" s="185">
        <f t="shared" si="37"/>
        <v>0</v>
      </c>
      <c r="FL10" s="183" t="s">
        <v>52</v>
      </c>
      <c r="FM10" s="186">
        <f t="shared" si="38"/>
        <v>1</v>
      </c>
      <c r="FN10" s="193">
        <f t="shared" si="76"/>
        <v>0</v>
      </c>
      <c r="FO10" s="261">
        <f t="shared" si="77"/>
        <v>0</v>
      </c>
      <c r="FP10" s="183" t="s">
        <v>52</v>
      </c>
      <c r="FQ10" s="268">
        <f t="shared" si="78"/>
        <v>0</v>
      </c>
      <c r="FR10" s="196" t="str">
        <f t="shared" si="79"/>
        <v>0</v>
      </c>
      <c r="FS10" s="179">
        <f t="shared" si="39"/>
        <v>0</v>
      </c>
      <c r="FT10" s="179">
        <f t="shared" si="39"/>
        <v>1</v>
      </c>
      <c r="FU10" s="179">
        <f t="shared" si="40"/>
        <v>1</v>
      </c>
      <c r="FV10" s="187">
        <f t="shared" si="40"/>
        <v>3</v>
      </c>
      <c r="FW10" s="179">
        <f t="shared" si="40"/>
        <v>4</v>
      </c>
      <c r="FX10" s="179">
        <f t="shared" si="40"/>
        <v>0</v>
      </c>
      <c r="FY10" s="179">
        <f t="shared" si="40"/>
        <v>0</v>
      </c>
      <c r="FZ10" s="179">
        <f t="shared" si="40"/>
        <v>1</v>
      </c>
      <c r="GA10" s="179">
        <f t="shared" si="40"/>
        <v>1</v>
      </c>
      <c r="GB10" s="179">
        <f t="shared" si="40"/>
        <v>0</v>
      </c>
      <c r="GC10" s="187">
        <f t="shared" si="40"/>
        <v>0</v>
      </c>
      <c r="GD10" s="203">
        <f t="shared" si="80"/>
        <v>78.286006868406986</v>
      </c>
      <c r="GE10" s="179">
        <f t="shared" si="80"/>
        <v>0.28931785147019973</v>
      </c>
      <c r="GF10" s="179">
        <f t="shared" si="80"/>
        <v>0.15767871453447127</v>
      </c>
      <c r="GG10" s="258">
        <f t="shared" si="80"/>
        <v>91.95211947035385</v>
      </c>
      <c r="GH10" s="179"/>
      <c r="GJ10" s="82"/>
      <c r="GK10" s="24"/>
      <c r="GL10" s="185">
        <f>(CQ10/CQ37)*(EY38-EX38)</f>
        <v>0</v>
      </c>
      <c r="GM10" s="185">
        <f>((E38/G38)*(1-(CJ38/(CJ38+CK37))))/((E38/G38)*(1-(CJ38/(CJ38+CK37)))+((1-(E38/G38)))*(CJ38/(CJ38+CK37)))</f>
        <v>0.88047808764940239</v>
      </c>
      <c r="GN10" s="24">
        <f>GK10+(GL10/10)+(GJ10*GM10*(1-(CJ38/(CJ38+CK37))))+(CK10*(1-GM10))</f>
        <v>0.11952191235059761</v>
      </c>
      <c r="GO10" s="213">
        <f>GN10/(DD10*EG38)</f>
        <v>4.9337768210310808E-3</v>
      </c>
    </row>
    <row r="11" spans="1:197" x14ac:dyDescent="0.2">
      <c r="A11" s="139"/>
      <c r="B11" s="89" t="s">
        <v>82</v>
      </c>
      <c r="C11" s="41" t="s">
        <v>211</v>
      </c>
      <c r="D11" s="483">
        <v>10.98</v>
      </c>
      <c r="E11" s="114">
        <f t="shared" si="0"/>
        <v>0</v>
      </c>
      <c r="F11" s="474" t="s">
        <v>52</v>
      </c>
      <c r="G11" s="115">
        <f t="shared" si="1"/>
        <v>2</v>
      </c>
      <c r="H11" s="116" t="s">
        <v>53</v>
      </c>
      <c r="I11" s="474">
        <f t="shared" si="41"/>
        <v>0</v>
      </c>
      <c r="J11" s="115" t="s">
        <v>54</v>
      </c>
      <c r="K11" s="116">
        <f t="shared" si="2"/>
        <v>0</v>
      </c>
      <c r="L11" s="474" t="s">
        <v>52</v>
      </c>
      <c r="M11" s="115">
        <f t="shared" si="3"/>
        <v>0</v>
      </c>
      <c r="N11" s="116" t="s">
        <v>53</v>
      </c>
      <c r="O11" s="474">
        <f t="shared" si="4"/>
        <v>0</v>
      </c>
      <c r="P11" s="115" t="s">
        <v>54</v>
      </c>
      <c r="Q11" s="116">
        <f t="shared" si="5"/>
        <v>0</v>
      </c>
      <c r="R11" s="474" t="s">
        <v>52</v>
      </c>
      <c r="S11" s="115">
        <f t="shared" si="42"/>
        <v>0</v>
      </c>
      <c r="T11" s="116" t="s">
        <v>53</v>
      </c>
      <c r="U11" s="474">
        <f t="shared" si="6"/>
        <v>0</v>
      </c>
      <c r="V11" s="115" t="s">
        <v>54</v>
      </c>
      <c r="W11" s="116">
        <f t="shared" si="7"/>
        <v>0</v>
      </c>
      <c r="X11" s="474" t="s">
        <v>52</v>
      </c>
      <c r="Y11" s="115">
        <f t="shared" si="8"/>
        <v>2</v>
      </c>
      <c r="Z11" s="116" t="s">
        <v>53</v>
      </c>
      <c r="AA11" s="474">
        <f t="shared" si="9"/>
        <v>0</v>
      </c>
      <c r="AB11" s="115" t="s">
        <v>54</v>
      </c>
      <c r="AC11" s="116">
        <f t="shared" si="43"/>
        <v>0</v>
      </c>
      <c r="AD11" s="474" t="s">
        <v>52</v>
      </c>
      <c r="AE11" s="117">
        <f t="shared" si="44"/>
        <v>0</v>
      </c>
      <c r="AF11" s="475"/>
      <c r="AG11" s="114">
        <f t="shared" si="45"/>
        <v>0</v>
      </c>
      <c r="AH11" s="474" t="s">
        <v>52</v>
      </c>
      <c r="AI11" s="115">
        <f t="shared" si="10"/>
        <v>2</v>
      </c>
      <c r="AJ11" s="116" t="s">
        <v>53</v>
      </c>
      <c r="AK11" s="474">
        <f t="shared" si="11"/>
        <v>0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2</v>
      </c>
      <c r="BB11" s="246" t="s">
        <v>53</v>
      </c>
      <c r="BC11" s="244">
        <v>0</v>
      </c>
      <c r="BD11" s="245" t="s">
        <v>54</v>
      </c>
      <c r="BE11" s="116">
        <v>0</v>
      </c>
      <c r="BF11" s="474" t="s">
        <v>52</v>
      </c>
      <c r="BG11" s="117">
        <v>0</v>
      </c>
      <c r="BH11" s="115"/>
      <c r="BI11" s="114">
        <f t="shared" si="12"/>
        <v>0</v>
      </c>
      <c r="BJ11" s="474" t="s">
        <v>52</v>
      </c>
      <c r="BK11" s="115">
        <f t="shared" si="46"/>
        <v>0</v>
      </c>
      <c r="BL11" s="116" t="s">
        <v>53</v>
      </c>
      <c r="BM11" s="474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474" t="s">
        <v>52</v>
      </c>
      <c r="CI11" s="117">
        <v>0</v>
      </c>
      <c r="CJ11" s="140">
        <v>0</v>
      </c>
      <c r="CK11" s="148">
        <f t="shared" si="47"/>
        <v>0</v>
      </c>
      <c r="CL11" s="148">
        <v>0</v>
      </c>
      <c r="CM11" s="148">
        <v>0</v>
      </c>
      <c r="CN11" s="148">
        <f t="shared" si="48"/>
        <v>0</v>
      </c>
      <c r="CO11" s="175">
        <v>1</v>
      </c>
      <c r="CP11" s="140">
        <v>1</v>
      </c>
      <c r="CQ11" s="175">
        <v>1</v>
      </c>
      <c r="CR11" s="148">
        <v>0</v>
      </c>
      <c r="CS11" s="148">
        <v>0</v>
      </c>
      <c r="CT11" s="140">
        <v>0</v>
      </c>
      <c r="CU11" s="140">
        <v>0</v>
      </c>
      <c r="CV11" s="148">
        <f t="shared" si="49"/>
        <v>0</v>
      </c>
      <c r="CW11" s="140"/>
      <c r="CX11" s="164">
        <f t="shared" si="50"/>
        <v>32.888274569278089</v>
      </c>
      <c r="CY11" s="147">
        <f t="shared" si="14"/>
        <v>0.13155309827711237</v>
      </c>
      <c r="CZ11" s="165">
        <f t="shared" si="15"/>
        <v>6.8007504251112849E-2</v>
      </c>
      <c r="DA11" s="164">
        <f t="shared" si="16"/>
        <v>146.03849326826472</v>
      </c>
      <c r="DB11" s="141"/>
      <c r="DC11" s="141"/>
      <c r="DD11" s="77">
        <f t="shared" si="51"/>
        <v>0.84022038567493129</v>
      </c>
      <c r="DE11" s="37">
        <f t="shared" si="52"/>
        <v>0</v>
      </c>
      <c r="DF11" s="37">
        <f t="shared" si="53"/>
        <v>0</v>
      </c>
      <c r="DG11" s="37">
        <f t="shared" si="54"/>
        <v>0</v>
      </c>
      <c r="DH11" s="37">
        <f t="shared" si="17"/>
        <v>0</v>
      </c>
      <c r="DI11" s="37">
        <f t="shared" si="18"/>
        <v>0</v>
      </c>
      <c r="DJ11" s="37">
        <f t="shared" si="19"/>
        <v>0</v>
      </c>
      <c r="DK11" s="37">
        <f t="shared" si="20"/>
        <v>0</v>
      </c>
      <c r="DL11" s="37">
        <f t="shared" si="21"/>
        <v>8.5011709601873528E-2</v>
      </c>
      <c r="DM11" s="37">
        <f t="shared" si="22"/>
        <v>6.2793639367639167E-2</v>
      </c>
      <c r="DN11" s="37">
        <f t="shared" si="55"/>
        <v>0</v>
      </c>
      <c r="DO11" s="37" t="str">
        <f t="shared" si="56"/>
        <v>0</v>
      </c>
      <c r="DP11" s="66">
        <f t="shared" si="57"/>
        <v>3.6429872495446265</v>
      </c>
      <c r="DQ11" s="78">
        <f t="shared" si="58"/>
        <v>0</v>
      </c>
      <c r="DR11" s="6"/>
      <c r="DS11" s="36"/>
      <c r="DT11" s="75">
        <f t="shared" si="59"/>
        <v>-5.544353369763205</v>
      </c>
      <c r="DU11" s="18">
        <f t="shared" si="23"/>
        <v>0.28495236079399572</v>
      </c>
      <c r="DV11" s="13">
        <f t="shared" si="60"/>
        <v>0</v>
      </c>
      <c r="DW11" s="14">
        <f t="shared" si="24"/>
        <v>0.71630666898923223</v>
      </c>
      <c r="DX11" s="14">
        <f t="shared" si="25"/>
        <v>0.29166666666666669</v>
      </c>
      <c r="DY11" s="14" t="str">
        <f t="shared" si="61"/>
        <v>0</v>
      </c>
      <c r="DZ11" s="15">
        <f t="shared" si="26"/>
        <v>14.364000000000001</v>
      </c>
      <c r="EA11" s="14">
        <f t="shared" si="62"/>
        <v>0.90700680474251927</v>
      </c>
      <c r="EB11" s="14">
        <f t="shared" si="27"/>
        <v>5.5555555555555552E-2</v>
      </c>
      <c r="EC11" s="14">
        <f t="shared" si="28"/>
        <v>0.36456852791878175</v>
      </c>
      <c r="ED11" s="14">
        <f t="shared" si="63"/>
        <v>0</v>
      </c>
      <c r="EE11" s="19">
        <f t="shared" si="64"/>
        <v>1.8811111111111112</v>
      </c>
      <c r="EF11" s="67" t="str">
        <f t="shared" si="65"/>
        <v>0</v>
      </c>
      <c r="EG11" s="74">
        <f t="shared" si="66"/>
        <v>2.1660634719051068</v>
      </c>
      <c r="EH11" s="27">
        <f t="shared" si="67"/>
        <v>0.71238090198498938</v>
      </c>
      <c r="EI11" s="25">
        <f t="shared" si="68"/>
        <v>0</v>
      </c>
      <c r="EJ11" s="25">
        <f t="shared" si="69"/>
        <v>0.72916666666666674</v>
      </c>
      <c r="EK11" s="26">
        <f t="shared" si="29"/>
        <v>0</v>
      </c>
      <c r="EL11" s="29">
        <f t="shared" si="70"/>
        <v>0.88047808764940239</v>
      </c>
      <c r="EM11" s="30">
        <f t="shared" si="30"/>
        <v>0.13333333333333333</v>
      </c>
      <c r="EN11" s="30">
        <f t="shared" si="31"/>
        <v>0.53125</v>
      </c>
      <c r="EO11" s="31">
        <f t="shared" si="71"/>
        <v>0</v>
      </c>
      <c r="EP11" s="31">
        <f t="shared" si="32"/>
        <v>2.0547801813864828</v>
      </c>
      <c r="EQ11" s="31">
        <f t="shared" si="72"/>
        <v>2.0547801813864828</v>
      </c>
      <c r="ER11" s="93">
        <f t="shared" si="33"/>
        <v>0.32256781422438752</v>
      </c>
      <c r="ES11" s="109">
        <f t="shared" si="34"/>
        <v>138.76010418388918</v>
      </c>
      <c r="ET11" s="32">
        <f t="shared" si="35"/>
        <v>2.585528902870625</v>
      </c>
      <c r="EV11" s="277"/>
      <c r="EW11" s="278"/>
      <c r="EX11" s="37">
        <f t="shared" si="81"/>
        <v>0</v>
      </c>
      <c r="EY11" s="72">
        <f t="shared" si="73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10.98</v>
      </c>
      <c r="FG11" s="144">
        <f t="shared" si="36"/>
        <v>0</v>
      </c>
      <c r="FH11" s="474" t="s">
        <v>52</v>
      </c>
      <c r="FI11" s="145">
        <f t="shared" si="74"/>
        <v>2</v>
      </c>
      <c r="FJ11" s="194">
        <f t="shared" si="75"/>
        <v>0</v>
      </c>
      <c r="FK11" s="110">
        <f t="shared" si="37"/>
        <v>0</v>
      </c>
      <c r="FL11" s="474" t="s">
        <v>52</v>
      </c>
      <c r="FM11" s="168">
        <f t="shared" si="38"/>
        <v>2</v>
      </c>
      <c r="FN11" s="194">
        <f t="shared" si="76"/>
        <v>0</v>
      </c>
      <c r="FO11" s="262">
        <f t="shared" si="77"/>
        <v>0</v>
      </c>
      <c r="FP11" s="474" t="s">
        <v>52</v>
      </c>
      <c r="FQ11" s="274">
        <f t="shared" si="78"/>
        <v>0</v>
      </c>
      <c r="FR11" s="197" t="str">
        <f t="shared" si="79"/>
        <v>0</v>
      </c>
      <c r="FS11" s="140">
        <f t="shared" si="39"/>
        <v>0</v>
      </c>
      <c r="FT11" s="140">
        <f t="shared" si="39"/>
        <v>0</v>
      </c>
      <c r="FU11" s="140">
        <f t="shared" si="40"/>
        <v>0</v>
      </c>
      <c r="FV11" s="175">
        <f t="shared" si="40"/>
        <v>1</v>
      </c>
      <c r="FW11" s="140">
        <f t="shared" si="40"/>
        <v>1</v>
      </c>
      <c r="FX11" s="140">
        <f t="shared" si="40"/>
        <v>1</v>
      </c>
      <c r="FY11" s="140">
        <f t="shared" si="40"/>
        <v>0</v>
      </c>
      <c r="FZ11" s="140">
        <f t="shared" si="40"/>
        <v>0</v>
      </c>
      <c r="GA11" s="140">
        <f t="shared" si="40"/>
        <v>0</v>
      </c>
      <c r="GB11" s="140">
        <f t="shared" si="40"/>
        <v>0</v>
      </c>
      <c r="GC11" s="175">
        <f t="shared" si="40"/>
        <v>0</v>
      </c>
      <c r="GD11" s="202">
        <f t="shared" si="80"/>
        <v>32.888274569278089</v>
      </c>
      <c r="GE11" s="140">
        <f t="shared" si="80"/>
        <v>0.13155309827711237</v>
      </c>
      <c r="GF11" s="140">
        <f t="shared" si="80"/>
        <v>6.8007504251112849E-2</v>
      </c>
      <c r="GG11" s="259">
        <f t="shared" si="80"/>
        <v>146.03849326826472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430" t="s">
        <v>117</v>
      </c>
      <c r="C12" s="431" t="s">
        <v>212</v>
      </c>
      <c r="D12" s="483">
        <v>6.02</v>
      </c>
      <c r="E12" s="114">
        <f t="shared" si="0"/>
        <v>0</v>
      </c>
      <c r="F12" s="474" t="s">
        <v>52</v>
      </c>
      <c r="G12" s="115">
        <f t="shared" si="1"/>
        <v>2</v>
      </c>
      <c r="H12" s="116" t="s">
        <v>53</v>
      </c>
      <c r="I12" s="474">
        <f t="shared" si="41"/>
        <v>0</v>
      </c>
      <c r="J12" s="115" t="s">
        <v>54</v>
      </c>
      <c r="K12" s="116">
        <f t="shared" si="2"/>
        <v>0</v>
      </c>
      <c r="L12" s="474" t="s">
        <v>52</v>
      </c>
      <c r="M12" s="115">
        <f t="shared" si="3"/>
        <v>2</v>
      </c>
      <c r="N12" s="116" t="s">
        <v>53</v>
      </c>
      <c r="O12" s="474">
        <f t="shared" si="4"/>
        <v>0</v>
      </c>
      <c r="P12" s="115" t="s">
        <v>54</v>
      </c>
      <c r="Q12" s="116">
        <f t="shared" si="5"/>
        <v>0</v>
      </c>
      <c r="R12" s="474" t="s">
        <v>52</v>
      </c>
      <c r="S12" s="115">
        <f t="shared" si="42"/>
        <v>0</v>
      </c>
      <c r="T12" s="116" t="s">
        <v>53</v>
      </c>
      <c r="U12" s="474">
        <f t="shared" si="6"/>
        <v>0</v>
      </c>
      <c r="V12" s="115" t="s">
        <v>54</v>
      </c>
      <c r="W12" s="116">
        <f t="shared" si="7"/>
        <v>0</v>
      </c>
      <c r="X12" s="474" t="s">
        <v>52</v>
      </c>
      <c r="Y12" s="115">
        <f t="shared" si="8"/>
        <v>0</v>
      </c>
      <c r="Z12" s="116" t="s">
        <v>53</v>
      </c>
      <c r="AA12" s="474">
        <f t="shared" si="9"/>
        <v>0</v>
      </c>
      <c r="AB12" s="115" t="s">
        <v>54</v>
      </c>
      <c r="AC12" s="116">
        <f t="shared" si="43"/>
        <v>1.7999999999999998</v>
      </c>
      <c r="AD12" s="474" t="s">
        <v>52</v>
      </c>
      <c r="AE12" s="117">
        <f t="shared" si="44"/>
        <v>3</v>
      </c>
      <c r="AF12" s="475"/>
      <c r="AG12" s="114">
        <f t="shared" si="45"/>
        <v>0</v>
      </c>
      <c r="AH12" s="474" t="s">
        <v>52</v>
      </c>
      <c r="AI12" s="115">
        <f t="shared" si="10"/>
        <v>1</v>
      </c>
      <c r="AJ12" s="116" t="s">
        <v>53</v>
      </c>
      <c r="AK12" s="474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1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474" t="s">
        <v>52</v>
      </c>
      <c r="BG12" s="117">
        <v>0</v>
      </c>
      <c r="BH12" s="115"/>
      <c r="BI12" s="114">
        <f t="shared" si="12"/>
        <v>0</v>
      </c>
      <c r="BJ12" s="474" t="s">
        <v>52</v>
      </c>
      <c r="BK12" s="115">
        <f t="shared" si="46"/>
        <v>1</v>
      </c>
      <c r="BL12" s="116" t="s">
        <v>53</v>
      </c>
      <c r="BM12" s="474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1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474" t="s">
        <v>52</v>
      </c>
      <c r="CI12" s="117">
        <v>0</v>
      </c>
      <c r="CJ12" s="140">
        <v>0</v>
      </c>
      <c r="CK12" s="148">
        <f t="shared" si="47"/>
        <v>2</v>
      </c>
      <c r="CL12" s="148">
        <v>2</v>
      </c>
      <c r="CM12" s="148">
        <v>0</v>
      </c>
      <c r="CN12" s="148">
        <f t="shared" si="48"/>
        <v>2</v>
      </c>
      <c r="CO12" s="175">
        <v>0</v>
      </c>
      <c r="CP12" s="140">
        <v>0</v>
      </c>
      <c r="CQ12" s="175">
        <v>0</v>
      </c>
      <c r="CR12" s="148">
        <v>3</v>
      </c>
      <c r="CS12" s="148">
        <v>1</v>
      </c>
      <c r="CT12" s="140">
        <v>0</v>
      </c>
      <c r="CU12" s="140">
        <v>0</v>
      </c>
      <c r="CV12" s="148">
        <f t="shared" si="49"/>
        <v>1.7999999999999998</v>
      </c>
      <c r="CW12" s="140"/>
      <c r="CX12" s="164">
        <f t="shared" si="50"/>
        <v>60.159085646653999</v>
      </c>
      <c r="CY12" s="147">
        <f t="shared" si="14"/>
        <v>0.33689087962126246</v>
      </c>
      <c r="CZ12" s="165">
        <f t="shared" si="15"/>
        <v>0.15832182738786613</v>
      </c>
      <c r="DA12" s="164">
        <f t="shared" si="16"/>
        <v>87.32353635138584</v>
      </c>
      <c r="DB12" s="141"/>
      <c r="DC12" s="141"/>
      <c r="DD12" s="77">
        <f t="shared" si="51"/>
        <v>0.46066727884909708</v>
      </c>
      <c r="DE12" s="37">
        <f t="shared" si="52"/>
        <v>0</v>
      </c>
      <c r="DF12" s="37" t="str">
        <f t="shared" si="53"/>
        <v>0</v>
      </c>
      <c r="DG12" s="37">
        <f t="shared" si="54"/>
        <v>0</v>
      </c>
      <c r="DH12" s="37">
        <f t="shared" si="17"/>
        <v>0</v>
      </c>
      <c r="DI12" s="37">
        <f t="shared" si="18"/>
        <v>0.2411960132890365</v>
      </c>
      <c r="DJ12" s="37">
        <f t="shared" si="19"/>
        <v>0</v>
      </c>
      <c r="DK12" s="37">
        <f t="shared" si="20"/>
        <v>5.506187816219698E-2</v>
      </c>
      <c r="DL12" s="37">
        <f t="shared" si="21"/>
        <v>0</v>
      </c>
      <c r="DM12" s="37">
        <f t="shared" si="22"/>
        <v>0</v>
      </c>
      <c r="DN12" s="37">
        <f t="shared" si="55"/>
        <v>0</v>
      </c>
      <c r="DO12" s="37" t="str">
        <f t="shared" si="56"/>
        <v>0</v>
      </c>
      <c r="DP12" s="66">
        <f t="shared" si="57"/>
        <v>0</v>
      </c>
      <c r="DQ12" s="78">
        <f t="shared" si="58"/>
        <v>19.933554817275748</v>
      </c>
      <c r="DR12" s="6"/>
      <c r="DS12" s="36"/>
      <c r="DT12" s="75">
        <f t="shared" si="59"/>
        <v>10.821063122923588</v>
      </c>
      <c r="DU12" s="18">
        <f t="shared" si="23"/>
        <v>0.96867708607445979</v>
      </c>
      <c r="DV12" s="13">
        <f t="shared" si="60"/>
        <v>0</v>
      </c>
      <c r="DW12" s="14">
        <f t="shared" si="24"/>
        <v>0.81402437926502091</v>
      </c>
      <c r="DX12" s="14">
        <f t="shared" si="25"/>
        <v>0</v>
      </c>
      <c r="DY12" s="14">
        <f t="shared" si="61"/>
        <v>1.008</v>
      </c>
      <c r="DZ12" s="15">
        <f t="shared" si="26"/>
        <v>20.344000000000001</v>
      </c>
      <c r="EA12" s="14">
        <f t="shared" si="62"/>
        <v>0.85043603529442036</v>
      </c>
      <c r="EB12" s="14">
        <f t="shared" si="27"/>
        <v>0.13333333333333333</v>
      </c>
      <c r="EC12" s="14">
        <f t="shared" si="28"/>
        <v>0.46660550458715599</v>
      </c>
      <c r="ED12" s="14">
        <f t="shared" si="63"/>
        <v>0</v>
      </c>
      <c r="EE12" s="19">
        <f t="shared" si="64"/>
        <v>1.7146666666666666</v>
      </c>
      <c r="EF12" s="67">
        <f t="shared" si="65"/>
        <v>0.19200000000000006</v>
      </c>
      <c r="EG12" s="74">
        <f t="shared" si="66"/>
        <v>2.8753437527411263</v>
      </c>
      <c r="EH12" s="27">
        <f t="shared" si="67"/>
        <v>1.7297805108472495</v>
      </c>
      <c r="EI12" s="25">
        <f t="shared" si="68"/>
        <v>0</v>
      </c>
      <c r="EJ12" s="25">
        <f t="shared" si="69"/>
        <v>0</v>
      </c>
      <c r="EK12" s="26">
        <f t="shared" si="29"/>
        <v>0</v>
      </c>
      <c r="EL12" s="29">
        <f t="shared" si="70"/>
        <v>0.9296875</v>
      </c>
      <c r="EM12" s="30">
        <f t="shared" si="30"/>
        <v>5.5555555555555552E-2</v>
      </c>
      <c r="EN12" s="30">
        <f t="shared" si="31"/>
        <v>0.4375</v>
      </c>
      <c r="EO12" s="31">
        <f t="shared" si="71"/>
        <v>1.140625</v>
      </c>
      <c r="EP12" s="31">
        <f t="shared" si="32"/>
        <v>1.4042906150095227</v>
      </c>
      <c r="EQ12" s="31">
        <f t="shared" si="72"/>
        <v>2.5449156150095229</v>
      </c>
      <c r="ER12" s="93">
        <f t="shared" si="33"/>
        <v>0.70063916763363487</v>
      </c>
      <c r="ES12" s="109">
        <f t="shared" si="34"/>
        <v>90.55378392524031</v>
      </c>
      <c r="ET12" s="32">
        <f t="shared" si="35"/>
        <v>2.4853801169590644</v>
      </c>
      <c r="EV12" s="277"/>
      <c r="EW12" s="278"/>
      <c r="EX12" s="37">
        <f t="shared" si="81"/>
        <v>1.7999999999999998</v>
      </c>
      <c r="EY12" s="72">
        <f t="shared" si="73"/>
        <v>3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6.02</v>
      </c>
      <c r="FG12" s="182">
        <f t="shared" si="36"/>
        <v>0</v>
      </c>
      <c r="FH12" s="183" t="s">
        <v>52</v>
      </c>
      <c r="FI12" s="184">
        <f t="shared" si="74"/>
        <v>2</v>
      </c>
      <c r="FJ12" s="193">
        <f t="shared" si="75"/>
        <v>0</v>
      </c>
      <c r="FK12" s="185">
        <f t="shared" si="37"/>
        <v>0</v>
      </c>
      <c r="FL12" s="183" t="s">
        <v>52</v>
      </c>
      <c r="FM12" s="186">
        <f t="shared" si="38"/>
        <v>0</v>
      </c>
      <c r="FN12" s="193" t="str">
        <f t="shared" si="76"/>
        <v>0</v>
      </c>
      <c r="FO12" s="261">
        <f t="shared" si="77"/>
        <v>0</v>
      </c>
      <c r="FP12" s="183" t="s">
        <v>52</v>
      </c>
      <c r="FQ12" s="268">
        <f t="shared" si="78"/>
        <v>0</v>
      </c>
      <c r="FR12" s="196" t="str">
        <f t="shared" si="79"/>
        <v>0</v>
      </c>
      <c r="FS12" s="179">
        <f t="shared" si="39"/>
        <v>0</v>
      </c>
      <c r="FT12" s="179">
        <f t="shared" si="39"/>
        <v>2</v>
      </c>
      <c r="FU12" s="179">
        <f t="shared" si="40"/>
        <v>2</v>
      </c>
      <c r="FV12" s="187">
        <f t="shared" si="40"/>
        <v>0</v>
      </c>
      <c r="FW12" s="179">
        <f t="shared" si="40"/>
        <v>0</v>
      </c>
      <c r="FX12" s="179">
        <f t="shared" si="40"/>
        <v>0</v>
      </c>
      <c r="FY12" s="179">
        <f t="shared" si="40"/>
        <v>3</v>
      </c>
      <c r="FZ12" s="179">
        <f t="shared" si="40"/>
        <v>1</v>
      </c>
      <c r="GA12" s="179">
        <f t="shared" si="40"/>
        <v>0</v>
      </c>
      <c r="GB12" s="179">
        <f t="shared" si="40"/>
        <v>0</v>
      </c>
      <c r="GC12" s="187">
        <f t="shared" si="40"/>
        <v>1.7999999999999998</v>
      </c>
      <c r="GD12" s="203">
        <f t="shared" si="80"/>
        <v>60.159085646653999</v>
      </c>
      <c r="GE12" s="179">
        <f t="shared" si="80"/>
        <v>0.33689087962126246</v>
      </c>
      <c r="GF12" s="179">
        <f t="shared" si="80"/>
        <v>0.15832182738786613</v>
      </c>
      <c r="GG12" s="258">
        <f t="shared" si="80"/>
        <v>87.32353635138584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0.88047808764940239</v>
      </c>
      <c r="GN12" s="24">
        <f>GK12+(GL12/10)+(GJ12*GM12*(1-(CJ41/(CJ41+CK40))))+(CK12*(1-GM12))</f>
        <v>0.23904382470119523</v>
      </c>
      <c r="GO12" s="213">
        <f>GN12/(DD12*EG41)</f>
        <v>1.3162201951122785E-2</v>
      </c>
    </row>
    <row r="13" spans="1:197" x14ac:dyDescent="0.2">
      <c r="A13" s="139"/>
      <c r="B13" s="430" t="s">
        <v>117</v>
      </c>
      <c r="C13" s="431" t="s">
        <v>213</v>
      </c>
      <c r="D13" s="483">
        <v>8.1300000000000008</v>
      </c>
      <c r="E13" s="114">
        <f t="shared" si="0"/>
        <v>5</v>
      </c>
      <c r="F13" s="474" t="s">
        <v>52</v>
      </c>
      <c r="G13" s="115">
        <f t="shared" si="1"/>
        <v>7</v>
      </c>
      <c r="H13" s="116" t="s">
        <v>53</v>
      </c>
      <c r="I13" s="474">
        <f t="shared" si="41"/>
        <v>3</v>
      </c>
      <c r="J13" s="115" t="s">
        <v>54</v>
      </c>
      <c r="K13" s="116">
        <f t="shared" si="2"/>
        <v>1</v>
      </c>
      <c r="L13" s="474" t="s">
        <v>52</v>
      </c>
      <c r="M13" s="115">
        <f t="shared" si="3"/>
        <v>2</v>
      </c>
      <c r="N13" s="116" t="s">
        <v>53</v>
      </c>
      <c r="O13" s="474">
        <f t="shared" si="4"/>
        <v>0</v>
      </c>
      <c r="P13" s="115" t="s">
        <v>54</v>
      </c>
      <c r="Q13" s="116">
        <f t="shared" si="5"/>
        <v>0</v>
      </c>
      <c r="R13" s="474" t="s">
        <v>52</v>
      </c>
      <c r="S13" s="115">
        <f t="shared" si="42"/>
        <v>0</v>
      </c>
      <c r="T13" s="116" t="s">
        <v>53</v>
      </c>
      <c r="U13" s="474">
        <f t="shared" si="6"/>
        <v>0</v>
      </c>
      <c r="V13" s="115" t="s">
        <v>54</v>
      </c>
      <c r="W13" s="116">
        <f t="shared" si="7"/>
        <v>4</v>
      </c>
      <c r="X13" s="474" t="s">
        <v>52</v>
      </c>
      <c r="Y13" s="115">
        <f t="shared" si="8"/>
        <v>5</v>
      </c>
      <c r="Z13" s="116" t="s">
        <v>53</v>
      </c>
      <c r="AA13" s="474">
        <f t="shared" si="9"/>
        <v>3</v>
      </c>
      <c r="AB13" s="115" t="s">
        <v>54</v>
      </c>
      <c r="AC13" s="116">
        <f t="shared" si="43"/>
        <v>1.5</v>
      </c>
      <c r="AD13" s="474" t="s">
        <v>52</v>
      </c>
      <c r="AE13" s="117">
        <f t="shared" si="44"/>
        <v>2</v>
      </c>
      <c r="AF13" s="475"/>
      <c r="AG13" s="114">
        <f t="shared" si="45"/>
        <v>4</v>
      </c>
      <c r="AH13" s="474" t="s">
        <v>52</v>
      </c>
      <c r="AI13" s="115">
        <f t="shared" si="10"/>
        <v>6</v>
      </c>
      <c r="AJ13" s="116" t="s">
        <v>53</v>
      </c>
      <c r="AK13" s="474">
        <f t="shared" si="11"/>
        <v>2</v>
      </c>
      <c r="AL13" s="115" t="s">
        <v>54</v>
      </c>
      <c r="AM13" s="246">
        <v>1</v>
      </c>
      <c r="AN13" s="244" t="s">
        <v>52</v>
      </c>
      <c r="AO13" s="245">
        <v>2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3</v>
      </c>
      <c r="AZ13" s="244" t="s">
        <v>52</v>
      </c>
      <c r="BA13" s="245">
        <v>4</v>
      </c>
      <c r="BB13" s="246" t="s">
        <v>53</v>
      </c>
      <c r="BC13" s="244">
        <v>2</v>
      </c>
      <c r="BD13" s="245" t="s">
        <v>54</v>
      </c>
      <c r="BE13" s="116">
        <v>0</v>
      </c>
      <c r="BF13" s="474" t="s">
        <v>52</v>
      </c>
      <c r="BG13" s="117">
        <v>0</v>
      </c>
      <c r="BH13" s="115"/>
      <c r="BI13" s="114">
        <f t="shared" si="12"/>
        <v>1</v>
      </c>
      <c r="BJ13" s="474" t="s">
        <v>52</v>
      </c>
      <c r="BK13" s="115">
        <f t="shared" si="46"/>
        <v>1</v>
      </c>
      <c r="BL13" s="116" t="s">
        <v>53</v>
      </c>
      <c r="BM13" s="474">
        <f t="shared" si="13"/>
        <v>1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1</v>
      </c>
      <c r="CB13" s="244" t="s">
        <v>52</v>
      </c>
      <c r="CC13" s="245">
        <v>1</v>
      </c>
      <c r="CD13" s="246" t="s">
        <v>53</v>
      </c>
      <c r="CE13" s="244">
        <v>1</v>
      </c>
      <c r="CF13" s="245" t="s">
        <v>54</v>
      </c>
      <c r="CG13" s="116">
        <v>0</v>
      </c>
      <c r="CH13" s="474" t="s">
        <v>52</v>
      </c>
      <c r="CI13" s="117">
        <v>0</v>
      </c>
      <c r="CJ13" s="148">
        <v>0</v>
      </c>
      <c r="CK13" s="148">
        <f t="shared" si="47"/>
        <v>4</v>
      </c>
      <c r="CL13" s="148">
        <v>1</v>
      </c>
      <c r="CM13" s="148">
        <v>3</v>
      </c>
      <c r="CN13" s="148">
        <f t="shared" si="48"/>
        <v>4</v>
      </c>
      <c r="CO13" s="175">
        <v>1</v>
      </c>
      <c r="CP13" s="140">
        <v>0</v>
      </c>
      <c r="CQ13" s="175">
        <v>0</v>
      </c>
      <c r="CR13" s="148">
        <v>2</v>
      </c>
      <c r="CS13" s="148">
        <v>0</v>
      </c>
      <c r="CT13" s="140">
        <v>0</v>
      </c>
      <c r="CU13" s="140">
        <v>0</v>
      </c>
      <c r="CV13" s="148">
        <f t="shared" si="49"/>
        <v>15.5</v>
      </c>
      <c r="CW13" s="140"/>
      <c r="CX13" s="164">
        <f t="shared" si="50"/>
        <v>173.94339653841976</v>
      </c>
      <c r="CY13" s="147">
        <f t="shared" si="14"/>
        <v>0.66331009101973981</v>
      </c>
      <c r="CZ13" s="165">
        <f t="shared" si="15"/>
        <v>0.21369263228944815</v>
      </c>
      <c r="DA13" s="164">
        <f t="shared" si="16"/>
        <v>100.08297162125947</v>
      </c>
      <c r="DB13" s="141"/>
      <c r="DC13" s="141"/>
      <c r="DD13" s="77">
        <f t="shared" si="51"/>
        <v>0.62213039485766775</v>
      </c>
      <c r="DE13" s="37">
        <f t="shared" si="52"/>
        <v>0.7142857142857143</v>
      </c>
      <c r="DF13" s="37">
        <f t="shared" si="53"/>
        <v>0.8</v>
      </c>
      <c r="DG13" s="37">
        <f t="shared" si="54"/>
        <v>1</v>
      </c>
      <c r="DH13" s="37">
        <f t="shared" si="17"/>
        <v>0</v>
      </c>
      <c r="DI13" s="37">
        <f t="shared" si="18"/>
        <v>0.35719557195571944</v>
      </c>
      <c r="DJ13" s="37">
        <f t="shared" si="19"/>
        <v>0</v>
      </c>
      <c r="DK13" s="37">
        <f t="shared" si="20"/>
        <v>0</v>
      </c>
      <c r="DL13" s="37">
        <f t="shared" si="21"/>
        <v>0.1339483394833948</v>
      </c>
      <c r="DM13" s="37">
        <f t="shared" si="22"/>
        <v>4.0771526019240563E-2</v>
      </c>
      <c r="DN13" s="37">
        <f t="shared" si="55"/>
        <v>0</v>
      </c>
      <c r="DO13" s="37" t="str">
        <f t="shared" si="56"/>
        <v>0</v>
      </c>
      <c r="DP13" s="66">
        <f t="shared" si="57"/>
        <v>0</v>
      </c>
      <c r="DQ13" s="78">
        <f t="shared" si="58"/>
        <v>9.840098400984008</v>
      </c>
      <c r="DR13" s="6"/>
      <c r="DS13" s="36"/>
      <c r="DT13" s="75">
        <f t="shared" si="59"/>
        <v>87.567650676506759</v>
      </c>
      <c r="DU13" s="18">
        <f t="shared" si="23"/>
        <v>3.4765556557110657</v>
      </c>
      <c r="DV13" s="13">
        <f t="shared" si="60"/>
        <v>2.5476845218442405</v>
      </c>
      <c r="DW13" s="14">
        <f t="shared" si="24"/>
        <v>0.98092619126230374</v>
      </c>
      <c r="DX13" s="14">
        <f t="shared" si="25"/>
        <v>0.32</v>
      </c>
      <c r="DY13" s="14">
        <f t="shared" si="61"/>
        <v>0.75</v>
      </c>
      <c r="DZ13" s="15">
        <f t="shared" si="26"/>
        <v>20.344000000000001</v>
      </c>
      <c r="EA13" s="14">
        <f t="shared" si="62"/>
        <v>0.85043603529442036</v>
      </c>
      <c r="EB13" s="14">
        <f t="shared" si="27"/>
        <v>0.13333333333333333</v>
      </c>
      <c r="EC13" s="14">
        <f t="shared" si="28"/>
        <v>0.46660550458715599</v>
      </c>
      <c r="ED13" s="14">
        <f t="shared" si="63"/>
        <v>0</v>
      </c>
      <c r="EE13" s="19">
        <f t="shared" si="64"/>
        <v>1.7146666666666666</v>
      </c>
      <c r="EF13" s="67">
        <f t="shared" si="65"/>
        <v>0.05</v>
      </c>
      <c r="EG13" s="74">
        <f t="shared" si="66"/>
        <v>5.2412223223777321</v>
      </c>
      <c r="EH13" s="27">
        <f t="shared" si="67"/>
        <v>9.1167601276736718</v>
      </c>
      <c r="EI13" s="25">
        <f t="shared" si="68"/>
        <v>7.1335166611638741</v>
      </c>
      <c r="EJ13" s="25">
        <f t="shared" si="69"/>
        <v>0.85333333333333328</v>
      </c>
      <c r="EK13" s="26">
        <f t="shared" si="29"/>
        <v>0</v>
      </c>
      <c r="EL13" s="29">
        <f t="shared" si="70"/>
        <v>0.9296875</v>
      </c>
      <c r="EM13" s="30">
        <f t="shared" si="30"/>
        <v>5.5555555555555552E-2</v>
      </c>
      <c r="EN13" s="30">
        <f t="shared" si="31"/>
        <v>0.4375</v>
      </c>
      <c r="EO13" s="31">
        <f t="shared" si="71"/>
        <v>0.28125</v>
      </c>
      <c r="EP13" s="31">
        <f t="shared" si="32"/>
        <v>1.8964921428616979</v>
      </c>
      <c r="EQ13" s="31">
        <f t="shared" si="72"/>
        <v>2.1777421428616979</v>
      </c>
      <c r="ER13" s="93">
        <f t="shared" si="33"/>
        <v>0.44394935220441217</v>
      </c>
      <c r="ES13" s="109">
        <f t="shared" si="34"/>
        <v>90.55378392524031</v>
      </c>
      <c r="ET13" s="32">
        <f t="shared" si="35"/>
        <v>2.4853801169590644</v>
      </c>
      <c r="EV13" s="277"/>
      <c r="EW13" s="278"/>
      <c r="EX13" s="37">
        <f t="shared" si="81"/>
        <v>1.5</v>
      </c>
      <c r="EY13" s="72">
        <f t="shared" si="73"/>
        <v>2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8.1300000000000008</v>
      </c>
      <c r="FG13" s="144">
        <f t="shared" si="36"/>
        <v>5</v>
      </c>
      <c r="FH13" s="474" t="s">
        <v>52</v>
      </c>
      <c r="FI13" s="145">
        <f t="shared" si="74"/>
        <v>7</v>
      </c>
      <c r="FJ13" s="194">
        <f t="shared" si="75"/>
        <v>0.7142857142857143</v>
      </c>
      <c r="FK13" s="110">
        <f t="shared" si="37"/>
        <v>4</v>
      </c>
      <c r="FL13" s="474" t="s">
        <v>52</v>
      </c>
      <c r="FM13" s="168">
        <f t="shared" si="38"/>
        <v>5</v>
      </c>
      <c r="FN13" s="194">
        <f t="shared" si="76"/>
        <v>0.8</v>
      </c>
      <c r="FO13" s="262">
        <f t="shared" si="77"/>
        <v>0</v>
      </c>
      <c r="FP13" s="474" t="s">
        <v>52</v>
      </c>
      <c r="FQ13" s="274">
        <f t="shared" si="78"/>
        <v>0</v>
      </c>
      <c r="FR13" s="197" t="str">
        <f t="shared" si="79"/>
        <v>0</v>
      </c>
      <c r="FS13" s="140">
        <f t="shared" si="39"/>
        <v>0</v>
      </c>
      <c r="FT13" s="140">
        <f t="shared" si="39"/>
        <v>4</v>
      </c>
      <c r="FU13" s="140">
        <f t="shared" si="40"/>
        <v>4</v>
      </c>
      <c r="FV13" s="175">
        <f t="shared" si="40"/>
        <v>1</v>
      </c>
      <c r="FW13" s="140">
        <f t="shared" si="40"/>
        <v>0</v>
      </c>
      <c r="FX13" s="140">
        <f t="shared" si="40"/>
        <v>0</v>
      </c>
      <c r="FY13" s="140">
        <f t="shared" si="40"/>
        <v>2</v>
      </c>
      <c r="FZ13" s="140">
        <f t="shared" si="40"/>
        <v>0</v>
      </c>
      <c r="GA13" s="140">
        <f t="shared" si="40"/>
        <v>0</v>
      </c>
      <c r="GB13" s="140">
        <f t="shared" si="40"/>
        <v>0</v>
      </c>
      <c r="GC13" s="175">
        <f t="shared" si="40"/>
        <v>15.5</v>
      </c>
      <c r="GD13" s="202">
        <f t="shared" si="80"/>
        <v>173.94339653841976</v>
      </c>
      <c r="GE13" s="140">
        <f t="shared" si="80"/>
        <v>0.66331009101973981</v>
      </c>
      <c r="GF13" s="140">
        <f t="shared" si="80"/>
        <v>0.21369263228944815</v>
      </c>
      <c r="GG13" s="259">
        <f t="shared" si="80"/>
        <v>100.08297162125947</v>
      </c>
      <c r="GH13" s="140"/>
      <c r="GJ13" s="82"/>
      <c r="GK13" s="24"/>
      <c r="GL13" s="185">
        <f>(CQ13/CQ42)*(EY43-EX43)</f>
        <v>0</v>
      </c>
      <c r="GM13" s="185">
        <f>((E43/G43)*(1-(CJ43/(CJ43+CK42))))/((E43/G43)*(1-(CJ43/(CJ43+CK42)))+((1-(E43/G43)))*(CJ43/(CJ43+CK42)))</f>
        <v>0.9296875</v>
      </c>
      <c r="GN13" s="24">
        <f>GK13+(GL13/10)+(GJ13*GM13*(1-(CJ43/(CJ43+CK42))))+(CK13*(1-GM13))</f>
        <v>0.28125</v>
      </c>
      <c r="GO13" s="213">
        <f>GN13/(DD13*EG43)</f>
        <v>1.1925867624365972E-2</v>
      </c>
    </row>
    <row r="14" spans="1:197" x14ac:dyDescent="0.2">
      <c r="A14" s="139"/>
      <c r="B14" s="89" t="s">
        <v>82</v>
      </c>
      <c r="C14" s="41" t="s">
        <v>214</v>
      </c>
      <c r="D14" s="483">
        <v>13.07</v>
      </c>
      <c r="E14" s="114">
        <f t="shared" si="0"/>
        <v>5</v>
      </c>
      <c r="F14" s="474" t="s">
        <v>52</v>
      </c>
      <c r="G14" s="115">
        <f t="shared" si="1"/>
        <v>8</v>
      </c>
      <c r="H14" s="116" t="s">
        <v>53</v>
      </c>
      <c r="I14" s="474">
        <f t="shared" si="41"/>
        <v>4</v>
      </c>
      <c r="J14" s="115" t="s">
        <v>54</v>
      </c>
      <c r="K14" s="116">
        <f t="shared" si="2"/>
        <v>3</v>
      </c>
      <c r="L14" s="474" t="s">
        <v>52</v>
      </c>
      <c r="M14" s="115">
        <f t="shared" si="3"/>
        <v>4</v>
      </c>
      <c r="N14" s="116" t="s">
        <v>53</v>
      </c>
      <c r="O14" s="474">
        <f t="shared" si="4"/>
        <v>2</v>
      </c>
      <c r="P14" s="115" t="s">
        <v>54</v>
      </c>
      <c r="Q14" s="116">
        <f t="shared" si="5"/>
        <v>0</v>
      </c>
      <c r="R14" s="474" t="s">
        <v>52</v>
      </c>
      <c r="S14" s="115">
        <f t="shared" si="42"/>
        <v>1</v>
      </c>
      <c r="T14" s="116" t="s">
        <v>53</v>
      </c>
      <c r="U14" s="474">
        <f t="shared" si="6"/>
        <v>0</v>
      </c>
      <c r="V14" s="115" t="s">
        <v>54</v>
      </c>
      <c r="W14" s="116">
        <f t="shared" si="7"/>
        <v>2</v>
      </c>
      <c r="X14" s="474" t="s">
        <v>52</v>
      </c>
      <c r="Y14" s="115">
        <f t="shared" si="8"/>
        <v>3</v>
      </c>
      <c r="Z14" s="116" t="s">
        <v>53</v>
      </c>
      <c r="AA14" s="474">
        <f t="shared" si="9"/>
        <v>2</v>
      </c>
      <c r="AB14" s="115" t="s">
        <v>54</v>
      </c>
      <c r="AC14" s="116">
        <f t="shared" si="43"/>
        <v>0.7</v>
      </c>
      <c r="AD14" s="474" t="s">
        <v>52</v>
      </c>
      <c r="AE14" s="117">
        <f t="shared" si="44"/>
        <v>1</v>
      </c>
      <c r="AF14" s="475"/>
      <c r="AG14" s="114">
        <f t="shared" si="45"/>
        <v>4</v>
      </c>
      <c r="AH14" s="474" t="s">
        <v>52</v>
      </c>
      <c r="AI14" s="115">
        <f t="shared" si="10"/>
        <v>7</v>
      </c>
      <c r="AJ14" s="116" t="s">
        <v>53</v>
      </c>
      <c r="AK14" s="474">
        <f t="shared" si="11"/>
        <v>3</v>
      </c>
      <c r="AL14" s="115" t="s">
        <v>54</v>
      </c>
      <c r="AM14" s="246">
        <v>2</v>
      </c>
      <c r="AN14" s="244" t="s">
        <v>52</v>
      </c>
      <c r="AO14" s="245">
        <v>3</v>
      </c>
      <c r="AP14" s="246" t="s">
        <v>53</v>
      </c>
      <c r="AQ14" s="244">
        <v>1</v>
      </c>
      <c r="AR14" s="245" t="s">
        <v>54</v>
      </c>
      <c r="AS14" s="246">
        <v>0</v>
      </c>
      <c r="AT14" s="244" t="s">
        <v>52</v>
      </c>
      <c r="AU14" s="245">
        <v>1</v>
      </c>
      <c r="AV14" s="246" t="s">
        <v>53</v>
      </c>
      <c r="AW14" s="244">
        <v>0</v>
      </c>
      <c r="AX14" s="245" t="s">
        <v>54</v>
      </c>
      <c r="AY14" s="246">
        <v>2</v>
      </c>
      <c r="AZ14" s="244" t="s">
        <v>52</v>
      </c>
      <c r="BA14" s="245">
        <v>3</v>
      </c>
      <c r="BB14" s="246" t="s">
        <v>53</v>
      </c>
      <c r="BC14" s="244">
        <v>2</v>
      </c>
      <c r="BD14" s="245" t="s">
        <v>54</v>
      </c>
      <c r="BE14" s="116">
        <v>0</v>
      </c>
      <c r="BF14" s="474" t="s">
        <v>52</v>
      </c>
      <c r="BG14" s="117">
        <v>0</v>
      </c>
      <c r="BH14" s="115"/>
      <c r="BI14" s="114">
        <f t="shared" si="12"/>
        <v>1</v>
      </c>
      <c r="BJ14" s="474" t="s">
        <v>52</v>
      </c>
      <c r="BK14" s="115">
        <f t="shared" si="46"/>
        <v>1</v>
      </c>
      <c r="BL14" s="116" t="s">
        <v>53</v>
      </c>
      <c r="BM14" s="474">
        <f t="shared" si="13"/>
        <v>1</v>
      </c>
      <c r="BN14" s="115" t="s">
        <v>54</v>
      </c>
      <c r="BO14" s="246">
        <v>1</v>
      </c>
      <c r="BP14" s="244" t="s">
        <v>52</v>
      </c>
      <c r="BQ14" s="245">
        <v>1</v>
      </c>
      <c r="BR14" s="246" t="s">
        <v>53</v>
      </c>
      <c r="BS14" s="244">
        <v>1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0</v>
      </c>
      <c r="CD14" s="246" t="s">
        <v>53</v>
      </c>
      <c r="CE14" s="244">
        <v>0</v>
      </c>
      <c r="CF14" s="245" t="s">
        <v>54</v>
      </c>
      <c r="CG14" s="116">
        <v>0</v>
      </c>
      <c r="CH14" s="474" t="s">
        <v>52</v>
      </c>
      <c r="CI14" s="117">
        <v>0</v>
      </c>
      <c r="CJ14" s="140">
        <v>1</v>
      </c>
      <c r="CK14" s="148">
        <f t="shared" si="47"/>
        <v>2</v>
      </c>
      <c r="CL14" s="148">
        <v>1</v>
      </c>
      <c r="CM14" s="148">
        <v>1</v>
      </c>
      <c r="CN14" s="148">
        <f t="shared" si="48"/>
        <v>3</v>
      </c>
      <c r="CO14" s="175">
        <v>1</v>
      </c>
      <c r="CP14" s="140">
        <v>3</v>
      </c>
      <c r="CQ14" s="175">
        <v>1</v>
      </c>
      <c r="CR14" s="148">
        <v>1</v>
      </c>
      <c r="CS14" s="148">
        <v>0</v>
      </c>
      <c r="CT14" s="140">
        <v>1</v>
      </c>
      <c r="CU14" s="140">
        <v>2</v>
      </c>
      <c r="CV14" s="148">
        <f t="shared" si="49"/>
        <v>12.7</v>
      </c>
      <c r="CW14" s="140"/>
      <c r="CX14" s="164">
        <f t="shared" si="50"/>
        <v>127.46663031572811</v>
      </c>
      <c r="CY14" s="147">
        <f t="shared" si="14"/>
        <v>0.53636707951414186</v>
      </c>
      <c r="CZ14" s="165">
        <f t="shared" si="15"/>
        <v>0.21946377439529596</v>
      </c>
      <c r="DA14" s="164">
        <f t="shared" si="16"/>
        <v>134.14942337912635</v>
      </c>
      <c r="DB14" s="141"/>
      <c r="DC14" s="141"/>
      <c r="DD14" s="77">
        <f t="shared" si="51"/>
        <v>1.0001530456075913</v>
      </c>
      <c r="DE14" s="37">
        <f t="shared" si="52"/>
        <v>0.625</v>
      </c>
      <c r="DF14" s="37">
        <f t="shared" si="53"/>
        <v>0.66666666666666663</v>
      </c>
      <c r="DG14" s="37">
        <f t="shared" si="54"/>
        <v>0.75</v>
      </c>
      <c r="DH14" s="37">
        <f t="shared" si="17"/>
        <v>5.55470543228768E-2</v>
      </c>
      <c r="DI14" s="37">
        <f t="shared" si="18"/>
        <v>0.13331293037490433</v>
      </c>
      <c r="DJ14" s="37">
        <f t="shared" si="19"/>
        <v>0.24996174445294561</v>
      </c>
      <c r="DK14" s="37">
        <f t="shared" si="20"/>
        <v>0</v>
      </c>
      <c r="DL14" s="37">
        <f t="shared" si="21"/>
        <v>0.1110941086457536</v>
      </c>
      <c r="DM14" s="37">
        <f t="shared" si="22"/>
        <v>0.10550484472175639</v>
      </c>
      <c r="DN14" s="37">
        <f t="shared" si="55"/>
        <v>0.12018480613994421</v>
      </c>
      <c r="DO14" s="37">
        <f t="shared" si="56"/>
        <v>1</v>
      </c>
      <c r="DP14" s="66">
        <f t="shared" si="57"/>
        <v>3.06044376434583</v>
      </c>
      <c r="DQ14" s="78">
        <f t="shared" si="58"/>
        <v>3.06044376434583</v>
      </c>
      <c r="DR14" s="6"/>
      <c r="DS14" s="36"/>
      <c r="DT14" s="75">
        <f t="shared" si="59"/>
        <v>42.299020657995406</v>
      </c>
      <c r="DU14" s="18">
        <f t="shared" si="23"/>
        <v>4.4628526412031775</v>
      </c>
      <c r="DV14" s="13">
        <f t="shared" si="60"/>
        <v>3.6259694970800305</v>
      </c>
      <c r="DW14" s="14">
        <f t="shared" si="24"/>
        <v>0.73281626822398371</v>
      </c>
      <c r="DX14" s="14">
        <f t="shared" si="25"/>
        <v>0.23958333333333334</v>
      </c>
      <c r="DY14" s="14">
        <f t="shared" si="61"/>
        <v>0.36399999999999999</v>
      </c>
      <c r="DZ14" s="15">
        <f t="shared" si="26"/>
        <v>14.364000000000001</v>
      </c>
      <c r="EA14" s="14">
        <f t="shared" si="62"/>
        <v>0.90700680474251927</v>
      </c>
      <c r="EB14" s="14">
        <f t="shared" si="27"/>
        <v>5.5555555555555552E-2</v>
      </c>
      <c r="EC14" s="14">
        <f t="shared" si="28"/>
        <v>0.36456852791878175</v>
      </c>
      <c r="ED14" s="14">
        <f t="shared" si="63"/>
        <v>0.33066613561729818</v>
      </c>
      <c r="EE14" s="19">
        <f t="shared" si="64"/>
        <v>2.8216666666666668</v>
      </c>
      <c r="EF14" s="67">
        <f t="shared" si="65"/>
        <v>3.6000000000000011E-2</v>
      </c>
      <c r="EG14" s="74">
        <f t="shared" si="66"/>
        <v>8.3205193078698443</v>
      </c>
      <c r="EH14" s="27">
        <f t="shared" si="67"/>
        <v>10.605885586511233</v>
      </c>
      <c r="EI14" s="25">
        <f t="shared" si="68"/>
        <v>8.7023267929920731</v>
      </c>
      <c r="EJ14" s="25">
        <f t="shared" si="69"/>
        <v>0.61226851851851849</v>
      </c>
      <c r="EK14" s="26">
        <f t="shared" si="29"/>
        <v>0.82183103881492237</v>
      </c>
      <c r="EL14" s="29">
        <f t="shared" si="70"/>
        <v>0.88047808764940239</v>
      </c>
      <c r="EM14" s="30">
        <f t="shared" si="30"/>
        <v>0.13333333333333333</v>
      </c>
      <c r="EN14" s="30">
        <f t="shared" si="31"/>
        <v>0.53125</v>
      </c>
      <c r="EO14" s="31">
        <f t="shared" si="71"/>
        <v>1.7487702523240372</v>
      </c>
      <c r="EP14" s="31">
        <f t="shared" si="32"/>
        <v>2.4404852533545029</v>
      </c>
      <c r="EQ14" s="31">
        <f t="shared" si="72"/>
        <v>4.1892555056785401</v>
      </c>
      <c r="ER14" s="93">
        <f t="shared" si="33"/>
        <v>0.55248343953297196</v>
      </c>
      <c r="ES14" s="109">
        <f t="shared" si="34"/>
        <v>138.76010418388918</v>
      </c>
      <c r="ET14" s="32">
        <f t="shared" si="35"/>
        <v>2.585528902870625</v>
      </c>
      <c r="EV14" s="277"/>
      <c r="EW14" s="278"/>
      <c r="EX14" s="37">
        <f t="shared" si="81"/>
        <v>0.7</v>
      </c>
      <c r="EY14" s="72">
        <f t="shared" si="73"/>
        <v>1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13.07</v>
      </c>
      <c r="FG14" s="182">
        <f t="shared" si="36"/>
        <v>5</v>
      </c>
      <c r="FH14" s="183" t="s">
        <v>52</v>
      </c>
      <c r="FI14" s="184">
        <f t="shared" si="74"/>
        <v>8</v>
      </c>
      <c r="FJ14" s="193">
        <f t="shared" si="75"/>
        <v>0.625</v>
      </c>
      <c r="FK14" s="185">
        <f t="shared" si="37"/>
        <v>2</v>
      </c>
      <c r="FL14" s="183" t="s">
        <v>52</v>
      </c>
      <c r="FM14" s="186">
        <f t="shared" si="38"/>
        <v>3</v>
      </c>
      <c r="FN14" s="193">
        <f t="shared" si="76"/>
        <v>0.66666666666666663</v>
      </c>
      <c r="FO14" s="261">
        <f t="shared" si="77"/>
        <v>0</v>
      </c>
      <c r="FP14" s="183" t="s">
        <v>52</v>
      </c>
      <c r="FQ14" s="268">
        <f t="shared" si="78"/>
        <v>0</v>
      </c>
      <c r="FR14" s="196" t="str">
        <f t="shared" si="79"/>
        <v>0</v>
      </c>
      <c r="FS14" s="179">
        <f t="shared" si="39"/>
        <v>1</v>
      </c>
      <c r="FT14" s="179">
        <f t="shared" si="39"/>
        <v>2</v>
      </c>
      <c r="FU14" s="179">
        <f t="shared" si="40"/>
        <v>3</v>
      </c>
      <c r="FV14" s="187">
        <f t="shared" si="40"/>
        <v>1</v>
      </c>
      <c r="FW14" s="179">
        <f t="shared" si="40"/>
        <v>3</v>
      </c>
      <c r="FX14" s="179">
        <f t="shared" si="40"/>
        <v>1</v>
      </c>
      <c r="FY14" s="179">
        <f t="shared" si="40"/>
        <v>1</v>
      </c>
      <c r="FZ14" s="179">
        <f t="shared" si="40"/>
        <v>0</v>
      </c>
      <c r="GA14" s="179">
        <f t="shared" si="40"/>
        <v>1</v>
      </c>
      <c r="GB14" s="179">
        <f t="shared" si="40"/>
        <v>2</v>
      </c>
      <c r="GC14" s="187">
        <f t="shared" si="40"/>
        <v>12.7</v>
      </c>
      <c r="GD14" s="203">
        <f t="shared" si="80"/>
        <v>127.46663031572811</v>
      </c>
      <c r="GE14" s="179">
        <f t="shared" si="80"/>
        <v>0.53636707951414186</v>
      </c>
      <c r="GF14" s="179">
        <f t="shared" si="80"/>
        <v>0.21946377439529596</v>
      </c>
      <c r="GG14" s="258">
        <f t="shared" si="80"/>
        <v>134.14942337912635</v>
      </c>
      <c r="GH14" s="179"/>
      <c r="GJ14" s="82"/>
      <c r="GK14" s="24"/>
      <c r="GL14" s="185">
        <f>(CQ14/CQ46)*(EY47-EX47)</f>
        <v>0.26666666666666672</v>
      </c>
      <c r="GM14" s="185">
        <f>((E47/G47)*(1-(CJ47/(CJ47+CK46))))/((E47/G47)*(1-(CJ47/(CJ47+CK46)))+((1-(E47/G47)))*(CJ47/(CJ47+CK46)))</f>
        <v>0.88047808764940239</v>
      </c>
      <c r="GN14" s="24">
        <f>GK14+(GL14/10)+(GJ14*GM14*(1-(CJ47/(CJ47+CK46))))+(CK14*(1-GM14))</f>
        <v>0.2657104913678619</v>
      </c>
      <c r="GO14" s="213">
        <f>GN14/(DD14*EG47)</f>
        <v>6.7387698995203136E-3</v>
      </c>
    </row>
    <row r="15" spans="1:197" x14ac:dyDescent="0.2">
      <c r="A15" s="139"/>
      <c r="B15" s="430" t="s">
        <v>117</v>
      </c>
      <c r="C15" s="431" t="s">
        <v>215</v>
      </c>
      <c r="D15" s="483">
        <v>13.07</v>
      </c>
      <c r="E15" s="114">
        <f t="shared" si="0"/>
        <v>6</v>
      </c>
      <c r="F15" s="474" t="s">
        <v>52</v>
      </c>
      <c r="G15" s="115">
        <f t="shared" si="1"/>
        <v>12</v>
      </c>
      <c r="H15" s="116" t="s">
        <v>53</v>
      </c>
      <c r="I15" s="474">
        <f t="shared" si="41"/>
        <v>5</v>
      </c>
      <c r="J15" s="115" t="s">
        <v>54</v>
      </c>
      <c r="K15" s="116">
        <f t="shared" si="2"/>
        <v>0</v>
      </c>
      <c r="L15" s="474" t="s">
        <v>52</v>
      </c>
      <c r="M15" s="115">
        <f t="shared" si="3"/>
        <v>1</v>
      </c>
      <c r="N15" s="116" t="s">
        <v>53</v>
      </c>
      <c r="O15" s="474">
        <f t="shared" si="4"/>
        <v>0</v>
      </c>
      <c r="P15" s="115" t="s">
        <v>54</v>
      </c>
      <c r="Q15" s="116">
        <f t="shared" si="5"/>
        <v>2</v>
      </c>
      <c r="R15" s="474" t="s">
        <v>52</v>
      </c>
      <c r="S15" s="115">
        <f t="shared" si="42"/>
        <v>4</v>
      </c>
      <c r="T15" s="116" t="s">
        <v>53</v>
      </c>
      <c r="U15" s="474">
        <f t="shared" si="6"/>
        <v>1</v>
      </c>
      <c r="V15" s="115" t="s">
        <v>54</v>
      </c>
      <c r="W15" s="116">
        <f t="shared" si="7"/>
        <v>4</v>
      </c>
      <c r="X15" s="474" t="s">
        <v>52</v>
      </c>
      <c r="Y15" s="115">
        <f t="shared" si="8"/>
        <v>7</v>
      </c>
      <c r="Z15" s="116" t="s">
        <v>53</v>
      </c>
      <c r="AA15" s="474">
        <f t="shared" si="9"/>
        <v>4</v>
      </c>
      <c r="AB15" s="115" t="s">
        <v>54</v>
      </c>
      <c r="AC15" s="116">
        <f t="shared" si="43"/>
        <v>2.5499999999999998</v>
      </c>
      <c r="AD15" s="474" t="s">
        <v>52</v>
      </c>
      <c r="AE15" s="117">
        <f t="shared" si="44"/>
        <v>3</v>
      </c>
      <c r="AF15" s="475"/>
      <c r="AG15" s="114">
        <f t="shared" si="45"/>
        <v>6</v>
      </c>
      <c r="AH15" s="474" t="s">
        <v>52</v>
      </c>
      <c r="AI15" s="115">
        <f t="shared" si="10"/>
        <v>12</v>
      </c>
      <c r="AJ15" s="116" t="s">
        <v>53</v>
      </c>
      <c r="AK15" s="474">
        <f t="shared" si="11"/>
        <v>5</v>
      </c>
      <c r="AL15" s="115" t="s">
        <v>54</v>
      </c>
      <c r="AM15" s="246">
        <v>0</v>
      </c>
      <c r="AN15" s="244" t="s">
        <v>52</v>
      </c>
      <c r="AO15" s="245">
        <v>1</v>
      </c>
      <c r="AP15" s="246" t="s">
        <v>53</v>
      </c>
      <c r="AQ15" s="244">
        <v>0</v>
      </c>
      <c r="AR15" s="245" t="s">
        <v>54</v>
      </c>
      <c r="AS15" s="246">
        <v>2</v>
      </c>
      <c r="AT15" s="244" t="s">
        <v>52</v>
      </c>
      <c r="AU15" s="245">
        <v>4</v>
      </c>
      <c r="AV15" s="246" t="s">
        <v>53</v>
      </c>
      <c r="AW15" s="244">
        <v>1</v>
      </c>
      <c r="AX15" s="245" t="s">
        <v>54</v>
      </c>
      <c r="AY15" s="246">
        <v>4</v>
      </c>
      <c r="AZ15" s="244" t="s">
        <v>52</v>
      </c>
      <c r="BA15" s="245">
        <v>7</v>
      </c>
      <c r="BB15" s="246" t="s">
        <v>53</v>
      </c>
      <c r="BC15" s="244">
        <v>4</v>
      </c>
      <c r="BD15" s="245" t="s">
        <v>54</v>
      </c>
      <c r="BE15" s="116">
        <v>0</v>
      </c>
      <c r="BF15" s="474" t="s">
        <v>52</v>
      </c>
      <c r="BG15" s="117">
        <v>0</v>
      </c>
      <c r="BH15" s="115"/>
      <c r="BI15" s="114">
        <f t="shared" si="12"/>
        <v>0</v>
      </c>
      <c r="BJ15" s="474" t="s">
        <v>52</v>
      </c>
      <c r="BK15" s="115">
        <f t="shared" si="46"/>
        <v>0</v>
      </c>
      <c r="BL15" s="116" t="s">
        <v>53</v>
      </c>
      <c r="BM15" s="474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74" t="s">
        <v>52</v>
      </c>
      <c r="CI15" s="117">
        <v>0</v>
      </c>
      <c r="CJ15" s="140">
        <v>0</v>
      </c>
      <c r="CK15" s="148">
        <f t="shared" si="47"/>
        <v>3</v>
      </c>
      <c r="CL15" s="148">
        <v>2</v>
      </c>
      <c r="CM15" s="148">
        <v>1</v>
      </c>
      <c r="CN15" s="148">
        <f t="shared" si="48"/>
        <v>3</v>
      </c>
      <c r="CO15" s="175">
        <v>5</v>
      </c>
      <c r="CP15" s="140">
        <v>4</v>
      </c>
      <c r="CQ15" s="175">
        <v>0</v>
      </c>
      <c r="CR15" s="148">
        <v>3</v>
      </c>
      <c r="CS15" s="148">
        <v>0</v>
      </c>
      <c r="CT15" s="140">
        <v>5</v>
      </c>
      <c r="CU15" s="140">
        <v>3</v>
      </c>
      <c r="CV15" s="148">
        <f t="shared" si="49"/>
        <v>18.55</v>
      </c>
      <c r="CW15" s="140"/>
      <c r="CX15" s="164">
        <f t="shared" si="50"/>
        <v>112.08907725626575</v>
      </c>
      <c r="CY15" s="147">
        <f t="shared" si="14"/>
        <v>0.42971689072040353</v>
      </c>
      <c r="CZ15" s="165">
        <f t="shared" si="15"/>
        <v>0.45231924924887285</v>
      </c>
      <c r="DA15" s="164">
        <f t="shared" si="16"/>
        <v>85.068238955689964</v>
      </c>
      <c r="DB15" s="141"/>
      <c r="DC15" s="141"/>
      <c r="DD15" s="77">
        <f t="shared" si="51"/>
        <v>1.0001530456075913</v>
      </c>
      <c r="DE15" s="37">
        <f t="shared" si="52"/>
        <v>0.5</v>
      </c>
      <c r="DF15" s="37">
        <f t="shared" si="53"/>
        <v>0.5714285714285714</v>
      </c>
      <c r="DG15" s="37">
        <f t="shared" si="54"/>
        <v>0.66666666666666663</v>
      </c>
      <c r="DH15" s="37">
        <f t="shared" si="17"/>
        <v>0</v>
      </c>
      <c r="DI15" s="37">
        <f t="shared" si="18"/>
        <v>0.16664116296863041</v>
      </c>
      <c r="DJ15" s="37">
        <f t="shared" si="19"/>
        <v>0.27268553940321338</v>
      </c>
      <c r="DK15" s="37">
        <f t="shared" si="20"/>
        <v>0</v>
      </c>
      <c r="DL15" s="37">
        <f t="shared" si="21"/>
        <v>0.45447589900535562</v>
      </c>
      <c r="DM15" s="37">
        <f t="shared" si="22"/>
        <v>0.22825191727833449</v>
      </c>
      <c r="DN15" s="37">
        <f t="shared" si="55"/>
        <v>0.28034761050024409</v>
      </c>
      <c r="DO15" s="37">
        <f t="shared" si="56"/>
        <v>1</v>
      </c>
      <c r="DP15" s="66">
        <f t="shared" si="57"/>
        <v>0</v>
      </c>
      <c r="DQ15" s="78">
        <f t="shared" si="58"/>
        <v>9.1813312930374895</v>
      </c>
      <c r="DR15" s="6"/>
      <c r="DS15" s="36"/>
      <c r="DT15" s="75">
        <f t="shared" si="59"/>
        <v>50.75384850803367</v>
      </c>
      <c r="DU15" s="18">
        <f t="shared" si="23"/>
        <v>7.6640013081193956</v>
      </c>
      <c r="DV15" s="13">
        <f t="shared" si="60"/>
        <v>4.9271172290974627</v>
      </c>
      <c r="DW15" s="14">
        <f t="shared" si="24"/>
        <v>0.53644138545126863</v>
      </c>
      <c r="DX15" s="14">
        <f t="shared" si="25"/>
        <v>1.875</v>
      </c>
      <c r="DY15" s="14">
        <f t="shared" si="61"/>
        <v>1.173</v>
      </c>
      <c r="DZ15" s="15">
        <f t="shared" si="26"/>
        <v>20.344000000000001</v>
      </c>
      <c r="EA15" s="14">
        <f t="shared" si="62"/>
        <v>0.85043603529442036</v>
      </c>
      <c r="EB15" s="14">
        <f t="shared" si="27"/>
        <v>0.13333333333333333</v>
      </c>
      <c r="EC15" s="14">
        <f t="shared" si="28"/>
        <v>0.46660550458715599</v>
      </c>
      <c r="ED15" s="14">
        <f t="shared" si="63"/>
        <v>0</v>
      </c>
      <c r="EE15" s="19">
        <f t="shared" si="64"/>
        <v>5.1440000000000001</v>
      </c>
      <c r="EF15" s="67">
        <f t="shared" si="65"/>
        <v>2.700000000000001E-2</v>
      </c>
      <c r="EG15" s="74">
        <f t="shared" si="66"/>
        <v>17.835001308119395</v>
      </c>
      <c r="EH15" s="27">
        <f t="shared" si="67"/>
        <v>19.991088394913955</v>
      </c>
      <c r="EI15" s="25">
        <f t="shared" si="68"/>
        <v>13.138979277593235</v>
      </c>
      <c r="EJ15" s="25">
        <f t="shared" si="69"/>
        <v>5.1136363636363633</v>
      </c>
      <c r="EK15" s="26">
        <f t="shared" si="29"/>
        <v>0</v>
      </c>
      <c r="EL15" s="29">
        <f t="shared" si="70"/>
        <v>0.9296875</v>
      </c>
      <c r="EM15" s="30">
        <f t="shared" si="30"/>
        <v>5.5555555555555552E-2</v>
      </c>
      <c r="EN15" s="30">
        <f t="shared" si="31"/>
        <v>0.4375</v>
      </c>
      <c r="EO15" s="31">
        <f t="shared" si="71"/>
        <v>2.8342057291666669</v>
      </c>
      <c r="EP15" s="31">
        <f t="shared" si="32"/>
        <v>3.0488502222881171</v>
      </c>
      <c r="EQ15" s="31">
        <f t="shared" si="72"/>
        <v>5.883055951454784</v>
      </c>
      <c r="ER15" s="93">
        <f t="shared" si="33"/>
        <v>0.74601044465292843</v>
      </c>
      <c r="ES15" s="109">
        <f t="shared" si="34"/>
        <v>90.55378392524031</v>
      </c>
      <c r="ET15" s="32">
        <f t="shared" si="35"/>
        <v>2.4853801169590644</v>
      </c>
      <c r="EV15" s="277"/>
      <c r="EW15" s="278"/>
      <c r="EX15" s="37">
        <f t="shared" si="81"/>
        <v>2.5499999999999998</v>
      </c>
      <c r="EY15" s="72">
        <f t="shared" si="73"/>
        <v>3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13.07</v>
      </c>
      <c r="FG15" s="43">
        <f t="shared" si="36"/>
        <v>6</v>
      </c>
      <c r="FH15" s="42" t="s">
        <v>52</v>
      </c>
      <c r="FI15" s="49">
        <f t="shared" si="74"/>
        <v>12</v>
      </c>
      <c r="FJ15" s="347">
        <f t="shared" si="75"/>
        <v>0.5</v>
      </c>
      <c r="FK15" s="325">
        <f t="shared" si="37"/>
        <v>4</v>
      </c>
      <c r="FL15" s="42" t="s">
        <v>52</v>
      </c>
      <c r="FM15" s="348">
        <f t="shared" si="38"/>
        <v>7</v>
      </c>
      <c r="FN15" s="347">
        <f t="shared" si="76"/>
        <v>0.5714285714285714</v>
      </c>
      <c r="FO15" s="349">
        <f t="shared" si="77"/>
        <v>0</v>
      </c>
      <c r="FP15" s="42" t="s">
        <v>52</v>
      </c>
      <c r="FQ15" s="350">
        <f t="shared" si="78"/>
        <v>0</v>
      </c>
      <c r="FR15" s="351" t="str">
        <f t="shared" si="79"/>
        <v>0</v>
      </c>
      <c r="FS15" s="4">
        <f t="shared" si="39"/>
        <v>0</v>
      </c>
      <c r="FT15" s="4">
        <f t="shared" si="39"/>
        <v>3</v>
      </c>
      <c r="FU15" s="4">
        <f t="shared" si="40"/>
        <v>3</v>
      </c>
      <c r="FV15" s="352">
        <f t="shared" si="40"/>
        <v>5</v>
      </c>
      <c r="FW15" s="4">
        <f t="shared" si="40"/>
        <v>4</v>
      </c>
      <c r="FX15" s="4">
        <f t="shared" si="40"/>
        <v>0</v>
      </c>
      <c r="FY15" s="4">
        <f t="shared" si="40"/>
        <v>3</v>
      </c>
      <c r="FZ15" s="4">
        <f t="shared" si="40"/>
        <v>0</v>
      </c>
      <c r="GA15" s="4">
        <f t="shared" si="40"/>
        <v>5</v>
      </c>
      <c r="GB15" s="4">
        <f t="shared" si="40"/>
        <v>3</v>
      </c>
      <c r="GC15" s="352">
        <f t="shared" si="40"/>
        <v>18.55</v>
      </c>
      <c r="GD15" s="353">
        <f t="shared" si="80"/>
        <v>112.08907725626575</v>
      </c>
      <c r="GE15" s="4">
        <f t="shared" si="80"/>
        <v>0.42971689072040353</v>
      </c>
      <c r="GF15" s="4">
        <f t="shared" si="80"/>
        <v>0.45231924924887285</v>
      </c>
      <c r="GG15" s="354">
        <f t="shared" si="80"/>
        <v>85.068238955689964</v>
      </c>
      <c r="GH15" s="4"/>
      <c r="GJ15" s="82"/>
      <c r="GK15" s="24"/>
      <c r="GL15" s="185">
        <f>(CQ15/CQ48)*(EY49-EX49)</f>
        <v>0</v>
      </c>
      <c r="GM15" s="185">
        <f>((E49/G49)*(1-(CJ49/(CJ49+CK48))))/((E49/G49)*(1-(CJ49/(CJ49+CK48)))+((1-(E49/G49)))*(CJ49/(CJ49+CK48)))</f>
        <v>0.91</v>
      </c>
      <c r="GN15" s="24">
        <f>GK15+(GL15/10)+(GJ15*GM15*(1-(CJ49/(CJ49+CK48))))+(CK15*(1-GM15))</f>
        <v>0.26999999999999991</v>
      </c>
      <c r="GO15" s="213">
        <f>GN15/(DD15*EG49)</f>
        <v>7.1215770187185541E-3</v>
      </c>
    </row>
    <row r="16" spans="1:197" x14ac:dyDescent="0.2">
      <c r="A16" s="139"/>
      <c r="B16" s="89" t="s">
        <v>82</v>
      </c>
      <c r="C16" s="41" t="s">
        <v>216</v>
      </c>
      <c r="D16" s="483">
        <v>5.72</v>
      </c>
      <c r="E16" s="114">
        <f t="shared" si="0"/>
        <v>1</v>
      </c>
      <c r="F16" s="474" t="s">
        <v>52</v>
      </c>
      <c r="G16" s="115">
        <f t="shared" si="1"/>
        <v>3</v>
      </c>
      <c r="H16" s="116" t="s">
        <v>53</v>
      </c>
      <c r="I16" s="474">
        <f t="shared" si="41"/>
        <v>1</v>
      </c>
      <c r="J16" s="115" t="s">
        <v>54</v>
      </c>
      <c r="K16" s="116">
        <f t="shared" si="2"/>
        <v>1</v>
      </c>
      <c r="L16" s="474" t="s">
        <v>52</v>
      </c>
      <c r="M16" s="115">
        <f t="shared" si="3"/>
        <v>1</v>
      </c>
      <c r="N16" s="116" t="s">
        <v>53</v>
      </c>
      <c r="O16" s="474">
        <f t="shared" si="4"/>
        <v>1</v>
      </c>
      <c r="P16" s="115" t="s">
        <v>54</v>
      </c>
      <c r="Q16" s="116">
        <f t="shared" si="5"/>
        <v>0</v>
      </c>
      <c r="R16" s="474" t="s">
        <v>52</v>
      </c>
      <c r="S16" s="115">
        <f t="shared" si="42"/>
        <v>0</v>
      </c>
      <c r="T16" s="116" t="s">
        <v>53</v>
      </c>
      <c r="U16" s="474">
        <f t="shared" si="6"/>
        <v>0</v>
      </c>
      <c r="V16" s="115" t="s">
        <v>54</v>
      </c>
      <c r="W16" s="116">
        <f t="shared" si="7"/>
        <v>0</v>
      </c>
      <c r="X16" s="474" t="s">
        <v>52</v>
      </c>
      <c r="Y16" s="115">
        <f t="shared" si="8"/>
        <v>2</v>
      </c>
      <c r="Z16" s="116" t="s">
        <v>53</v>
      </c>
      <c r="AA16" s="474">
        <f t="shared" si="9"/>
        <v>0</v>
      </c>
      <c r="AB16" s="115" t="s">
        <v>54</v>
      </c>
      <c r="AC16" s="116">
        <f t="shared" si="43"/>
        <v>0</v>
      </c>
      <c r="AD16" s="474" t="s">
        <v>52</v>
      </c>
      <c r="AE16" s="117">
        <f t="shared" si="44"/>
        <v>0</v>
      </c>
      <c r="AF16" s="475"/>
      <c r="AG16" s="114">
        <f t="shared" si="45"/>
        <v>1</v>
      </c>
      <c r="AH16" s="474" t="s">
        <v>52</v>
      </c>
      <c r="AI16" s="115">
        <f t="shared" si="10"/>
        <v>3</v>
      </c>
      <c r="AJ16" s="116" t="s">
        <v>53</v>
      </c>
      <c r="AK16" s="474">
        <f t="shared" si="11"/>
        <v>1</v>
      </c>
      <c r="AL16" s="115" t="s">
        <v>54</v>
      </c>
      <c r="AM16" s="246">
        <v>1</v>
      </c>
      <c r="AN16" s="244" t="s">
        <v>52</v>
      </c>
      <c r="AO16" s="245">
        <v>1</v>
      </c>
      <c r="AP16" s="246" t="s">
        <v>53</v>
      </c>
      <c r="AQ16" s="244">
        <v>1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2</v>
      </c>
      <c r="BB16" s="246" t="s">
        <v>53</v>
      </c>
      <c r="BC16" s="244">
        <v>0</v>
      </c>
      <c r="BD16" s="245" t="s">
        <v>54</v>
      </c>
      <c r="BE16" s="116">
        <v>0</v>
      </c>
      <c r="BF16" s="474" t="s">
        <v>52</v>
      </c>
      <c r="BG16" s="117">
        <v>0</v>
      </c>
      <c r="BH16" s="115"/>
      <c r="BI16" s="114">
        <f t="shared" si="12"/>
        <v>0</v>
      </c>
      <c r="BJ16" s="474" t="s">
        <v>52</v>
      </c>
      <c r="BK16" s="115">
        <f t="shared" si="46"/>
        <v>0</v>
      </c>
      <c r="BL16" s="116" t="s">
        <v>53</v>
      </c>
      <c r="BM16" s="474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74" t="s">
        <v>52</v>
      </c>
      <c r="CI16" s="117">
        <v>0</v>
      </c>
      <c r="CJ16" s="140">
        <v>0</v>
      </c>
      <c r="CK16" s="148">
        <f t="shared" si="47"/>
        <v>1</v>
      </c>
      <c r="CL16" s="148">
        <v>0</v>
      </c>
      <c r="CM16" s="148">
        <v>1</v>
      </c>
      <c r="CN16" s="148">
        <f t="shared" si="48"/>
        <v>1</v>
      </c>
      <c r="CO16" s="175">
        <v>3</v>
      </c>
      <c r="CP16" s="140">
        <v>1</v>
      </c>
      <c r="CQ16" s="175">
        <v>0</v>
      </c>
      <c r="CR16" s="148">
        <v>0</v>
      </c>
      <c r="CS16" s="148">
        <v>2</v>
      </c>
      <c r="CT16" s="140">
        <v>1</v>
      </c>
      <c r="CU16" s="140">
        <v>0</v>
      </c>
      <c r="CV16" s="148">
        <f t="shared" si="49"/>
        <v>2</v>
      </c>
      <c r="CW16" s="140"/>
      <c r="CX16" s="164">
        <f t="shared" si="50"/>
        <v>85.160566248627191</v>
      </c>
      <c r="CY16" s="147">
        <f t="shared" si="14"/>
        <v>0.37728314642288097</v>
      </c>
      <c r="CZ16" s="165">
        <f t="shared" si="15"/>
        <v>0.27884403435933131</v>
      </c>
      <c r="DA16" s="164">
        <f t="shared" si="16"/>
        <v>113.24162582730374</v>
      </c>
      <c r="DB16" s="141"/>
      <c r="DC16" s="141"/>
      <c r="DD16" s="77">
        <f t="shared" si="51"/>
        <v>0.43771043771043777</v>
      </c>
      <c r="DE16" s="37">
        <f t="shared" si="52"/>
        <v>0.33333333333333331</v>
      </c>
      <c r="DF16" s="37">
        <f t="shared" si="53"/>
        <v>0</v>
      </c>
      <c r="DG16" s="37">
        <f t="shared" si="54"/>
        <v>0.33333333333333331</v>
      </c>
      <c r="DH16" s="37">
        <f t="shared" si="17"/>
        <v>0</v>
      </c>
      <c r="DI16" s="37">
        <f t="shared" si="18"/>
        <v>0.15230769230769228</v>
      </c>
      <c r="DJ16" s="37">
        <f t="shared" si="19"/>
        <v>0</v>
      </c>
      <c r="DK16" s="37">
        <f t="shared" si="20"/>
        <v>0.12053744060431436</v>
      </c>
      <c r="DL16" s="37">
        <f t="shared" si="21"/>
        <v>0.5272189349112425</v>
      </c>
      <c r="DM16" s="37">
        <f t="shared" si="22"/>
        <v>0.24107488120862872</v>
      </c>
      <c r="DN16" s="37">
        <f t="shared" si="55"/>
        <v>0.2161377432392623</v>
      </c>
      <c r="DO16" s="37">
        <f t="shared" si="56"/>
        <v>3</v>
      </c>
      <c r="DP16" s="66">
        <f t="shared" si="57"/>
        <v>0</v>
      </c>
      <c r="DQ16" s="78">
        <f t="shared" si="58"/>
        <v>0</v>
      </c>
      <c r="DR16" s="6"/>
      <c r="DS16" s="36"/>
      <c r="DT16" s="75">
        <f t="shared" si="59"/>
        <v>31.497377622377631</v>
      </c>
      <c r="DU16" s="18">
        <f t="shared" si="23"/>
        <v>1.7455680843545791</v>
      </c>
      <c r="DV16" s="13">
        <f t="shared" si="60"/>
        <v>0.93325046628833019</v>
      </c>
      <c r="DW16" s="14">
        <f t="shared" si="24"/>
        <v>0.40049720227001895</v>
      </c>
      <c r="DX16" s="14">
        <f t="shared" si="25"/>
        <v>0.85344827586206895</v>
      </c>
      <c r="DY16" s="14" t="str">
        <f t="shared" si="61"/>
        <v>0</v>
      </c>
      <c r="DZ16" s="15">
        <f t="shared" si="26"/>
        <v>14.364000000000001</v>
      </c>
      <c r="EA16" s="14">
        <f t="shared" si="62"/>
        <v>0.90700680474251927</v>
      </c>
      <c r="EB16" s="14">
        <f t="shared" si="27"/>
        <v>5.5555555555555552E-2</v>
      </c>
      <c r="EC16" s="14">
        <f t="shared" si="28"/>
        <v>0.36456852791878175</v>
      </c>
      <c r="ED16" s="14">
        <f t="shared" si="63"/>
        <v>0</v>
      </c>
      <c r="EE16" s="19">
        <f t="shared" si="64"/>
        <v>1.8811111111111112</v>
      </c>
      <c r="EF16" s="67" t="str">
        <f t="shared" si="65"/>
        <v>0</v>
      </c>
      <c r="EG16" s="74">
        <f t="shared" si="66"/>
        <v>4.6266791954656901</v>
      </c>
      <c r="EH16" s="27">
        <f t="shared" si="67"/>
        <v>3.9401062013660106</v>
      </c>
      <c r="EI16" s="25">
        <f t="shared" si="68"/>
        <v>1.8665009325766604</v>
      </c>
      <c r="EJ16" s="25">
        <f t="shared" si="69"/>
        <v>2.1664456233421752</v>
      </c>
      <c r="EK16" s="26">
        <f t="shared" si="29"/>
        <v>0</v>
      </c>
      <c r="EL16" s="29">
        <f t="shared" si="70"/>
        <v>0.88047808764940239</v>
      </c>
      <c r="EM16" s="30">
        <f t="shared" si="30"/>
        <v>0.13333333333333333</v>
      </c>
      <c r="EN16" s="30">
        <f t="shared" si="31"/>
        <v>0.53125</v>
      </c>
      <c r="EO16" s="31">
        <f t="shared" si="71"/>
        <v>2.1195219123505975</v>
      </c>
      <c r="EP16" s="31">
        <f t="shared" si="32"/>
        <v>1.0556138811756339</v>
      </c>
      <c r="EQ16" s="31">
        <f t="shared" si="72"/>
        <v>3.1751357935262314</v>
      </c>
      <c r="ER16" s="93">
        <f t="shared" si="33"/>
        <v>0.95680685530700194</v>
      </c>
      <c r="ES16" s="109">
        <f t="shared" si="34"/>
        <v>138.76010418388918</v>
      </c>
      <c r="ET16" s="32">
        <f t="shared" si="35"/>
        <v>2.585528902870625</v>
      </c>
      <c r="EV16" s="277"/>
      <c r="EW16" s="278"/>
      <c r="EX16" s="37">
        <f t="shared" si="81"/>
        <v>0</v>
      </c>
      <c r="EY16" s="72">
        <f t="shared" si="73"/>
        <v>0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5.72</v>
      </c>
      <c r="FG16" s="182">
        <f t="shared" si="36"/>
        <v>1</v>
      </c>
      <c r="FH16" s="183" t="s">
        <v>52</v>
      </c>
      <c r="FI16" s="184">
        <f t="shared" si="74"/>
        <v>3</v>
      </c>
      <c r="FJ16" s="193">
        <f t="shared" si="75"/>
        <v>0.33333333333333331</v>
      </c>
      <c r="FK16" s="185">
        <f t="shared" si="37"/>
        <v>0</v>
      </c>
      <c r="FL16" s="183" t="s">
        <v>52</v>
      </c>
      <c r="FM16" s="186">
        <f t="shared" si="38"/>
        <v>2</v>
      </c>
      <c r="FN16" s="193">
        <f t="shared" si="76"/>
        <v>0</v>
      </c>
      <c r="FO16" s="261">
        <f t="shared" si="77"/>
        <v>0</v>
      </c>
      <c r="FP16" s="183" t="s">
        <v>52</v>
      </c>
      <c r="FQ16" s="268">
        <f t="shared" si="78"/>
        <v>0</v>
      </c>
      <c r="FR16" s="196" t="str">
        <f t="shared" si="79"/>
        <v>0</v>
      </c>
      <c r="FS16" s="179">
        <f t="shared" si="39"/>
        <v>0</v>
      </c>
      <c r="FT16" s="179">
        <f t="shared" si="39"/>
        <v>1</v>
      </c>
      <c r="FU16" s="179">
        <f t="shared" si="40"/>
        <v>1</v>
      </c>
      <c r="FV16" s="187">
        <f t="shared" si="40"/>
        <v>3</v>
      </c>
      <c r="FW16" s="179">
        <f t="shared" si="40"/>
        <v>1</v>
      </c>
      <c r="FX16" s="179">
        <f t="shared" si="40"/>
        <v>0</v>
      </c>
      <c r="FY16" s="179">
        <f t="shared" si="40"/>
        <v>0</v>
      </c>
      <c r="FZ16" s="179">
        <f t="shared" si="40"/>
        <v>2</v>
      </c>
      <c r="GA16" s="179">
        <f t="shared" si="40"/>
        <v>1</v>
      </c>
      <c r="GB16" s="179">
        <f t="shared" si="40"/>
        <v>0</v>
      </c>
      <c r="GC16" s="187">
        <f t="shared" si="40"/>
        <v>2</v>
      </c>
      <c r="GD16" s="203">
        <f t="shared" si="80"/>
        <v>85.160566248627191</v>
      </c>
      <c r="GE16" s="179">
        <f t="shared" si="80"/>
        <v>0.37728314642288097</v>
      </c>
      <c r="GF16" s="179">
        <f t="shared" si="80"/>
        <v>0.27884403435933131</v>
      </c>
      <c r="GG16" s="258">
        <f t="shared" si="80"/>
        <v>113.24162582730374</v>
      </c>
      <c r="GH16" s="179"/>
      <c r="GJ16" s="82"/>
      <c r="GK16" s="24"/>
      <c r="GL16" s="185">
        <f>(CQ16/CQ50)*(EY51-EX51)</f>
        <v>0</v>
      </c>
      <c r="GM16" s="185">
        <f>((E51/G51)*(1-(CJ51/(CJ51+CK50))))/((E51/G51)*(1-(CJ51/(CJ51+CK50)))+((1-(E51/G51)))*(CJ51/(CJ51+CK50)))</f>
        <v>0.9296875</v>
      </c>
      <c r="GN16" s="24">
        <f>GK16+(GL16/10)+(GJ16*GM16*(1-(CJ51/(CJ51+CK50))))+(CK16*(1-GM16))</f>
        <v>7.03125E-2</v>
      </c>
      <c r="GO16" s="213">
        <f>GN16/(DD16*EG51)</f>
        <v>4.2376443962454267E-3</v>
      </c>
    </row>
    <row r="17" spans="1:197" x14ac:dyDescent="0.2">
      <c r="A17" s="139"/>
      <c r="B17" s="430" t="s">
        <v>117</v>
      </c>
      <c r="C17" s="431" t="s">
        <v>217</v>
      </c>
      <c r="D17" s="483">
        <v>7.29</v>
      </c>
      <c r="E17" s="114">
        <f t="shared" si="0"/>
        <v>4</v>
      </c>
      <c r="F17" s="474" t="s">
        <v>52</v>
      </c>
      <c r="G17" s="115">
        <f t="shared" si="1"/>
        <v>6</v>
      </c>
      <c r="H17" s="116" t="s">
        <v>53</v>
      </c>
      <c r="I17" s="474">
        <f t="shared" si="41"/>
        <v>3</v>
      </c>
      <c r="J17" s="115" t="s">
        <v>54</v>
      </c>
      <c r="K17" s="116">
        <f t="shared" si="2"/>
        <v>2</v>
      </c>
      <c r="L17" s="474" t="s">
        <v>52</v>
      </c>
      <c r="M17" s="115">
        <f t="shared" si="3"/>
        <v>3</v>
      </c>
      <c r="N17" s="116" t="s">
        <v>53</v>
      </c>
      <c r="O17" s="474">
        <f t="shared" si="4"/>
        <v>1</v>
      </c>
      <c r="P17" s="115" t="s">
        <v>54</v>
      </c>
      <c r="Q17" s="116">
        <f t="shared" si="5"/>
        <v>0</v>
      </c>
      <c r="R17" s="474" t="s">
        <v>52</v>
      </c>
      <c r="S17" s="115">
        <f t="shared" si="42"/>
        <v>0</v>
      </c>
      <c r="T17" s="116" t="s">
        <v>53</v>
      </c>
      <c r="U17" s="474">
        <f t="shared" si="6"/>
        <v>0</v>
      </c>
      <c r="V17" s="115" t="s">
        <v>54</v>
      </c>
      <c r="W17" s="116">
        <f t="shared" si="7"/>
        <v>2</v>
      </c>
      <c r="X17" s="474" t="s">
        <v>52</v>
      </c>
      <c r="Y17" s="115">
        <f t="shared" si="8"/>
        <v>3</v>
      </c>
      <c r="Z17" s="116" t="s">
        <v>53</v>
      </c>
      <c r="AA17" s="474">
        <f t="shared" si="9"/>
        <v>2</v>
      </c>
      <c r="AB17" s="115" t="s">
        <v>54</v>
      </c>
      <c r="AC17" s="116">
        <f t="shared" si="43"/>
        <v>0.75</v>
      </c>
      <c r="AD17" s="474" t="s">
        <v>52</v>
      </c>
      <c r="AE17" s="117">
        <f t="shared" si="44"/>
        <v>1</v>
      </c>
      <c r="AF17" s="475"/>
      <c r="AG17" s="114">
        <f t="shared" si="45"/>
        <v>4</v>
      </c>
      <c r="AH17" s="474" t="s">
        <v>52</v>
      </c>
      <c r="AI17" s="115">
        <f t="shared" si="10"/>
        <v>6</v>
      </c>
      <c r="AJ17" s="116" t="s">
        <v>53</v>
      </c>
      <c r="AK17" s="474">
        <f t="shared" si="11"/>
        <v>3</v>
      </c>
      <c r="AL17" s="115" t="s">
        <v>54</v>
      </c>
      <c r="AM17" s="246">
        <v>2</v>
      </c>
      <c r="AN17" s="244" t="s">
        <v>52</v>
      </c>
      <c r="AO17" s="245">
        <v>3</v>
      </c>
      <c r="AP17" s="246" t="s">
        <v>53</v>
      </c>
      <c r="AQ17" s="244">
        <v>1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2</v>
      </c>
      <c r="AZ17" s="244" t="s">
        <v>52</v>
      </c>
      <c r="BA17" s="245">
        <v>3</v>
      </c>
      <c r="BB17" s="246" t="s">
        <v>53</v>
      </c>
      <c r="BC17" s="244">
        <v>2</v>
      </c>
      <c r="BD17" s="245" t="s">
        <v>54</v>
      </c>
      <c r="BE17" s="116">
        <v>0</v>
      </c>
      <c r="BF17" s="474" t="s">
        <v>52</v>
      </c>
      <c r="BG17" s="117">
        <v>0</v>
      </c>
      <c r="BH17" s="115"/>
      <c r="BI17" s="114">
        <f t="shared" si="12"/>
        <v>0</v>
      </c>
      <c r="BJ17" s="474" t="s">
        <v>52</v>
      </c>
      <c r="BK17" s="115">
        <f t="shared" si="46"/>
        <v>0</v>
      </c>
      <c r="BL17" s="116" t="s">
        <v>53</v>
      </c>
      <c r="BM17" s="474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474" t="s">
        <v>52</v>
      </c>
      <c r="CI17" s="117">
        <v>0</v>
      </c>
      <c r="CJ17" s="140">
        <v>0</v>
      </c>
      <c r="CK17" s="148">
        <f t="shared" si="47"/>
        <v>3</v>
      </c>
      <c r="CL17" s="148">
        <v>1</v>
      </c>
      <c r="CM17" s="148">
        <v>2</v>
      </c>
      <c r="CN17" s="148">
        <f t="shared" si="48"/>
        <v>3</v>
      </c>
      <c r="CO17" s="175">
        <v>0</v>
      </c>
      <c r="CP17" s="140">
        <v>3</v>
      </c>
      <c r="CQ17" s="175">
        <v>0</v>
      </c>
      <c r="CR17" s="148">
        <v>1</v>
      </c>
      <c r="CS17" s="148">
        <v>1</v>
      </c>
      <c r="CT17" s="140">
        <v>0</v>
      </c>
      <c r="CU17" s="140">
        <v>0</v>
      </c>
      <c r="CV17" s="148">
        <f t="shared" si="49"/>
        <v>10.75</v>
      </c>
      <c r="CW17" s="140"/>
      <c r="CX17" s="164">
        <f t="shared" si="50"/>
        <v>142.88551427882589</v>
      </c>
      <c r="CY17" s="147">
        <f t="shared" si="14"/>
        <v>0.58858685589337478</v>
      </c>
      <c r="CZ17" s="165">
        <f t="shared" si="15"/>
        <v>0.19226837840294567</v>
      </c>
      <c r="DA17" s="164">
        <f t="shared" si="16"/>
        <v>89.248278534469335</v>
      </c>
      <c r="DB17" s="141"/>
      <c r="DC17" s="141"/>
      <c r="DD17" s="77">
        <f t="shared" si="51"/>
        <v>0.55785123966942163</v>
      </c>
      <c r="DE17" s="37">
        <f t="shared" si="52"/>
        <v>0.66666666666666663</v>
      </c>
      <c r="DF17" s="37">
        <f t="shared" si="53"/>
        <v>0.66666666666666663</v>
      </c>
      <c r="DG17" s="37">
        <f t="shared" si="54"/>
        <v>0.83333333333333337</v>
      </c>
      <c r="DH17" s="37">
        <f t="shared" si="17"/>
        <v>0</v>
      </c>
      <c r="DI17" s="37">
        <f t="shared" si="18"/>
        <v>0.29876543209876538</v>
      </c>
      <c r="DJ17" s="37">
        <f t="shared" si="19"/>
        <v>0</v>
      </c>
      <c r="DK17" s="37">
        <f t="shared" si="20"/>
        <v>4.5469479634626296E-2</v>
      </c>
      <c r="DL17" s="37">
        <f t="shared" si="21"/>
        <v>0</v>
      </c>
      <c r="DM17" s="37">
        <f t="shared" si="22"/>
        <v>0.13640843890387891</v>
      </c>
      <c r="DN17" s="37">
        <f t="shared" si="55"/>
        <v>0</v>
      </c>
      <c r="DO17" s="37" t="str">
        <f t="shared" si="56"/>
        <v>0</v>
      </c>
      <c r="DP17" s="66">
        <f t="shared" si="57"/>
        <v>0</v>
      </c>
      <c r="DQ17" s="78">
        <f t="shared" si="58"/>
        <v>5.4869684499314131</v>
      </c>
      <c r="DR17" s="6"/>
      <c r="DS17" s="36"/>
      <c r="DT17" s="75">
        <f t="shared" si="59"/>
        <v>68.162277091906731</v>
      </c>
      <c r="DU17" s="18">
        <f t="shared" si="23"/>
        <v>2.4888483712870078</v>
      </c>
      <c r="DV17" s="13">
        <f t="shared" si="60"/>
        <v>2.2148818030516124</v>
      </c>
      <c r="DW17" s="14">
        <f t="shared" si="24"/>
        <v>1.0710709181690325</v>
      </c>
      <c r="DX17" s="14">
        <f t="shared" si="25"/>
        <v>0</v>
      </c>
      <c r="DY17" s="14">
        <f t="shared" si="61"/>
        <v>0.375</v>
      </c>
      <c r="DZ17" s="15">
        <f t="shared" si="26"/>
        <v>20.344000000000001</v>
      </c>
      <c r="EA17" s="14">
        <f t="shared" si="62"/>
        <v>0.85043603529442036</v>
      </c>
      <c r="EB17" s="14">
        <f t="shared" si="27"/>
        <v>0.13333333333333333</v>
      </c>
      <c r="EC17" s="14">
        <f t="shared" si="28"/>
        <v>0.46660550458715599</v>
      </c>
      <c r="ED17" s="14">
        <f t="shared" si="63"/>
        <v>0</v>
      </c>
      <c r="EE17" s="19">
        <f t="shared" si="64"/>
        <v>1.7146666666666666</v>
      </c>
      <c r="EF17" s="67">
        <f t="shared" si="65"/>
        <v>2.5000000000000001E-2</v>
      </c>
      <c r="EG17" s="74">
        <f t="shared" si="66"/>
        <v>4.2285150379536747</v>
      </c>
      <c r="EH17" s="27">
        <f t="shared" si="67"/>
        <v>6.0419354583375986</v>
      </c>
      <c r="EI17" s="25">
        <f t="shared" si="68"/>
        <v>5.5372045076290313</v>
      </c>
      <c r="EJ17" s="25">
        <f t="shared" si="69"/>
        <v>0</v>
      </c>
      <c r="EK17" s="26">
        <f t="shared" si="29"/>
        <v>0</v>
      </c>
      <c r="EL17" s="29">
        <f t="shared" si="70"/>
        <v>0.9296875</v>
      </c>
      <c r="EM17" s="30">
        <f t="shared" si="30"/>
        <v>5.5555555555555552E-2</v>
      </c>
      <c r="EN17" s="30">
        <f t="shared" si="31"/>
        <v>0.4375</v>
      </c>
      <c r="EO17" s="31">
        <f t="shared" si="71"/>
        <v>1.2109375</v>
      </c>
      <c r="EP17" s="31">
        <f t="shared" si="32"/>
        <v>1.7005446151859505</v>
      </c>
      <c r="EQ17" s="31">
        <f t="shared" si="72"/>
        <v>2.9114821151859505</v>
      </c>
      <c r="ER17" s="93">
        <f t="shared" si="33"/>
        <v>0.66191788371513161</v>
      </c>
      <c r="ES17" s="109">
        <f t="shared" si="34"/>
        <v>90.55378392524031</v>
      </c>
      <c r="ET17" s="32">
        <f t="shared" si="35"/>
        <v>2.4853801169590644</v>
      </c>
      <c r="EV17" s="277"/>
      <c r="EW17" s="278"/>
      <c r="EX17" s="37">
        <f>AC17</f>
        <v>0.75</v>
      </c>
      <c r="EY17" s="72">
        <f>AE17</f>
        <v>1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7.29</v>
      </c>
      <c r="FG17" s="43">
        <f t="shared" si="36"/>
        <v>4</v>
      </c>
      <c r="FH17" s="42"/>
      <c r="FI17" s="49">
        <f t="shared" si="74"/>
        <v>6</v>
      </c>
      <c r="FJ17" s="347">
        <f t="shared" si="75"/>
        <v>0.66666666666666663</v>
      </c>
      <c r="FK17" s="325">
        <f t="shared" si="37"/>
        <v>2</v>
      </c>
      <c r="FL17" s="42"/>
      <c r="FM17" s="348">
        <f t="shared" si="38"/>
        <v>3</v>
      </c>
      <c r="FN17" s="347">
        <f t="shared" si="76"/>
        <v>0.66666666666666663</v>
      </c>
      <c r="FO17" s="349">
        <f t="shared" si="77"/>
        <v>0</v>
      </c>
      <c r="FP17" s="42"/>
      <c r="FQ17" s="350">
        <f t="shared" si="78"/>
        <v>0</v>
      </c>
      <c r="FR17" s="351" t="str">
        <f t="shared" si="79"/>
        <v>0</v>
      </c>
      <c r="FS17" s="4">
        <f t="shared" si="39"/>
        <v>0</v>
      </c>
      <c r="FT17" s="4">
        <f t="shared" si="39"/>
        <v>3</v>
      </c>
      <c r="FU17" s="4">
        <f t="shared" si="40"/>
        <v>3</v>
      </c>
      <c r="FV17" s="352">
        <f t="shared" si="40"/>
        <v>0</v>
      </c>
      <c r="FW17" s="4">
        <f t="shared" si="40"/>
        <v>3</v>
      </c>
      <c r="FX17" s="4">
        <f t="shared" si="40"/>
        <v>0</v>
      </c>
      <c r="FY17" s="4">
        <f t="shared" si="40"/>
        <v>1</v>
      </c>
      <c r="FZ17" s="4">
        <f t="shared" si="40"/>
        <v>1</v>
      </c>
      <c r="GA17" s="4">
        <f t="shared" si="40"/>
        <v>0</v>
      </c>
      <c r="GB17" s="4">
        <f t="shared" si="40"/>
        <v>0</v>
      </c>
      <c r="GC17" s="352">
        <f t="shared" si="40"/>
        <v>10.75</v>
      </c>
      <c r="GD17" s="353">
        <f t="shared" si="80"/>
        <v>142.88551427882589</v>
      </c>
      <c r="GE17" s="4">
        <f t="shared" si="80"/>
        <v>0.58858685589337478</v>
      </c>
      <c r="GF17" s="4">
        <f t="shared" si="80"/>
        <v>0.19226837840294567</v>
      </c>
      <c r="GG17" s="354">
        <f t="shared" si="80"/>
        <v>89.248278534469335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82</v>
      </c>
      <c r="C18" s="41" t="s">
        <v>218</v>
      </c>
      <c r="D18" s="483">
        <v>11.18</v>
      </c>
      <c r="E18" s="114">
        <f t="shared" si="0"/>
        <v>3</v>
      </c>
      <c r="F18" s="474" t="s">
        <v>52</v>
      </c>
      <c r="G18" s="115">
        <f t="shared" si="1"/>
        <v>6</v>
      </c>
      <c r="H18" s="116" t="s">
        <v>53</v>
      </c>
      <c r="I18" s="474">
        <f t="shared" si="41"/>
        <v>2</v>
      </c>
      <c r="J18" s="115" t="s">
        <v>54</v>
      </c>
      <c r="K18" s="116">
        <f t="shared" si="2"/>
        <v>0</v>
      </c>
      <c r="L18" s="474" t="s">
        <v>52</v>
      </c>
      <c r="M18" s="115">
        <f t="shared" si="3"/>
        <v>2</v>
      </c>
      <c r="N18" s="116" t="s">
        <v>53</v>
      </c>
      <c r="O18" s="474">
        <f t="shared" si="4"/>
        <v>0</v>
      </c>
      <c r="P18" s="115" t="s">
        <v>54</v>
      </c>
      <c r="Q18" s="116">
        <f t="shared" si="5"/>
        <v>1</v>
      </c>
      <c r="R18" s="474" t="s">
        <v>52</v>
      </c>
      <c r="S18" s="115">
        <f t="shared" si="42"/>
        <v>2</v>
      </c>
      <c r="T18" s="116" t="s">
        <v>53</v>
      </c>
      <c r="U18" s="474">
        <f t="shared" si="6"/>
        <v>0</v>
      </c>
      <c r="V18" s="115" t="s">
        <v>54</v>
      </c>
      <c r="W18" s="116">
        <f t="shared" si="7"/>
        <v>2</v>
      </c>
      <c r="X18" s="474" t="s">
        <v>52</v>
      </c>
      <c r="Y18" s="115">
        <f t="shared" si="8"/>
        <v>2</v>
      </c>
      <c r="Z18" s="116" t="s">
        <v>53</v>
      </c>
      <c r="AA18" s="474">
        <f t="shared" si="9"/>
        <v>2</v>
      </c>
      <c r="AB18" s="115" t="s">
        <v>54</v>
      </c>
      <c r="AC18" s="116">
        <f t="shared" si="43"/>
        <v>0</v>
      </c>
      <c r="AD18" s="474" t="s">
        <v>52</v>
      </c>
      <c r="AE18" s="117">
        <f t="shared" si="44"/>
        <v>0</v>
      </c>
      <c r="AF18" s="475"/>
      <c r="AG18" s="114">
        <f>IFERROR(AM18+AS18+AY18,"0")</f>
        <v>2</v>
      </c>
      <c r="AH18" s="474" t="s">
        <v>52</v>
      </c>
      <c r="AI18" s="115">
        <f t="shared" si="10"/>
        <v>5</v>
      </c>
      <c r="AJ18" s="116" t="s">
        <v>53</v>
      </c>
      <c r="AK18" s="474">
        <f t="shared" si="11"/>
        <v>1</v>
      </c>
      <c r="AL18" s="115" t="s">
        <v>54</v>
      </c>
      <c r="AM18" s="246">
        <v>0</v>
      </c>
      <c r="AN18" s="244" t="s">
        <v>52</v>
      </c>
      <c r="AO18" s="245">
        <v>2</v>
      </c>
      <c r="AP18" s="246" t="s">
        <v>53</v>
      </c>
      <c r="AQ18" s="244">
        <v>0</v>
      </c>
      <c r="AR18" s="245" t="s">
        <v>54</v>
      </c>
      <c r="AS18" s="246">
        <v>1</v>
      </c>
      <c r="AT18" s="244" t="s">
        <v>52</v>
      </c>
      <c r="AU18" s="245">
        <v>2</v>
      </c>
      <c r="AV18" s="246" t="s">
        <v>53</v>
      </c>
      <c r="AW18" s="244">
        <v>0</v>
      </c>
      <c r="AX18" s="245" t="s">
        <v>54</v>
      </c>
      <c r="AY18" s="246">
        <v>1</v>
      </c>
      <c r="AZ18" s="244" t="s">
        <v>52</v>
      </c>
      <c r="BA18" s="245">
        <v>1</v>
      </c>
      <c r="BB18" s="246" t="s">
        <v>53</v>
      </c>
      <c r="BC18" s="244">
        <v>1</v>
      </c>
      <c r="BD18" s="245" t="s">
        <v>54</v>
      </c>
      <c r="BE18" s="116">
        <v>0</v>
      </c>
      <c r="BF18" s="474" t="s">
        <v>52</v>
      </c>
      <c r="BG18" s="117">
        <v>0</v>
      </c>
      <c r="BH18" s="115"/>
      <c r="BI18" s="114">
        <f t="shared" si="12"/>
        <v>1</v>
      </c>
      <c r="BJ18" s="474" t="s">
        <v>52</v>
      </c>
      <c r="BK18" s="115">
        <f t="shared" si="46"/>
        <v>1</v>
      </c>
      <c r="BL18" s="116" t="s">
        <v>53</v>
      </c>
      <c r="BM18" s="474">
        <f t="shared" si="13"/>
        <v>1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1</v>
      </c>
      <c r="CB18" s="244" t="s">
        <v>52</v>
      </c>
      <c r="CC18" s="245">
        <v>1</v>
      </c>
      <c r="CD18" s="246" t="s">
        <v>53</v>
      </c>
      <c r="CE18" s="244">
        <v>1</v>
      </c>
      <c r="CF18" s="245" t="s">
        <v>54</v>
      </c>
      <c r="CG18" s="116">
        <v>0</v>
      </c>
      <c r="CH18" s="474" t="s">
        <v>52</v>
      </c>
      <c r="CI18" s="117">
        <v>0</v>
      </c>
      <c r="CJ18" s="140">
        <v>0</v>
      </c>
      <c r="CK18" s="148">
        <f t="shared" si="47"/>
        <v>2</v>
      </c>
      <c r="CL18" s="148">
        <v>2</v>
      </c>
      <c r="CM18" s="148">
        <v>0</v>
      </c>
      <c r="CN18" s="148">
        <f t="shared" si="48"/>
        <v>2</v>
      </c>
      <c r="CO18" s="175">
        <v>1</v>
      </c>
      <c r="CP18" s="140">
        <v>0</v>
      </c>
      <c r="CQ18" s="175">
        <v>0</v>
      </c>
      <c r="CR18" s="148">
        <v>0</v>
      </c>
      <c r="CS18" s="148">
        <v>0</v>
      </c>
      <c r="CT18" s="140">
        <v>0</v>
      </c>
      <c r="CU18" s="140">
        <v>0</v>
      </c>
      <c r="CV18" s="148">
        <f t="shared" si="49"/>
        <v>8</v>
      </c>
      <c r="CW18" s="140"/>
      <c r="CX18" s="164">
        <f t="shared" si="50"/>
        <v>123.00077598407046</v>
      </c>
      <c r="CY18" s="147">
        <f t="shared" si="14"/>
        <v>0.46507777561660441</v>
      </c>
      <c r="CZ18" s="165">
        <f t="shared" si="15"/>
        <v>0.16265269412768693</v>
      </c>
      <c r="DA18" s="164">
        <f t="shared" si="16"/>
        <v>144.36361626600601</v>
      </c>
      <c r="DB18" s="141"/>
      <c r="DC18" s="141"/>
      <c r="DD18" s="77">
        <f t="shared" si="51"/>
        <v>0.85552494643403743</v>
      </c>
      <c r="DE18" s="37">
        <f t="shared" si="52"/>
        <v>0.5</v>
      </c>
      <c r="DF18" s="37">
        <f t="shared" si="53"/>
        <v>1</v>
      </c>
      <c r="DG18" s="37">
        <f t="shared" si="54"/>
        <v>0.66666666666666663</v>
      </c>
      <c r="DH18" s="37">
        <f t="shared" si="17"/>
        <v>0</v>
      </c>
      <c r="DI18" s="37">
        <f t="shared" si="18"/>
        <v>0.15584973166368515</v>
      </c>
      <c r="DJ18" s="37">
        <f t="shared" si="19"/>
        <v>0</v>
      </c>
      <c r="DK18" s="37">
        <f t="shared" si="20"/>
        <v>0</v>
      </c>
      <c r="DL18" s="37">
        <f t="shared" si="21"/>
        <v>0.10626118067978532</v>
      </c>
      <c r="DM18" s="37">
        <f t="shared" si="22"/>
        <v>3.0835159224359487E-2</v>
      </c>
      <c r="DN18" s="37">
        <f t="shared" si="55"/>
        <v>0</v>
      </c>
      <c r="DO18" s="37" t="str">
        <f t="shared" si="56"/>
        <v>0</v>
      </c>
      <c r="DP18" s="66">
        <f t="shared" si="57"/>
        <v>0</v>
      </c>
      <c r="DQ18" s="78">
        <f t="shared" si="58"/>
        <v>0</v>
      </c>
      <c r="DR18" s="6"/>
      <c r="DS18" s="36"/>
      <c r="DT18" s="75">
        <f t="shared" si="59"/>
        <v>27.528175313059037</v>
      </c>
      <c r="DU18" s="18">
        <f t="shared" si="23"/>
        <v>2.4532434754931578</v>
      </c>
      <c r="DV18" s="13">
        <f t="shared" si="60"/>
        <v>2.251433637842529</v>
      </c>
      <c r="DW18" s="14">
        <f t="shared" si="24"/>
        <v>0.74856636215747119</v>
      </c>
      <c r="DX18" s="14">
        <f t="shared" si="25"/>
        <v>0.25961538461538464</v>
      </c>
      <c r="DY18" s="14" t="str">
        <f t="shared" si="61"/>
        <v>0</v>
      </c>
      <c r="DZ18" s="15">
        <f t="shared" si="26"/>
        <v>14.364000000000001</v>
      </c>
      <c r="EA18" s="14">
        <f t="shared" si="62"/>
        <v>0.90700680474251927</v>
      </c>
      <c r="EB18" s="14">
        <f t="shared" si="27"/>
        <v>5.5555555555555552E-2</v>
      </c>
      <c r="EC18" s="14">
        <f t="shared" si="28"/>
        <v>0.36456852791878175</v>
      </c>
      <c r="ED18" s="14">
        <f t="shared" si="63"/>
        <v>0</v>
      </c>
      <c r="EE18" s="19">
        <f t="shared" si="64"/>
        <v>2.8216666666666668</v>
      </c>
      <c r="EF18" s="67" t="str">
        <f t="shared" si="65"/>
        <v>0</v>
      </c>
      <c r="EG18" s="74">
        <f t="shared" si="66"/>
        <v>5.2749101421598246</v>
      </c>
      <c r="EH18" s="27">
        <f t="shared" si="67"/>
        <v>6.4881804073190184</v>
      </c>
      <c r="EI18" s="25">
        <f t="shared" si="68"/>
        <v>6.0038230342467438</v>
      </c>
      <c r="EJ18" s="25">
        <f t="shared" si="69"/>
        <v>0.6372377622377623</v>
      </c>
      <c r="EK18" s="26">
        <f t="shared" si="29"/>
        <v>0</v>
      </c>
      <c r="EL18" s="29">
        <f t="shared" si="70"/>
        <v>0.88047808764940239</v>
      </c>
      <c r="EM18" s="30">
        <f t="shared" si="30"/>
        <v>0.13333333333333333</v>
      </c>
      <c r="EN18" s="30">
        <f t="shared" si="31"/>
        <v>0.53125</v>
      </c>
      <c r="EO18" s="31">
        <f t="shared" si="71"/>
        <v>0.23904382470119523</v>
      </c>
      <c r="EP18" s="31">
        <f t="shared" si="32"/>
        <v>2.0632453132069206</v>
      </c>
      <c r="EQ18" s="31">
        <f t="shared" si="72"/>
        <v>2.3022891379081161</v>
      </c>
      <c r="ER18" s="93">
        <f t="shared" si="33"/>
        <v>0.35495726073955053</v>
      </c>
      <c r="ES18" s="109">
        <f t="shared" si="34"/>
        <v>138.76010418388918</v>
      </c>
      <c r="ET18" s="32">
        <f t="shared" si="35"/>
        <v>2.585528902870625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11.18</v>
      </c>
      <c r="FG18" s="182">
        <f t="shared" si="36"/>
        <v>3</v>
      </c>
      <c r="FH18" s="183" t="s">
        <v>52</v>
      </c>
      <c r="FI18" s="184">
        <f t="shared" si="74"/>
        <v>6</v>
      </c>
      <c r="FJ18" s="193">
        <f t="shared" si="75"/>
        <v>0.5</v>
      </c>
      <c r="FK18" s="185">
        <f t="shared" si="37"/>
        <v>2</v>
      </c>
      <c r="FL18" s="183" t="s">
        <v>52</v>
      </c>
      <c r="FM18" s="186">
        <f t="shared" si="38"/>
        <v>2</v>
      </c>
      <c r="FN18" s="193">
        <f t="shared" si="76"/>
        <v>1</v>
      </c>
      <c r="FO18" s="261">
        <f t="shared" si="77"/>
        <v>0</v>
      </c>
      <c r="FP18" s="183" t="s">
        <v>52</v>
      </c>
      <c r="FQ18" s="268">
        <f>EW18</f>
        <v>0</v>
      </c>
      <c r="FR18" s="196" t="str">
        <f t="shared" si="79"/>
        <v>0</v>
      </c>
      <c r="FS18" s="179">
        <f t="shared" si="39"/>
        <v>0</v>
      </c>
      <c r="FT18" s="179">
        <f t="shared" si="39"/>
        <v>2</v>
      </c>
      <c r="FU18" s="179">
        <f t="shared" si="40"/>
        <v>2</v>
      </c>
      <c r="FV18" s="187">
        <f t="shared" si="40"/>
        <v>1</v>
      </c>
      <c r="FW18" s="179">
        <f t="shared" si="40"/>
        <v>0</v>
      </c>
      <c r="FX18" s="179">
        <f t="shared" si="40"/>
        <v>0</v>
      </c>
      <c r="FY18" s="179">
        <f t="shared" si="40"/>
        <v>0</v>
      </c>
      <c r="FZ18" s="179">
        <f t="shared" si="40"/>
        <v>0</v>
      </c>
      <c r="GA18" s="179">
        <f t="shared" si="40"/>
        <v>0</v>
      </c>
      <c r="GB18" s="179">
        <f t="shared" si="40"/>
        <v>0</v>
      </c>
      <c r="GC18" s="187">
        <f t="shared" si="40"/>
        <v>8</v>
      </c>
      <c r="GD18" s="203">
        <f t="shared" si="80"/>
        <v>123.00077598407046</v>
      </c>
      <c r="GE18" s="179">
        <f t="shared" si="80"/>
        <v>0.46507777561660441</v>
      </c>
      <c r="GF18" s="179">
        <f t="shared" si="80"/>
        <v>0.16265269412768693</v>
      </c>
      <c r="GG18" s="258">
        <f t="shared" si="80"/>
        <v>144.36361626600601</v>
      </c>
      <c r="GH18" s="179"/>
      <c r="GJ18" s="82"/>
      <c r="GK18" s="24"/>
      <c r="GL18" s="185">
        <f>(CQ18/CQ51)*(EY52-EX52)</f>
        <v>0</v>
      </c>
      <c r="GM18" s="185">
        <f>((E53/G53)*(1-(CJ53/(CJ53+CK52))))/((E53/G53)*(1-(CJ53/(CJ53+CK52)))+((1-(E53/G53)))*(CJ53/(CJ53+CK52)))</f>
        <v>0.9296875</v>
      </c>
      <c r="GN18" s="24">
        <f>GK18+(GL18/10)+(GJ18*GM18*(1-(CJ53/(CJ53+CK52))))+(CK18*(1-GM18))</f>
        <v>0.140625</v>
      </c>
      <c r="GO18" s="213">
        <f>GN18/(DD18*EG53)</f>
        <v>4.3361942659255522E-3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74"/>
      <c r="G19" s="115"/>
      <c r="H19" s="116"/>
      <c r="I19" s="474"/>
      <c r="J19" s="115"/>
      <c r="K19" s="116"/>
      <c r="L19" s="474"/>
      <c r="M19" s="115"/>
      <c r="N19" s="116"/>
      <c r="O19" s="474"/>
      <c r="P19" s="115"/>
      <c r="Q19" s="116"/>
      <c r="R19" s="474"/>
      <c r="S19" s="115"/>
      <c r="T19" s="116"/>
      <c r="U19" s="474"/>
      <c r="V19" s="115"/>
      <c r="W19" s="116"/>
      <c r="X19" s="474"/>
      <c r="Y19" s="115"/>
      <c r="Z19" s="116"/>
      <c r="AA19" s="474"/>
      <c r="AB19" s="115"/>
      <c r="AC19" s="116"/>
      <c r="AD19" s="474"/>
      <c r="AE19" s="117"/>
      <c r="AF19" s="475"/>
      <c r="AG19" s="114"/>
      <c r="AH19" s="474"/>
      <c r="AI19" s="115"/>
      <c r="AJ19" s="116"/>
      <c r="AK19" s="474"/>
      <c r="AL19" s="115"/>
      <c r="AM19" s="116"/>
      <c r="AN19" s="474"/>
      <c r="AO19" s="115" t="s">
        <v>70</v>
      </c>
      <c r="AP19" s="116"/>
      <c r="AQ19" s="474"/>
      <c r="AR19" s="115"/>
      <c r="AS19" s="116"/>
      <c r="AT19" s="474"/>
      <c r="AU19" s="115"/>
      <c r="AV19" s="116"/>
      <c r="AW19" s="474"/>
      <c r="AX19" s="115"/>
      <c r="AY19" s="116"/>
      <c r="AZ19" s="474"/>
      <c r="BA19" s="115"/>
      <c r="BB19" s="116"/>
      <c r="BC19" s="474"/>
      <c r="BD19" s="115"/>
      <c r="BE19" s="116"/>
      <c r="BF19" s="474"/>
      <c r="BG19" s="117"/>
      <c r="BH19" s="115"/>
      <c r="BI19" s="114"/>
      <c r="BJ19" s="474"/>
      <c r="BK19" s="115"/>
      <c r="BL19" s="116"/>
      <c r="BM19" s="474"/>
      <c r="BN19" s="115"/>
      <c r="BO19" s="116"/>
      <c r="BP19" s="474"/>
      <c r="BQ19" s="115"/>
      <c r="BR19" s="116"/>
      <c r="BS19" s="474"/>
      <c r="BT19" s="115"/>
      <c r="BU19" s="116"/>
      <c r="BV19" s="474"/>
      <c r="BW19" s="115"/>
      <c r="BX19" s="116"/>
      <c r="BY19" s="474"/>
      <c r="BZ19" s="115"/>
      <c r="CA19" s="116"/>
      <c r="CB19" s="474"/>
      <c r="CC19" s="115"/>
      <c r="CD19" s="116"/>
      <c r="CE19" s="474"/>
      <c r="CF19" s="115"/>
      <c r="CG19" s="116"/>
      <c r="CH19" s="474"/>
      <c r="CI19" s="117"/>
      <c r="CJ19" s="140">
        <v>2</v>
      </c>
      <c r="CK19" s="148">
        <v>2</v>
      </c>
      <c r="CL19" s="148"/>
      <c r="CM19" s="148"/>
      <c r="CN19" s="148">
        <f t="shared" si="48"/>
        <v>4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23"/>
        <v>0</v>
      </c>
      <c r="DV19" s="13" t="str">
        <f t="shared" si="60"/>
        <v>0</v>
      </c>
      <c r="DW19" s="14" t="str">
        <f t="shared" si="24"/>
        <v>0</v>
      </c>
      <c r="DX19" s="14">
        <f t="shared" si="25"/>
        <v>0</v>
      </c>
      <c r="DY19" s="14" t="str">
        <f t="shared" si="61"/>
        <v>0</v>
      </c>
      <c r="DZ19" s="15">
        <f t="shared" si="26"/>
        <v>14.364000000000001</v>
      </c>
      <c r="EA19" s="14">
        <f t="shared" si="62"/>
        <v>0</v>
      </c>
      <c r="EB19" s="14">
        <f t="shared" si="27"/>
        <v>1</v>
      </c>
      <c r="EC19" s="14">
        <f t="shared" si="28"/>
        <v>0.36456852791878175</v>
      </c>
      <c r="ED19" s="14">
        <f t="shared" si="63"/>
        <v>0</v>
      </c>
      <c r="EE19" s="19">
        <f t="shared" si="64"/>
        <v>0</v>
      </c>
      <c r="EF19" s="67" t="str">
        <f t="shared" si="65"/>
        <v>0</v>
      </c>
      <c r="EG19" s="74">
        <f t="shared" si="66"/>
        <v>0</v>
      </c>
      <c r="EH19" s="27">
        <f t="shared" si="67"/>
        <v>0</v>
      </c>
      <c r="EI19" s="25" t="str">
        <f t="shared" si="68"/>
        <v>0</v>
      </c>
      <c r="EJ19" s="25">
        <f t="shared" si="69"/>
        <v>0</v>
      </c>
      <c r="EK19" s="26">
        <f t="shared" si="29"/>
        <v>0</v>
      </c>
      <c r="EL19" s="29" t="str">
        <f t="shared" si="70"/>
        <v>0</v>
      </c>
      <c r="EM19" s="30">
        <f t="shared" si="30"/>
        <v>0</v>
      </c>
      <c r="EN19" s="30" t="str">
        <f t="shared" si="31"/>
        <v>0</v>
      </c>
      <c r="EO19" s="31">
        <f t="shared" si="71"/>
        <v>2</v>
      </c>
      <c r="EP19" s="31" t="str">
        <f t="shared" si="32"/>
        <v>0</v>
      </c>
      <c r="EQ19" s="31">
        <f t="shared" si="72"/>
        <v>2</v>
      </c>
      <c r="ER19" s="93" t="str">
        <f t="shared" si="33"/>
        <v>0</v>
      </c>
      <c r="ES19" s="109">
        <f t="shared" si="34"/>
        <v>0</v>
      </c>
      <c r="ET19" s="32" t="str">
        <f t="shared" si="35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2</v>
      </c>
      <c r="FT19" s="140">
        <f t="shared" si="39"/>
        <v>2</v>
      </c>
      <c r="FU19" s="140">
        <f t="shared" si="40"/>
        <v>4</v>
      </c>
      <c r="FV19" s="175"/>
      <c r="FW19" s="140"/>
      <c r="FX19" s="140"/>
      <c r="FY19" s="140"/>
      <c r="FZ19" s="140"/>
      <c r="GA19" s="140">
        <f t="shared" si="40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79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75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48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23"/>
        <v>0</v>
      </c>
      <c r="DV20" s="13" t="str">
        <f t="shared" si="60"/>
        <v>0</v>
      </c>
      <c r="DW20" s="14" t="str">
        <f t="shared" si="24"/>
        <v>0</v>
      </c>
      <c r="DX20" s="14">
        <f t="shared" si="25"/>
        <v>0</v>
      </c>
      <c r="DY20" s="14" t="str">
        <f t="shared" si="61"/>
        <v>0</v>
      </c>
      <c r="DZ20" s="15">
        <f t="shared" si="26"/>
        <v>20.344000000000001</v>
      </c>
      <c r="EA20" s="14">
        <f t="shared" si="62"/>
        <v>0</v>
      </c>
      <c r="EB20" s="14">
        <f t="shared" si="27"/>
        <v>1</v>
      </c>
      <c r="EC20" s="14">
        <f t="shared" si="28"/>
        <v>0.46660550458715599</v>
      </c>
      <c r="ED20" s="14">
        <f t="shared" si="63"/>
        <v>0</v>
      </c>
      <c r="EE20" s="19">
        <f t="shared" si="64"/>
        <v>0</v>
      </c>
      <c r="EF20" s="67" t="str">
        <f t="shared" si="65"/>
        <v>0</v>
      </c>
      <c r="EG20" s="74">
        <f t="shared" si="66"/>
        <v>0</v>
      </c>
      <c r="EH20" s="27">
        <f t="shared" si="67"/>
        <v>0</v>
      </c>
      <c r="EI20" s="25" t="str">
        <f t="shared" si="68"/>
        <v>0</v>
      </c>
      <c r="EJ20" s="25">
        <f t="shared" si="69"/>
        <v>0</v>
      </c>
      <c r="EK20" s="26">
        <f t="shared" si="29"/>
        <v>0</v>
      </c>
      <c r="EL20" s="29" t="str">
        <f t="shared" si="70"/>
        <v>0</v>
      </c>
      <c r="EM20" s="30">
        <f t="shared" si="30"/>
        <v>0</v>
      </c>
      <c r="EN20" s="30" t="str">
        <f t="shared" si="31"/>
        <v>0</v>
      </c>
      <c r="EO20" s="31">
        <f t="shared" si="71"/>
        <v>0</v>
      </c>
      <c r="EP20" s="31" t="str">
        <f t="shared" si="32"/>
        <v>0</v>
      </c>
      <c r="EQ20" s="31">
        <f t="shared" si="72"/>
        <v>0</v>
      </c>
      <c r="ER20" s="93" t="str">
        <f t="shared" si="33"/>
        <v>0</v>
      </c>
      <c r="ES20" s="109">
        <f t="shared" si="34"/>
        <v>0</v>
      </c>
      <c r="ET20" s="32" t="str">
        <f t="shared" si="35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0</v>
      </c>
      <c r="FT20" s="140">
        <f t="shared" si="39"/>
        <v>0</v>
      </c>
      <c r="FU20" s="140">
        <f t="shared" ref="FU20:FZ23" si="82">CN20</f>
        <v>0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130.67999999999998</v>
      </c>
      <c r="E21" s="163">
        <f>IFERROR(SUM(E4:E20),"0")</f>
        <v>31</v>
      </c>
      <c r="F21" s="118" t="s">
        <v>52</v>
      </c>
      <c r="G21" s="145">
        <f>IFERROR(SUM(G4:G20),"0")</f>
        <v>64</v>
      </c>
      <c r="H21" s="143" t="s">
        <v>53</v>
      </c>
      <c r="I21" s="230">
        <f>IFERROR(SUM(I4:I20),"0")</f>
        <v>23</v>
      </c>
      <c r="J21" s="145" t="s">
        <v>54</v>
      </c>
      <c r="K21" s="143">
        <f>IFERROR(SUM(K4:K20),"0")</f>
        <v>8</v>
      </c>
      <c r="L21" s="118" t="s">
        <v>52</v>
      </c>
      <c r="M21" s="145">
        <f>IFERROR(SUM(M4:M20),"0")</f>
        <v>19</v>
      </c>
      <c r="N21" s="143" t="s">
        <v>53</v>
      </c>
      <c r="O21" s="118">
        <f>IFERROR(SUM(O4:O20),"0")</f>
        <v>5</v>
      </c>
      <c r="P21" s="145" t="s">
        <v>54</v>
      </c>
      <c r="Q21" s="111">
        <f>IFERROR(SUM(Q4:Q20),"0")</f>
        <v>4</v>
      </c>
      <c r="R21" s="118" t="s">
        <v>52</v>
      </c>
      <c r="S21" s="145">
        <f>IFERROR(SUM(S4:S20),"0")</f>
        <v>10</v>
      </c>
      <c r="T21" s="143" t="s">
        <v>53</v>
      </c>
      <c r="U21" s="118">
        <f>IFERROR(SUM(U4:U20),"0")</f>
        <v>1</v>
      </c>
      <c r="V21" s="145" t="s">
        <v>54</v>
      </c>
      <c r="W21" s="143">
        <f>IFERROR(SUM(W4:W18),"0")</f>
        <v>19</v>
      </c>
      <c r="X21" s="118" t="s">
        <v>52</v>
      </c>
      <c r="Y21" s="145">
        <f>IFERROR(SUM(Y4:Y18),"0")</f>
        <v>35</v>
      </c>
      <c r="Z21" s="143" t="s">
        <v>53</v>
      </c>
      <c r="AA21" s="118">
        <f>IFERROR(SUM(AA4:AA18),"0")</f>
        <v>17</v>
      </c>
      <c r="AB21" s="111" t="s">
        <v>54</v>
      </c>
      <c r="AC21" s="143">
        <f>IFERROR(SUM(AC4:AC18),"0")</f>
        <v>7.3</v>
      </c>
      <c r="AD21" s="118" t="s">
        <v>52</v>
      </c>
      <c r="AE21" s="146">
        <f>IFERROR(SUM(AE4:AE18),"0")</f>
        <v>10</v>
      </c>
      <c r="AF21" s="129"/>
      <c r="AG21" s="144">
        <f>IFERROR(SUM(AG4:AG18),"0")</f>
        <v>27</v>
      </c>
      <c r="AH21" s="118" t="s">
        <v>52</v>
      </c>
      <c r="AI21" s="145">
        <f>IFERROR(SUM(AI4:AI18),"0")</f>
        <v>58</v>
      </c>
      <c r="AJ21" s="143" t="s">
        <v>53</v>
      </c>
      <c r="AK21" s="111">
        <f>IFERROR(SUM(AK4:AK18),"0")</f>
        <v>19</v>
      </c>
      <c r="AL21" s="145" t="s">
        <v>54</v>
      </c>
      <c r="AM21" s="143">
        <f>IFERROR(SUM(AM4:AM18),"0")</f>
        <v>7</v>
      </c>
      <c r="AN21" s="118" t="s">
        <v>52</v>
      </c>
      <c r="AO21" s="145">
        <f>IFERROR(SUM(AO4:AO18),"0")</f>
        <v>17</v>
      </c>
      <c r="AP21" s="143" t="s">
        <v>53</v>
      </c>
      <c r="AQ21" s="111">
        <f>IFERROR(SUM(AQ4:AQ18),"0")</f>
        <v>4</v>
      </c>
      <c r="AR21" s="111" t="s">
        <v>54</v>
      </c>
      <c r="AS21" s="143">
        <f>IFERROR(SUM(AS4:AS18),"0")</f>
        <v>4</v>
      </c>
      <c r="AT21" s="118" t="s">
        <v>52</v>
      </c>
      <c r="AU21" s="145">
        <f>IFERROR(SUM(AU4:AU18),"0")</f>
        <v>10</v>
      </c>
      <c r="AV21" s="143" t="s">
        <v>53</v>
      </c>
      <c r="AW21" s="111">
        <f>IFERROR(SUM(AW4:AW18),"0")</f>
        <v>1</v>
      </c>
      <c r="AX21" s="111" t="s">
        <v>54</v>
      </c>
      <c r="AY21" s="111">
        <f>IFERROR(SUM(AY4:AY18),"0")</f>
        <v>16</v>
      </c>
      <c r="AZ21" s="118" t="s">
        <v>52</v>
      </c>
      <c r="BA21" s="145">
        <f>IFERROR(SUM(BA4:BA18),"0")</f>
        <v>31</v>
      </c>
      <c r="BB21" s="143" t="s">
        <v>53</v>
      </c>
      <c r="BC21" s="118">
        <f>IFERROR(SUM(BC4:BC18),"0")</f>
        <v>14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4</v>
      </c>
      <c r="BJ21" s="118" t="s">
        <v>52</v>
      </c>
      <c r="BK21" s="145">
        <f>IFERROR(SUM(BK4:BK18),"0")</f>
        <v>6</v>
      </c>
      <c r="BL21" s="143" t="s">
        <v>53</v>
      </c>
      <c r="BM21" s="118">
        <f>IFERROR(SUM(BM4:BM18),"0")</f>
        <v>4</v>
      </c>
      <c r="BN21" s="145" t="s">
        <v>54</v>
      </c>
      <c r="BO21" s="143">
        <f>IFERROR(SUM(BO4:BO18),"0")</f>
        <v>1</v>
      </c>
      <c r="BP21" s="118" t="s">
        <v>52</v>
      </c>
      <c r="BQ21" s="145">
        <f>IFERROR(SUM(BQ4:BQ18),"0")</f>
        <v>2</v>
      </c>
      <c r="BR21" s="143" t="s">
        <v>53</v>
      </c>
      <c r="BS21" s="118">
        <f>IFERROR(SUM(BS4:BS18),"0")</f>
        <v>1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3</v>
      </c>
      <c r="CB21" s="118" t="s">
        <v>52</v>
      </c>
      <c r="CC21" s="145">
        <f>IFERROR(SUM(CC4:CC18),"0")</f>
        <v>4</v>
      </c>
      <c r="CD21" s="143" t="s">
        <v>53</v>
      </c>
      <c r="CE21" s="118">
        <f>IFERROR(SUM(CE4:CE18),"0")</f>
        <v>3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3</v>
      </c>
      <c r="CK21" s="129">
        <f>IFERROR(SUM(CK4:CK20),"0")</f>
        <v>30</v>
      </c>
      <c r="CL21" s="129">
        <f>IFERROR(SUM(CL4:CL20),"0")</f>
        <v>11</v>
      </c>
      <c r="CM21" s="129">
        <f t="shared" ref="CM21" si="85">IFERROR(SUM(CM4:CM20),"0")</f>
        <v>17</v>
      </c>
      <c r="CN21" s="129">
        <f t="shared" si="84"/>
        <v>33</v>
      </c>
      <c r="CO21" s="438">
        <f t="shared" si="84"/>
        <v>23</v>
      </c>
      <c r="CP21" s="11">
        <f t="shared" si="84"/>
        <v>20</v>
      </c>
      <c r="CQ21" s="356">
        <f t="shared" si="84"/>
        <v>10</v>
      </c>
      <c r="CR21" s="158">
        <f t="shared" si="84"/>
        <v>10</v>
      </c>
      <c r="CS21" s="129">
        <f t="shared" si="84"/>
        <v>9</v>
      </c>
      <c r="CT21" s="129">
        <f t="shared" si="84"/>
        <v>15</v>
      </c>
      <c r="CU21" s="129">
        <f t="shared" si="84"/>
        <v>7</v>
      </c>
      <c r="CV21" s="209">
        <f t="shared" si="84"/>
        <v>88.3</v>
      </c>
      <c r="CW21" s="11"/>
      <c r="CX21" s="150">
        <f>DG21</f>
        <v>0.6328125</v>
      </c>
      <c r="CY21" s="151">
        <f>DN21</f>
        <v>0.19397078394174111</v>
      </c>
      <c r="CZ21" s="151">
        <f>DH21</f>
        <v>9.0909090909090912E-2</v>
      </c>
      <c r="DA21" s="156">
        <f>FA21</f>
        <v>0.15625</v>
      </c>
      <c r="DB21" s="149" t="s">
        <v>219</v>
      </c>
      <c r="DC21" s="123"/>
      <c r="DD21" s="34"/>
      <c r="DE21" s="34"/>
      <c r="DF21" s="35"/>
      <c r="DG21" s="37">
        <f>IFERROR(((E21-W21)+1.5*W21)/G21,"0")</f>
        <v>0.6328125</v>
      </c>
      <c r="DH21" s="37">
        <f>IFERROR(CJ21/(CJ21+CK21),"0")</f>
        <v>9.0909090909090912E-2</v>
      </c>
      <c r="DI21" s="34"/>
      <c r="DJ21" s="35"/>
      <c r="DK21" s="35"/>
      <c r="DL21" s="35"/>
      <c r="DM21" s="35"/>
      <c r="DN21" s="37">
        <f>IFERROR(CT21/EG21,"0")</f>
        <v>0.19397078394174111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IFERROR(SUM(EG4:EG18),"0")</f>
        <v>77.331233576419592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7.3</v>
      </c>
      <c r="EY21" s="6">
        <f>IFERROR(SUM(EY4:EY18),"0")</f>
        <v>10</v>
      </c>
      <c r="EZ21" s="6">
        <f>IFERROR(E21+(1-(1-(EX21/EY21))^2)*EY21*0.4,"0")</f>
        <v>34.708399999999997</v>
      </c>
      <c r="FA21" s="6">
        <f>IFERROR(EY21/G21,"0")</f>
        <v>0.15625</v>
      </c>
      <c r="FC21" s="234"/>
      <c r="FD21" s="235"/>
      <c r="FE21" s="236" t="s">
        <v>219</v>
      </c>
      <c r="FF21" s="237">
        <f t="shared" ref="FF21:FG23" si="86">D21</f>
        <v>130.67999999999998</v>
      </c>
      <c r="FG21" s="206">
        <f t="shared" si="86"/>
        <v>31</v>
      </c>
      <c r="FH21" s="238" t="s">
        <v>52</v>
      </c>
      <c r="FI21" s="210">
        <f t="shared" si="74"/>
        <v>64</v>
      </c>
      <c r="FJ21" s="239">
        <f t="shared" si="75"/>
        <v>0.484375</v>
      </c>
      <c r="FK21" s="234">
        <f>W21</f>
        <v>19</v>
      </c>
      <c r="FL21" s="238" t="s">
        <v>52</v>
      </c>
      <c r="FM21" s="240">
        <f>Y21</f>
        <v>35</v>
      </c>
      <c r="FN21" s="239">
        <f t="shared" si="76"/>
        <v>0.54285714285714282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9"/>
        <v>0</v>
      </c>
      <c r="FS21" s="235">
        <f t="shared" si="39"/>
        <v>3</v>
      </c>
      <c r="FT21" s="235">
        <f t="shared" si="39"/>
        <v>30</v>
      </c>
      <c r="FU21" s="235">
        <f t="shared" si="82"/>
        <v>33</v>
      </c>
      <c r="FV21" s="241">
        <f t="shared" si="82"/>
        <v>23</v>
      </c>
      <c r="FW21" s="235">
        <f t="shared" si="82"/>
        <v>20</v>
      </c>
      <c r="FX21" s="235">
        <f t="shared" si="82"/>
        <v>10</v>
      </c>
      <c r="FY21" s="235">
        <f t="shared" si="82"/>
        <v>10</v>
      </c>
      <c r="FZ21" s="235">
        <f t="shared" si="82"/>
        <v>9</v>
      </c>
      <c r="GA21" s="235">
        <f t="shared" si="83"/>
        <v>15</v>
      </c>
      <c r="GB21" s="235">
        <f t="shared" si="83"/>
        <v>7</v>
      </c>
      <c r="GC21" s="241">
        <f t="shared" si="83"/>
        <v>88.3</v>
      </c>
      <c r="GD21" s="204">
        <f t="shared" ref="GD21:GG23" si="87">CX21</f>
        <v>0.6328125</v>
      </c>
      <c r="GE21" s="205">
        <f t="shared" si="87"/>
        <v>0.19397078394174111</v>
      </c>
      <c r="GF21" s="205">
        <f t="shared" si="87"/>
        <v>9.0909090909090912E-2</v>
      </c>
      <c r="GG21" s="152">
        <f t="shared" si="87"/>
        <v>0.15625</v>
      </c>
      <c r="GH21" s="242"/>
      <c r="GO21" s="479"/>
    </row>
    <row r="22" spans="1:197" x14ac:dyDescent="0.2">
      <c r="A22" s="139"/>
      <c r="B22" s="139"/>
      <c r="C22" s="432" t="s">
        <v>116</v>
      </c>
      <c r="D22" s="121">
        <f>IFERROR(SUMIFS(D4:D20,B4:B20,"R"),"0")</f>
        <v>65.34</v>
      </c>
      <c r="E22" s="162">
        <f>IFERROR(SUMIFS(E4:E20,B4:B20,"R"),"0")</f>
        <v>17</v>
      </c>
      <c r="F22" s="143" t="s">
        <v>52</v>
      </c>
      <c r="G22" s="145">
        <f>IFERROR(SUMIFS(G4:G20,B4:B20,"R"),"0")</f>
        <v>32</v>
      </c>
      <c r="H22" s="143" t="s">
        <v>53</v>
      </c>
      <c r="I22" s="118">
        <f>IFERROR(SUMIFS(I4:I20,B4:B20,"R"),"0")</f>
        <v>13</v>
      </c>
      <c r="J22" s="145" t="s">
        <v>54</v>
      </c>
      <c r="K22" s="143">
        <f>IFERROR(SUMIFS(K4:K20,B4:B20,"R"),"0")</f>
        <v>3</v>
      </c>
      <c r="L22" s="143" t="s">
        <v>52</v>
      </c>
      <c r="M22" s="145">
        <f>IFERROR(SUMIFS(M4:M20,B4:B20,"R"),"0")</f>
        <v>8</v>
      </c>
      <c r="N22" s="143" t="s">
        <v>53</v>
      </c>
      <c r="O22" s="118">
        <f>IFERROR(SUMIFS(O4:O20,B4:B20,"R"),"0")</f>
        <v>1</v>
      </c>
      <c r="P22" s="145" t="s">
        <v>54</v>
      </c>
      <c r="Q22" s="111">
        <f>IFERROR(SUMIFS(Q4:Q20,B4:B20,"R"),"0")</f>
        <v>2</v>
      </c>
      <c r="R22" s="143" t="s">
        <v>52</v>
      </c>
      <c r="S22" s="145">
        <f>IFERROR(SUMIFS(S4:S20,B4:B20,"R"),"0")</f>
        <v>5</v>
      </c>
      <c r="T22" s="143" t="s">
        <v>53</v>
      </c>
      <c r="U22" s="118">
        <f>IFERROR(SUMIFS(U4:U20,B4:B20,"R"),"0")</f>
        <v>1</v>
      </c>
      <c r="V22" s="145" t="s">
        <v>54</v>
      </c>
      <c r="W22" s="143">
        <f>IFERROR(SUMIFS(W4:W20,B4:B20,"R"),"0")</f>
        <v>12</v>
      </c>
      <c r="X22" s="143" t="s">
        <v>52</v>
      </c>
      <c r="Y22" s="145">
        <f>IFERROR(SUMIFS(Y4:Y20,B4:B20,"R"),"0")</f>
        <v>19</v>
      </c>
      <c r="Z22" s="143" t="s">
        <v>53</v>
      </c>
      <c r="AA22" s="118">
        <f>IFERROR(SUMIFS(AA4:AA20,B4:B20,"R"),"0")</f>
        <v>11</v>
      </c>
      <c r="AB22" s="111" t="s">
        <v>54</v>
      </c>
      <c r="AC22" s="143">
        <f>IFERROR(SUMIFS(AC4:AC20,B4:B20,"R"),"0")</f>
        <v>6.6</v>
      </c>
      <c r="AD22" s="143" t="s">
        <v>52</v>
      </c>
      <c r="AE22" s="146">
        <f>IFERROR(SUMIFS(AE4:AE20,B4:B20,"R"),"0")</f>
        <v>9</v>
      </c>
      <c r="AF22" s="143"/>
      <c r="AG22" s="144">
        <f>IFERROR(SUMIFS(AG4:AG20,B4:B20,"R"),"0")</f>
        <v>16</v>
      </c>
      <c r="AH22" s="143" t="s">
        <v>52</v>
      </c>
      <c r="AI22" s="145">
        <f>IFERROR(SUMIFS(AI4:AI20,B4:B20,"R"),"0")</f>
        <v>29</v>
      </c>
      <c r="AJ22" s="143" t="s">
        <v>53</v>
      </c>
      <c r="AK22" s="111">
        <f>IFERROR(SUMIFS(AK4:AK20,B4:B20,"R"),"0")</f>
        <v>12</v>
      </c>
      <c r="AL22" s="145" t="s">
        <v>54</v>
      </c>
      <c r="AM22" s="143">
        <f>IFERROR(SUMIFS(AM4:AM20,B4:B20,"R"),"0")</f>
        <v>3</v>
      </c>
      <c r="AN22" s="143" t="s">
        <v>52</v>
      </c>
      <c r="AO22" s="145">
        <f>IFERROR(SUMIFS(AO4:AO20,B4:B20,"R"),"0")</f>
        <v>7</v>
      </c>
      <c r="AP22" s="143" t="s">
        <v>53</v>
      </c>
      <c r="AQ22" s="111">
        <f>IFERROR(SUMIFS(AQ4:AQ20,B4:B20,"R"),"0")</f>
        <v>1</v>
      </c>
      <c r="AR22" s="111" t="s">
        <v>54</v>
      </c>
      <c r="AS22" s="143">
        <f>IFERROR(SUMIFS(AS4:AS20,B4:B20,"R"),"0")</f>
        <v>2</v>
      </c>
      <c r="AT22" s="143" t="s">
        <v>52</v>
      </c>
      <c r="AU22" s="145">
        <f>IFERROR(SUMIFS(AU4:AU20,B4:B20,"R"),"0")</f>
        <v>5</v>
      </c>
      <c r="AV22" s="143" t="s">
        <v>53</v>
      </c>
      <c r="AW22" s="111">
        <f>IFERROR(SUMIFS(AW4:AW20,B4:B20,"R"),"0")</f>
        <v>1</v>
      </c>
      <c r="AX22" s="111" t="s">
        <v>54</v>
      </c>
      <c r="AY22" s="111">
        <f>IFERROR(SUMIFS(AY4:AY20,B4:B20,"R"),"0")</f>
        <v>11</v>
      </c>
      <c r="AZ22" s="143" t="s">
        <v>52</v>
      </c>
      <c r="BA22" s="145">
        <f>IFERROR(SUMIFS(BA4:BA20,B4:B20,"R"),"0")</f>
        <v>17</v>
      </c>
      <c r="BB22" s="143" t="s">
        <v>53</v>
      </c>
      <c r="BC22" s="118">
        <f>IFERROR(SUMIFS(BC4:BC20,B4:B20,"R"),"0")</f>
        <v>10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1</v>
      </c>
      <c r="BJ22" s="143" t="s">
        <v>52</v>
      </c>
      <c r="BK22" s="145">
        <f>IFERROR(SUMIFS(BK4:BK20,B4:B20,"R"),"0")</f>
        <v>3</v>
      </c>
      <c r="BL22" s="143" t="s">
        <v>53</v>
      </c>
      <c r="BM22" s="118">
        <f>IFERROR(SUMIFS(BM4:BM20,B4:B20,"R"),"0")</f>
        <v>1</v>
      </c>
      <c r="BN22" s="145" t="s">
        <v>54</v>
      </c>
      <c r="BO22" s="143">
        <f>IFERROR(SUMIFS(BO4:BO20,B4:B20,"R"),"0")</f>
        <v>0</v>
      </c>
      <c r="BP22" s="143" t="s">
        <v>52</v>
      </c>
      <c r="BQ22" s="145">
        <f>IFERROR(SUMIFS(BQ4:BQ20,B4:B20,"R"),"0")</f>
        <v>1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1</v>
      </c>
      <c r="CB22" s="143" t="s">
        <v>52</v>
      </c>
      <c r="CC22" s="145">
        <f>IFERROR(SUMIFS(CC4:CC20,B4:B20,"R"),"0")</f>
        <v>2</v>
      </c>
      <c r="CD22" s="143" t="s">
        <v>53</v>
      </c>
      <c r="CE22" s="118">
        <f>IFERROR(SUMIFS(CE4:CE20,B4:B20,"R"),"0")</f>
        <v>1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2</v>
      </c>
      <c r="CK22" s="118">
        <f>IFERROR(SUMIFS(CK4:CK20,B4:B20,"R"),"0")</f>
        <v>17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19</v>
      </c>
      <c r="CO22" s="175">
        <f>IFERROR(SUMIFS(CO4:CO20,B4:B20,"R"),"0")</f>
        <v>13</v>
      </c>
      <c r="CP22" s="118">
        <f>IFERROR(SUMIFS(CP4:CP20,B4:B20,"R"),"0")</f>
        <v>13</v>
      </c>
      <c r="CQ22" s="175">
        <f>IFERROR(SUMIFS(CQ4:CQ20,B4:B20,"R"),"0")</f>
        <v>1</v>
      </c>
      <c r="CR22" s="118">
        <f>IFERROR(SUMIFS(CR4:CR20,B4:B20,"R"),"0")</f>
        <v>9</v>
      </c>
      <c r="CS22" s="118">
        <f>IFERROR(SUMIFS(CS4:CS20,B4:B20,"R"),"0")</f>
        <v>4</v>
      </c>
      <c r="CT22" s="118">
        <f>IFERROR(SUMIFS(CT4:CT20,B4:B20,"R"),"0")</f>
        <v>8</v>
      </c>
      <c r="CU22" s="118">
        <f>IFERROR(SUMIFS(CU4:CU20,B4:B20,"R"),"0")</f>
        <v>4</v>
      </c>
      <c r="CV22" s="119">
        <f>IFERROR(SUMIFS(CV4:CV20,B4:B20,"R"),"0")</f>
        <v>52.6</v>
      </c>
      <c r="CW22" s="118"/>
      <c r="CX22" s="134">
        <f>DG22</f>
        <v>0.71875</v>
      </c>
      <c r="CY22" s="121">
        <f>DN22</f>
        <v>0.20292164465039841</v>
      </c>
      <c r="CZ22" s="121">
        <f>DH22</f>
        <v>0.13333333333333333</v>
      </c>
      <c r="DA22" s="135">
        <f>FA22</f>
        <v>0.28125</v>
      </c>
      <c r="DB22" s="433" t="s">
        <v>231</v>
      </c>
      <c r="DC22" s="116"/>
      <c r="DD22" s="34"/>
      <c r="DE22" s="34"/>
      <c r="DF22" s="35"/>
      <c r="DG22" s="37">
        <f>IFERROR(((E22-W22)+1.5*W22)/G22,"0")</f>
        <v>0.71875</v>
      </c>
      <c r="DH22" s="37">
        <f>IFERROR(CJ22/(CJ22+CK23),"0")</f>
        <v>0.13333333333333333</v>
      </c>
      <c r="DI22" s="34"/>
      <c r="DJ22" s="35"/>
      <c r="DK22" s="35"/>
      <c r="DL22" s="35"/>
      <c r="DM22" s="35"/>
      <c r="DN22" s="37">
        <f>IFERROR(CT22/EG22,"0")</f>
        <v>0.20292164465039841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39.424084176839401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6.6</v>
      </c>
      <c r="EY22" s="6">
        <f>IFERROR(SUMIFS(EY4:EY20,B4:B20,"R"),"0")</f>
        <v>9</v>
      </c>
      <c r="EZ22" s="6">
        <f>IFERROR(E22+(1-(1-(EX22/EY22))^2)*EY22*0.4,"0")</f>
        <v>20.344000000000001</v>
      </c>
      <c r="FA22" s="6">
        <f>IFERROR(EY22/G22,"0")</f>
        <v>0.28125</v>
      </c>
      <c r="FC22" s="139"/>
      <c r="FD22" s="139"/>
      <c r="FE22" s="437" t="s">
        <v>232</v>
      </c>
      <c r="FF22" s="121">
        <f t="shared" si="86"/>
        <v>65.34</v>
      </c>
      <c r="FG22" s="144">
        <f t="shared" si="86"/>
        <v>17</v>
      </c>
      <c r="FH22" s="474" t="s">
        <v>52</v>
      </c>
      <c r="FI22" s="145">
        <f t="shared" si="74"/>
        <v>32</v>
      </c>
      <c r="FJ22" s="194">
        <f t="shared" si="75"/>
        <v>0.53125</v>
      </c>
      <c r="FK22" s="110">
        <f>W22</f>
        <v>12</v>
      </c>
      <c r="FL22" s="474" t="s">
        <v>52</v>
      </c>
      <c r="FM22" s="168">
        <f>Y22</f>
        <v>19</v>
      </c>
      <c r="FN22" s="194">
        <f t="shared" si="76"/>
        <v>0.63157894736842102</v>
      </c>
      <c r="FO22" s="110">
        <f>IFERROR(SUMIFS(FO4:FO20,B4:B20,"R"),"0")</f>
        <v>0</v>
      </c>
      <c r="FP22" s="474" t="s">
        <v>52</v>
      </c>
      <c r="FQ22" s="131">
        <f>IFERROR(SUMIFS(FQ4:FQ20,B4:B20,"R"),"0")</f>
        <v>0</v>
      </c>
      <c r="FR22" s="197" t="str">
        <f t="shared" si="79"/>
        <v>0</v>
      </c>
      <c r="FS22" s="118">
        <f t="shared" si="39"/>
        <v>2</v>
      </c>
      <c r="FT22" s="118">
        <f t="shared" si="39"/>
        <v>17</v>
      </c>
      <c r="FU22" s="118">
        <f t="shared" si="82"/>
        <v>19</v>
      </c>
      <c r="FV22" s="175">
        <f t="shared" si="82"/>
        <v>13</v>
      </c>
      <c r="FW22" s="118">
        <f t="shared" si="82"/>
        <v>13</v>
      </c>
      <c r="FX22" s="118">
        <f t="shared" si="82"/>
        <v>1</v>
      </c>
      <c r="FY22" s="118">
        <f t="shared" si="82"/>
        <v>9</v>
      </c>
      <c r="FZ22" s="118">
        <f t="shared" si="82"/>
        <v>4</v>
      </c>
      <c r="GA22" s="118">
        <f t="shared" si="83"/>
        <v>8</v>
      </c>
      <c r="GB22" s="118">
        <f t="shared" si="83"/>
        <v>4</v>
      </c>
      <c r="GC22" s="175">
        <f t="shared" si="83"/>
        <v>52.6</v>
      </c>
      <c r="GD22" s="134">
        <f t="shared" si="87"/>
        <v>0.71875</v>
      </c>
      <c r="GE22" s="121">
        <f t="shared" si="87"/>
        <v>0.20292164465039841</v>
      </c>
      <c r="GF22" s="121">
        <f t="shared" si="87"/>
        <v>0.13333333333333333</v>
      </c>
      <c r="GG22" s="135">
        <f t="shared" si="87"/>
        <v>0.28125</v>
      </c>
      <c r="GH22" s="208"/>
      <c r="GO22" s="479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65.34</v>
      </c>
      <c r="E23" s="162">
        <f>IFERROR(SUMIFS(E4:E20,B4:B20,"W"),"0")</f>
        <v>14</v>
      </c>
      <c r="F23" s="143" t="s">
        <v>52</v>
      </c>
      <c r="G23" s="145">
        <f>IFERROR(SUMIFS(G4:G20,B4:B20,"W"),"0")</f>
        <v>32</v>
      </c>
      <c r="H23" s="143" t="s">
        <v>53</v>
      </c>
      <c r="I23" s="118">
        <f>IFERROR(SUMIFS(I4:I20,B4:B20,"W"),"0")</f>
        <v>10</v>
      </c>
      <c r="J23" s="145" t="s">
        <v>54</v>
      </c>
      <c r="K23" s="143">
        <f>IFERROR(SUMIFS(K4:K20,B4:B20,"W"),"0")</f>
        <v>5</v>
      </c>
      <c r="L23" s="143" t="s">
        <v>52</v>
      </c>
      <c r="M23" s="145">
        <f>IFERROR(SUMIFS(M4:M20,B4:B20,"W"),"0")</f>
        <v>11</v>
      </c>
      <c r="N23" s="143" t="s">
        <v>53</v>
      </c>
      <c r="O23" s="118">
        <f>IFERROR(SUMIFS(O4:O20,B4:B20,"W"),"0")</f>
        <v>4</v>
      </c>
      <c r="P23" s="145" t="s">
        <v>54</v>
      </c>
      <c r="Q23" s="111">
        <f>IFERROR(SUMIFS(Q4:Q20,B4:B20,"W"),"0")</f>
        <v>2</v>
      </c>
      <c r="R23" s="143" t="s">
        <v>52</v>
      </c>
      <c r="S23" s="145">
        <f>IFERROR(SUMIFS(S4:S20,B4:B20,"W"),"0")</f>
        <v>5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7</v>
      </c>
      <c r="X23" s="143" t="s">
        <v>52</v>
      </c>
      <c r="Y23" s="145">
        <f>IFERROR(SUMIFS(Y4:Y20,B4:B20,"W"),"0")</f>
        <v>16</v>
      </c>
      <c r="Z23" s="143" t="s">
        <v>53</v>
      </c>
      <c r="AA23" s="118">
        <f>IFERROR(SUMIFS(AA4:AA20,B4:B20,"W"),"0")</f>
        <v>6</v>
      </c>
      <c r="AB23" s="111" t="s">
        <v>54</v>
      </c>
      <c r="AC23" s="143">
        <f>IFERROR(SUMIFS(AC4:AC20,B4:B20,"W"),"0")</f>
        <v>0.7</v>
      </c>
      <c r="AD23" s="143" t="s">
        <v>52</v>
      </c>
      <c r="AE23" s="146">
        <f>IFERROR(SUMIFS(AE4:AE20,B4:B20,"W"),"0")</f>
        <v>1</v>
      </c>
      <c r="AF23" s="143"/>
      <c r="AG23" s="144">
        <f>IFERROR(SUMIFS(AG4:AG20,B4:B20,"W"),"0")</f>
        <v>11</v>
      </c>
      <c r="AH23" s="143" t="s">
        <v>52</v>
      </c>
      <c r="AI23" s="145">
        <f>IFERROR(SUMIFS(AI4:AI20,B4:B20,"W"),"0")</f>
        <v>29</v>
      </c>
      <c r="AJ23" s="143" t="s">
        <v>53</v>
      </c>
      <c r="AK23" s="111">
        <f>IFERROR(SUMIFS(AK4:AK20,B4:B20,"W"),"0")</f>
        <v>7</v>
      </c>
      <c r="AL23" s="145" t="s">
        <v>54</v>
      </c>
      <c r="AM23" s="143">
        <f>IFERROR(SUMIFS(AM4:AM20,B4:B20,"W"),"0")</f>
        <v>4</v>
      </c>
      <c r="AN23" s="143" t="s">
        <v>52</v>
      </c>
      <c r="AO23" s="145">
        <f>IFERROR(SUMIFS(AO4:AO20,B4:B20,"W"),"0")</f>
        <v>10</v>
      </c>
      <c r="AP23" s="143" t="s">
        <v>53</v>
      </c>
      <c r="AQ23" s="111">
        <f>IFERROR(SUMIFS(AQ4:AQ20,B4:B20,"W"),"0")</f>
        <v>3</v>
      </c>
      <c r="AR23" s="111" t="s">
        <v>54</v>
      </c>
      <c r="AS23" s="143">
        <f>IFERROR(SUMIFS(AS4:AS20,B4:B20,"W"),"0")</f>
        <v>2</v>
      </c>
      <c r="AT23" s="143" t="s">
        <v>52</v>
      </c>
      <c r="AU23" s="145">
        <f>IFERROR(SUMIFS(AU4:AU20,B4:B20,"W"),"0")</f>
        <v>5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5</v>
      </c>
      <c r="AZ23" s="143" t="s">
        <v>52</v>
      </c>
      <c r="BA23" s="145">
        <f>IFERROR(SUMIFS(BA4:BA20,B4:B20,"W"),"0")</f>
        <v>14</v>
      </c>
      <c r="BB23" s="143" t="s">
        <v>53</v>
      </c>
      <c r="BC23" s="118">
        <f>IFERROR(SUMIFS(BC4:BC20,B4:B20,"W"),"0")</f>
        <v>4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3</v>
      </c>
      <c r="BJ23" s="143" t="s">
        <v>52</v>
      </c>
      <c r="BK23" s="145">
        <f>IFERROR(SUMIFS(BK4:BK20,B4:B20,"W"),"0")</f>
        <v>3</v>
      </c>
      <c r="BL23" s="143" t="s">
        <v>53</v>
      </c>
      <c r="BM23" s="118">
        <f>IFERROR(SUMIFS(BM4:BM20,B4:B20,"W"),"0")</f>
        <v>3</v>
      </c>
      <c r="BN23" s="145" t="s">
        <v>54</v>
      </c>
      <c r="BO23" s="143">
        <f>IFERROR(SUMIFS(BO4:BO20,B4:B20,"W"),"0")</f>
        <v>1</v>
      </c>
      <c r="BP23" s="143" t="s">
        <v>52</v>
      </c>
      <c r="BQ23" s="145">
        <f>IFERROR(SUMIFS(BQ4:BQ20,B4:B20,"W"),"0")</f>
        <v>1</v>
      </c>
      <c r="BR23" s="143" t="s">
        <v>53</v>
      </c>
      <c r="BS23" s="143">
        <f>IFERROR(SUMIFS(BS4:BS20,B4:B20,"W"),"0")</f>
        <v>1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2</v>
      </c>
      <c r="CB23" s="143" t="s">
        <v>52</v>
      </c>
      <c r="CC23" s="145">
        <f>IFERROR(SUMIFS(CC4:CC20,B4:B20,"W"),"0")</f>
        <v>2</v>
      </c>
      <c r="CD23" s="143" t="s">
        <v>53</v>
      </c>
      <c r="CE23" s="118">
        <f>IFERROR(SUMIFS(CE4:CE20,B4:B20,"W"),"0")</f>
        <v>2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1</v>
      </c>
      <c r="CK23" s="118">
        <f>IFERROR(SUMIFS(CK4:CK20,B4:B20,"W"),"0")</f>
        <v>13</v>
      </c>
      <c r="CL23" s="118">
        <f t="shared" ref="CL23:CM23" si="89">IFERROR(SUMIFS(CL4:CL20,C4:C20,"W"),"0")</f>
        <v>0</v>
      </c>
      <c r="CM23" s="118">
        <f t="shared" si="89"/>
        <v>0</v>
      </c>
      <c r="CN23" s="118">
        <f>IFERROR(SUMIFS(CN4:CN20,B4:B20,"W"),"0")</f>
        <v>14</v>
      </c>
      <c r="CO23" s="175">
        <f>IFERROR(SUMIFS(CO4:CO20,B4:B20,"W"),"0")</f>
        <v>10</v>
      </c>
      <c r="CP23" s="118">
        <f>IFERROR(SUMIFS(CP4:CP20,B4:B20,"W"),"0")</f>
        <v>7</v>
      </c>
      <c r="CQ23" s="175">
        <f>IFERROR(SUMIFS(CQ4:CQ20,B4:B20,"W"),"0")</f>
        <v>9</v>
      </c>
      <c r="CR23" s="118">
        <f>IFERROR(SUMIFS(CR4:CR20,B4:B20,"W"),"0")</f>
        <v>1</v>
      </c>
      <c r="CS23" s="119">
        <f>IFERROR(SUMIFS(CS4:CS20,B4:B20,"W"),"0")</f>
        <v>5</v>
      </c>
      <c r="CT23" s="118">
        <f>IFERROR(SUMIFS(CT4:CT20,B4:B20,"W"),"0")</f>
        <v>7</v>
      </c>
      <c r="CU23" s="118">
        <f>IFERROR(SUMIFS(CU4:CU20,B4:B20,"W"),"0")</f>
        <v>3</v>
      </c>
      <c r="CV23" s="119">
        <f>IFERROR(SUMIFS(CV4:CV20,B4:B20,"W"),"0")</f>
        <v>35.700000000000003</v>
      </c>
      <c r="CW23" s="118"/>
      <c r="CX23" s="136">
        <f>DG23</f>
        <v>0.546875</v>
      </c>
      <c r="CY23" s="137">
        <f>DN23</f>
        <v>0.18466173560593616</v>
      </c>
      <c r="CZ23" s="137">
        <f>DH23</f>
        <v>5.5555555555555552E-2</v>
      </c>
      <c r="DA23" s="138">
        <f>FA23</f>
        <v>3.125E-2</v>
      </c>
      <c r="DB23" s="232" t="s">
        <v>84</v>
      </c>
      <c r="DC23" s="116"/>
      <c r="DG23" s="37">
        <f>IFERROR(((E23-W23)+1.5*W23)/G23,"0")</f>
        <v>0.546875</v>
      </c>
      <c r="DH23" s="37">
        <f>IFERROR(CJ23/(CJ23+CK22),"0")</f>
        <v>5.5555555555555552E-2</v>
      </c>
      <c r="DN23" s="37">
        <f>IFERROR(CT23/EG23,"0")</f>
        <v>0.18466173560593616</v>
      </c>
      <c r="DS23" s="10"/>
      <c r="DT23" s="10"/>
      <c r="EF23" s="233" t="s">
        <v>89</v>
      </c>
      <c r="EG23" s="28">
        <f>IFERROR(SUMIFS(EG4:EG20,B4:B20,"W"),"0")</f>
        <v>37.907149399580199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0.7</v>
      </c>
      <c r="EY23" s="6">
        <f>IFERROR(SUMIFS(EY4:EY20,B4:B20,"W"),"0")</f>
        <v>1</v>
      </c>
      <c r="EZ23" s="6">
        <f t="shared" ref="EZ23" si="90">IFERROR(E23+(1-(1-(EX23/EY23))^2)*EY23*0.4,"0")</f>
        <v>14.364000000000001</v>
      </c>
      <c r="FA23" s="6">
        <f>IFERROR(EY23/G23,"0")</f>
        <v>3.125E-2</v>
      </c>
      <c r="FC23" s="139"/>
      <c r="FD23" s="139"/>
      <c r="FE23" s="116" t="s">
        <v>89</v>
      </c>
      <c r="FF23" s="121">
        <f t="shared" si="86"/>
        <v>65.34</v>
      </c>
      <c r="FG23" s="169">
        <f t="shared" si="86"/>
        <v>14</v>
      </c>
      <c r="FH23" s="166" t="s">
        <v>52</v>
      </c>
      <c r="FI23" s="170">
        <f t="shared" si="74"/>
        <v>32</v>
      </c>
      <c r="FJ23" s="195">
        <f t="shared" si="75"/>
        <v>0.4375</v>
      </c>
      <c r="FK23" s="171">
        <f>W23</f>
        <v>7</v>
      </c>
      <c r="FL23" s="166" t="s">
        <v>52</v>
      </c>
      <c r="FM23" s="172">
        <f>Y23</f>
        <v>16</v>
      </c>
      <c r="FN23" s="195">
        <f t="shared" si="76"/>
        <v>0.4375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9"/>
        <v>0</v>
      </c>
      <c r="FS23" s="118">
        <f t="shared" si="39"/>
        <v>1</v>
      </c>
      <c r="FT23" s="118">
        <f t="shared" si="39"/>
        <v>13</v>
      </c>
      <c r="FU23" s="118">
        <f t="shared" si="82"/>
        <v>14</v>
      </c>
      <c r="FV23" s="175">
        <f t="shared" si="82"/>
        <v>10</v>
      </c>
      <c r="FW23" s="118">
        <f t="shared" si="82"/>
        <v>7</v>
      </c>
      <c r="FX23" s="118">
        <f t="shared" si="82"/>
        <v>9</v>
      </c>
      <c r="FY23" s="118">
        <f t="shared" si="82"/>
        <v>1</v>
      </c>
      <c r="FZ23" s="118">
        <f t="shared" si="82"/>
        <v>5</v>
      </c>
      <c r="GA23" s="118">
        <f t="shared" si="83"/>
        <v>7</v>
      </c>
      <c r="GB23" s="118">
        <f t="shared" si="83"/>
        <v>3</v>
      </c>
      <c r="GC23" s="175">
        <f t="shared" si="83"/>
        <v>35.700000000000003</v>
      </c>
      <c r="GD23" s="136">
        <f t="shared" si="87"/>
        <v>0.546875</v>
      </c>
      <c r="GE23" s="137">
        <f t="shared" si="87"/>
        <v>0.18466173560593616</v>
      </c>
      <c r="GF23" s="137">
        <f t="shared" si="87"/>
        <v>5.5555555555555552E-2</v>
      </c>
      <c r="GG23" s="138">
        <f t="shared" si="87"/>
        <v>3.125E-2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79"/>
      <c r="EY24" s="479"/>
      <c r="EZ24" s="47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65.34</v>
      </c>
      <c r="E25" s="86">
        <f>IFERROR(IF(B4="W",$E$23,$E$22),"0")</f>
        <v>17</v>
      </c>
      <c r="F25" s="33" t="s">
        <v>52</v>
      </c>
      <c r="G25" s="49">
        <f>IFERROR(IF(B4="W",$G$23,$G$22),"0")</f>
        <v>32</v>
      </c>
      <c r="H25" s="12" t="s">
        <v>53</v>
      </c>
      <c r="I25" s="33">
        <f>IFERROR(IF(B4="W",I$23,I$22),"0")</f>
        <v>13</v>
      </c>
      <c r="J25" s="49" t="s">
        <v>54</v>
      </c>
      <c r="K25" s="12">
        <f>IFERROR(IF(B4="W",K$23,K$22),"0")</f>
        <v>3</v>
      </c>
      <c r="L25" s="33" t="s">
        <v>52</v>
      </c>
      <c r="M25" s="49">
        <f>IFERROR(IF(B4="W",M$23,M$22),"0")</f>
        <v>8</v>
      </c>
      <c r="N25" s="12" t="s">
        <v>53</v>
      </c>
      <c r="O25" s="33">
        <f>IFERROR(IF(B4="W",O$23,O$22),"0")</f>
        <v>1</v>
      </c>
      <c r="P25" s="49" t="s">
        <v>54</v>
      </c>
      <c r="Q25" s="12">
        <f>IFERROR(IF(B4="W",Q$23,Q$22),"0")</f>
        <v>2</v>
      </c>
      <c r="R25" s="33" t="s">
        <v>52</v>
      </c>
      <c r="S25" s="49">
        <f>IFERROR(IF(B4="W",S$23,S$22),"0")</f>
        <v>5</v>
      </c>
      <c r="T25" s="12" t="s">
        <v>53</v>
      </c>
      <c r="U25" s="33">
        <f>IFERROR(IF(B4="W",U$23,U$22),"0")</f>
        <v>1</v>
      </c>
      <c r="V25" s="49" t="s">
        <v>54</v>
      </c>
      <c r="W25" s="12">
        <f>IFERROR(IF(B4="W",W$23,W$22),"0")</f>
        <v>12</v>
      </c>
      <c r="X25" s="33" t="s">
        <v>52</v>
      </c>
      <c r="Y25" s="49">
        <f>IFERROR(IF(B4="W",Y$23,Y$22),"0")</f>
        <v>19</v>
      </c>
      <c r="Z25" s="12" t="s">
        <v>53</v>
      </c>
      <c r="AA25" s="33">
        <f>IFERROR(IF(B4="W",AA$23,AA$22),"0")</f>
        <v>11</v>
      </c>
      <c r="AB25" s="49" t="s">
        <v>54</v>
      </c>
      <c r="AC25" s="12">
        <f>IFERROR(IF(B4="W",AC$23,AC$22),"0")</f>
        <v>6.6</v>
      </c>
      <c r="AD25" s="33" t="s">
        <v>52</v>
      </c>
      <c r="AE25" s="53">
        <f>IFERROR(IF(B4="W",AE$23,AE$22),"0")</f>
        <v>9</v>
      </c>
      <c r="AF25" s="12"/>
      <c r="AG25" s="43">
        <f>IFERROR(IF(B4="W",AG$23,AG$22),"0")</f>
        <v>16</v>
      </c>
      <c r="AH25" s="33" t="s">
        <v>52</v>
      </c>
      <c r="AI25" s="49">
        <f>IFERROR(IF(B4="W",AI$23,AI$22),"0")</f>
        <v>29</v>
      </c>
      <c r="AJ25" s="12" t="s">
        <v>53</v>
      </c>
      <c r="AK25" s="33">
        <f>IFERROR(IF(B4="W",AK$23,AK$22),"0")</f>
        <v>12</v>
      </c>
      <c r="AL25" s="49" t="s">
        <v>54</v>
      </c>
      <c r="AM25" s="12">
        <f>IFERROR(IF(B4="W",AM$23,AM$22),"0")</f>
        <v>3</v>
      </c>
      <c r="AN25" s="33" t="s">
        <v>52</v>
      </c>
      <c r="AO25" s="49">
        <f>IFERROR(IF(B4="W",AO$23,AO$22),"0")</f>
        <v>7</v>
      </c>
      <c r="AP25" s="12" t="s">
        <v>53</v>
      </c>
      <c r="AQ25" s="33">
        <f>IFERROR(IF(B4="W",AQ$23,AQ$22),"0")</f>
        <v>1</v>
      </c>
      <c r="AR25" s="49" t="s">
        <v>54</v>
      </c>
      <c r="AS25" s="12">
        <f>IFERROR(IF(B4="W",AS$23,AS$22),"0")</f>
        <v>2</v>
      </c>
      <c r="AT25" s="33" t="s">
        <v>52</v>
      </c>
      <c r="AU25" s="49">
        <f>IFERROR(IF(B4="W",AU$23,AU$22),"0")</f>
        <v>5</v>
      </c>
      <c r="AV25" s="12" t="s">
        <v>53</v>
      </c>
      <c r="AW25" s="33">
        <f>IFERROR(IF(B4="W",AW$23,AW$22),"0")</f>
        <v>1</v>
      </c>
      <c r="AX25" s="49" t="s">
        <v>54</v>
      </c>
      <c r="AY25" s="12">
        <f>IFERROR(IF(B4="W",AY$23,AY$22),"0")</f>
        <v>11</v>
      </c>
      <c r="AZ25" s="33" t="s">
        <v>52</v>
      </c>
      <c r="BA25" s="49">
        <f>IFERROR(IF(B4="W",BA$23,BA$22),"0")</f>
        <v>17</v>
      </c>
      <c r="BB25" s="12" t="s">
        <v>53</v>
      </c>
      <c r="BC25" s="33">
        <f>IFERROR(IF(B4="W",BC$23,BC$22),"0")</f>
        <v>10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1</v>
      </c>
      <c r="BJ25" s="33" t="s">
        <v>52</v>
      </c>
      <c r="BK25" s="49">
        <f>IFERROR(IF($B$4="W",BK23,BK22),"0")</f>
        <v>3</v>
      </c>
      <c r="BL25" s="12" t="s">
        <v>53</v>
      </c>
      <c r="BM25" s="33">
        <f>IFERROR(IF($B$4="W",BM23,BM22),"0")</f>
        <v>1</v>
      </c>
      <c r="BN25" s="49" t="s">
        <v>54</v>
      </c>
      <c r="BO25" s="12">
        <f>IFERROR(IF($B$4="W",BO23,BO22),"0")</f>
        <v>0</v>
      </c>
      <c r="BP25" s="33" t="s">
        <v>52</v>
      </c>
      <c r="BQ25" s="49">
        <f>IFERROR(IF($B$4="W",BQ23,BQ22),"0")</f>
        <v>1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1</v>
      </c>
      <c r="CB25" s="33" t="s">
        <v>52</v>
      </c>
      <c r="CC25" s="49">
        <f>IFERROR(IF($B$4="W",CC23,CC22),"0")</f>
        <v>2</v>
      </c>
      <c r="CD25" s="12" t="s">
        <v>53</v>
      </c>
      <c r="CE25" s="33">
        <f>IFERROR(IF($B$4="W",CE23,CE22),"0")</f>
        <v>1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2</v>
      </c>
      <c r="CK25" s="33">
        <f>IFERROR(IF($B$4="W",CK23,CK22),"0")</f>
        <v>17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19</v>
      </c>
      <c r="CO25" s="33">
        <f t="shared" si="91"/>
        <v>13</v>
      </c>
      <c r="CP25" s="33">
        <f t="shared" si="91"/>
        <v>13</v>
      </c>
      <c r="CQ25" s="33">
        <f t="shared" si="91"/>
        <v>1</v>
      </c>
      <c r="CR25" s="33">
        <f t="shared" si="91"/>
        <v>9</v>
      </c>
      <c r="CS25" s="33">
        <f t="shared" si="91"/>
        <v>4</v>
      </c>
      <c r="CT25" s="33">
        <f t="shared" si="91"/>
        <v>8</v>
      </c>
      <c r="CU25" s="33">
        <f t="shared" si="91"/>
        <v>4</v>
      </c>
      <c r="CV25" s="58">
        <f t="shared" si="91"/>
        <v>52.6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39.424084176839401</v>
      </c>
      <c r="EW25" s="12" t="s">
        <v>73</v>
      </c>
      <c r="EX25" s="6">
        <f t="shared" ref="EX25:EX39" si="94">IFERROR(IF(B4="W",$EX$23,$EX$22),"0")</f>
        <v>6.6</v>
      </c>
      <c r="EY25" s="6">
        <f t="shared" ref="EY25:EY39" si="95">IFERROR(IF(B4="W",$EY$23,$EY$22),"0")</f>
        <v>9</v>
      </c>
      <c r="EZ25" s="6">
        <f>IFERROR(IF(B4="W",$EZ$23,$EZ$22),"0")</f>
        <v>20.344000000000001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65.34</v>
      </c>
      <c r="E26" s="86">
        <f t="shared" ref="E26:E39" si="96">IFERROR(IF(B5="W",$E$23,$E$22),"0")</f>
        <v>14</v>
      </c>
      <c r="F26" s="33" t="s">
        <v>52</v>
      </c>
      <c r="G26" s="49">
        <f t="shared" ref="G26:G39" si="97">IFERROR(IF(B5="W",$G$23,$G$22),"0")</f>
        <v>32</v>
      </c>
      <c r="H26" s="12" t="s">
        <v>53</v>
      </c>
      <c r="I26" s="33">
        <f t="shared" ref="I26:I39" si="98">IFERROR(IF(B5="W",I$23,I$22),"0")</f>
        <v>10</v>
      </c>
      <c r="J26" s="49" t="s">
        <v>54</v>
      </c>
      <c r="K26" s="12">
        <f t="shared" ref="K26:K39" si="99">IFERROR(IF(B5="W",K$23,K$22),"0")</f>
        <v>5</v>
      </c>
      <c r="L26" s="33" t="s">
        <v>52</v>
      </c>
      <c r="M26" s="49">
        <f t="shared" ref="M26:M39" si="100">IFERROR(IF(B5="W",M$23,M$22),"0")</f>
        <v>11</v>
      </c>
      <c r="N26" s="12" t="s">
        <v>53</v>
      </c>
      <c r="O26" s="33">
        <f t="shared" ref="O26:O39" si="101">IFERROR(IF(B5="W",O$23,O$22),"0")</f>
        <v>4</v>
      </c>
      <c r="P26" s="49" t="s">
        <v>54</v>
      </c>
      <c r="Q26" s="12">
        <f t="shared" ref="Q26:Q39" si="102">IFERROR(IF(B5="W",Q$23,Q$22),"0")</f>
        <v>2</v>
      </c>
      <c r="R26" s="33" t="s">
        <v>52</v>
      </c>
      <c r="S26" s="49">
        <f t="shared" ref="S26:S39" si="103">IFERROR(IF(B5="W",S$23,S$22),"0")</f>
        <v>5</v>
      </c>
      <c r="T26" s="12" t="s">
        <v>53</v>
      </c>
      <c r="U26" s="33">
        <f t="shared" ref="U26:U39" si="104">IFERROR(IF(B5="W",U$23,U$22),"0")</f>
        <v>0</v>
      </c>
      <c r="V26" s="49" t="s">
        <v>54</v>
      </c>
      <c r="W26" s="12">
        <f t="shared" ref="W26:W39" si="105">IFERROR(IF(B5="W",W$23,W$22),"0")</f>
        <v>7</v>
      </c>
      <c r="X26" s="33" t="s">
        <v>52</v>
      </c>
      <c r="Y26" s="49">
        <f t="shared" ref="Y26:Y39" si="106">IFERROR(IF(B5="W",Y$23,Y$22),"0")</f>
        <v>16</v>
      </c>
      <c r="Z26" s="12" t="s">
        <v>53</v>
      </c>
      <c r="AA26" s="33">
        <f t="shared" ref="AA26:AA39" si="107">IFERROR(IF(B5="W",AA$23,AA$22),"0")</f>
        <v>6</v>
      </c>
      <c r="AB26" s="49" t="s">
        <v>54</v>
      </c>
      <c r="AC26" s="12">
        <f t="shared" ref="AC26:AC39" si="108">IFERROR(IF(B5="W",AC$23,AC$22),"0")</f>
        <v>0.7</v>
      </c>
      <c r="AD26" s="33" t="s">
        <v>52</v>
      </c>
      <c r="AE26" s="53">
        <f t="shared" ref="AE26:AE39" si="109">IFERROR(IF(B5="W",AE$23,AE$22),"0")</f>
        <v>1</v>
      </c>
      <c r="AF26" s="12"/>
      <c r="AG26" s="43">
        <f t="shared" ref="AG26:AG39" si="110">IFERROR(IF(B5="W",AG$23,AG$22),"0")</f>
        <v>11</v>
      </c>
      <c r="AH26" s="33" t="s">
        <v>52</v>
      </c>
      <c r="AI26" s="49">
        <f t="shared" ref="AI26:AI39" si="111">IFERROR(IF(B5="W",AI$23,AI$22),"0")</f>
        <v>29</v>
      </c>
      <c r="AJ26" s="12" t="s">
        <v>53</v>
      </c>
      <c r="AK26" s="33">
        <f t="shared" ref="AK26:AK39" si="112">IFERROR(IF(B5="W",AK$23,AK$22),"0")</f>
        <v>7</v>
      </c>
      <c r="AL26" s="49" t="s">
        <v>54</v>
      </c>
      <c r="AM26" s="12">
        <f t="shared" ref="AM26:AM39" si="113">IFERROR(IF(B5="W",AM$23,AM$22),"0")</f>
        <v>4</v>
      </c>
      <c r="AN26" s="33" t="s">
        <v>52</v>
      </c>
      <c r="AO26" s="49">
        <f t="shared" ref="AO26:AO39" si="114">IFERROR(IF(B5="W",AO$23,AO$22),"0")</f>
        <v>10</v>
      </c>
      <c r="AP26" s="12" t="s">
        <v>53</v>
      </c>
      <c r="AQ26" s="33">
        <f t="shared" ref="AQ26:AQ39" si="115">IFERROR(IF(B5="W",AQ$23,AQ$22),"0")</f>
        <v>3</v>
      </c>
      <c r="AR26" s="49" t="s">
        <v>54</v>
      </c>
      <c r="AS26" s="12">
        <f t="shared" ref="AS26:AS39" si="116">IFERROR(IF(B5="W",AS$23,AS$22),"0")</f>
        <v>2</v>
      </c>
      <c r="AT26" s="33" t="s">
        <v>52</v>
      </c>
      <c r="AU26" s="49">
        <f t="shared" ref="AU26:AU39" si="117">IFERROR(IF(B5="W",AU$23,AU$22),"0")</f>
        <v>5</v>
      </c>
      <c r="AV26" s="12" t="s">
        <v>53</v>
      </c>
      <c r="AW26" s="33">
        <f t="shared" ref="AW26:AW39" si="118">IFERROR(IF(B5="W",AW$23,AW$22),"0")</f>
        <v>0</v>
      </c>
      <c r="AX26" s="49" t="s">
        <v>54</v>
      </c>
      <c r="AY26" s="12">
        <f t="shared" ref="AY26:AY39" si="119">IFERROR(IF(B5="W",AY$23,AY$22),"0")</f>
        <v>5</v>
      </c>
      <c r="AZ26" s="33" t="s">
        <v>52</v>
      </c>
      <c r="BA26" s="49">
        <f t="shared" ref="BA26:BA39" si="120">IFERROR(IF(B5="W",BA$23,BA$22),"0")</f>
        <v>14</v>
      </c>
      <c r="BB26" s="12" t="s">
        <v>53</v>
      </c>
      <c r="BC26" s="33">
        <f t="shared" ref="BC26:BC39" si="121">IFERROR(IF(B5="W",BC$23,BC$22),"0")</f>
        <v>4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3</v>
      </c>
      <c r="BJ26" s="33" t="s">
        <v>52</v>
      </c>
      <c r="BK26" s="49">
        <f>IFERROR(IF($B$5="W",BK23,BK22),"0")</f>
        <v>3</v>
      </c>
      <c r="BL26" s="12" t="s">
        <v>53</v>
      </c>
      <c r="BM26" s="33">
        <f>IFERROR(IF($B$5="W",BM23,BM22),"0")</f>
        <v>3</v>
      </c>
      <c r="BN26" s="49" t="s">
        <v>54</v>
      </c>
      <c r="BO26" s="12">
        <f>IFERROR(IF($B$5="W",BO23,BO22),"0")</f>
        <v>1</v>
      </c>
      <c r="BP26" s="33" t="s">
        <v>52</v>
      </c>
      <c r="BQ26" s="49">
        <f>IFERROR(IF($B$5="W",BQ23,BQ22),"0")</f>
        <v>1</v>
      </c>
      <c r="BR26" s="12" t="s">
        <v>53</v>
      </c>
      <c r="BS26" s="33">
        <f>IFERROR(IF($B$5="W",BS23,BS22),"0")</f>
        <v>1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2</v>
      </c>
      <c r="CB26" s="33" t="s">
        <v>52</v>
      </c>
      <c r="CC26" s="49">
        <f>IFERROR(IF($B$5="W",CC23,CC22),"0")</f>
        <v>2</v>
      </c>
      <c r="CD26" s="12" t="s">
        <v>53</v>
      </c>
      <c r="CE26" s="33">
        <f>IFERROR(IF($B$5="W",CE23,CE22),"0")</f>
        <v>2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1</v>
      </c>
      <c r="CK26" s="33">
        <f t="shared" si="124"/>
        <v>13</v>
      </c>
      <c r="CL26" s="33">
        <f t="shared" si="124"/>
        <v>0</v>
      </c>
      <c r="CM26" s="33">
        <f t="shared" si="124"/>
        <v>0</v>
      </c>
      <c r="CN26" s="33">
        <f t="shared" si="124"/>
        <v>14</v>
      </c>
      <c r="CO26" s="33">
        <f t="shared" si="124"/>
        <v>10</v>
      </c>
      <c r="CP26" s="33">
        <f t="shared" si="124"/>
        <v>7</v>
      </c>
      <c r="CQ26" s="33">
        <f t="shared" si="124"/>
        <v>9</v>
      </c>
      <c r="CR26" s="33">
        <f t="shared" si="124"/>
        <v>1</v>
      </c>
      <c r="CS26" s="33">
        <f t="shared" si="124"/>
        <v>5</v>
      </c>
      <c r="CT26" s="33">
        <f t="shared" si="124"/>
        <v>7</v>
      </c>
      <c r="CU26" s="33">
        <f t="shared" si="124"/>
        <v>3</v>
      </c>
      <c r="CV26" s="58">
        <f t="shared" si="124"/>
        <v>35.700000000000003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37.907149399580199</v>
      </c>
      <c r="EW26" s="228" t="s">
        <v>74</v>
      </c>
      <c r="EX26" s="6">
        <f t="shared" si="94"/>
        <v>0.7</v>
      </c>
      <c r="EY26" s="6">
        <f t="shared" si="95"/>
        <v>1</v>
      </c>
      <c r="EZ26" s="6">
        <f t="shared" ref="EZ26:EZ39" si="125">IFERROR(IF(B5="W",$EZ$23,$EZ$22),"0")</f>
        <v>14.364000000000001</v>
      </c>
    </row>
    <row r="27" spans="1:197" x14ac:dyDescent="0.2">
      <c r="C27" s="228" t="s">
        <v>75</v>
      </c>
      <c r="D27" s="28">
        <f>IFERROR(IF(B6="W",D23,D22),"0")</f>
        <v>65.34</v>
      </c>
      <c r="E27" s="86">
        <f t="shared" si="96"/>
        <v>14</v>
      </c>
      <c r="F27" s="33" t="s">
        <v>52</v>
      </c>
      <c r="G27" s="49">
        <f t="shared" si="97"/>
        <v>32</v>
      </c>
      <c r="H27" s="12" t="s">
        <v>53</v>
      </c>
      <c r="I27" s="33">
        <f t="shared" si="98"/>
        <v>10</v>
      </c>
      <c r="J27" s="49" t="s">
        <v>54</v>
      </c>
      <c r="K27" s="12">
        <f t="shared" si="99"/>
        <v>5</v>
      </c>
      <c r="L27" s="33" t="s">
        <v>52</v>
      </c>
      <c r="M27" s="49">
        <f t="shared" si="100"/>
        <v>11</v>
      </c>
      <c r="N27" s="12" t="s">
        <v>53</v>
      </c>
      <c r="O27" s="33">
        <f t="shared" si="101"/>
        <v>4</v>
      </c>
      <c r="P27" s="49" t="s">
        <v>54</v>
      </c>
      <c r="Q27" s="12">
        <f t="shared" si="102"/>
        <v>2</v>
      </c>
      <c r="R27" s="33" t="s">
        <v>52</v>
      </c>
      <c r="S27" s="49">
        <f t="shared" si="103"/>
        <v>5</v>
      </c>
      <c r="T27" s="12" t="s">
        <v>53</v>
      </c>
      <c r="U27" s="33">
        <f t="shared" si="104"/>
        <v>0</v>
      </c>
      <c r="V27" s="49" t="s">
        <v>54</v>
      </c>
      <c r="W27" s="12">
        <f t="shared" si="105"/>
        <v>7</v>
      </c>
      <c r="X27" s="33" t="s">
        <v>52</v>
      </c>
      <c r="Y27" s="49">
        <f t="shared" si="106"/>
        <v>16</v>
      </c>
      <c r="Z27" s="12" t="s">
        <v>53</v>
      </c>
      <c r="AA27" s="33">
        <f t="shared" si="107"/>
        <v>6</v>
      </c>
      <c r="AB27" s="49" t="s">
        <v>54</v>
      </c>
      <c r="AC27" s="12">
        <f t="shared" si="108"/>
        <v>0.7</v>
      </c>
      <c r="AD27" s="33" t="s">
        <v>52</v>
      </c>
      <c r="AE27" s="53">
        <f t="shared" si="109"/>
        <v>1</v>
      </c>
      <c r="AF27" s="12"/>
      <c r="AG27" s="43">
        <f t="shared" si="110"/>
        <v>11</v>
      </c>
      <c r="AH27" s="33" t="s">
        <v>52</v>
      </c>
      <c r="AI27" s="49">
        <f t="shared" si="111"/>
        <v>29</v>
      </c>
      <c r="AJ27" s="12" t="s">
        <v>53</v>
      </c>
      <c r="AK27" s="33">
        <f t="shared" si="112"/>
        <v>7</v>
      </c>
      <c r="AL27" s="49" t="s">
        <v>54</v>
      </c>
      <c r="AM27" s="12">
        <f t="shared" si="113"/>
        <v>4</v>
      </c>
      <c r="AN27" s="33" t="s">
        <v>52</v>
      </c>
      <c r="AO27" s="49">
        <f t="shared" si="114"/>
        <v>10</v>
      </c>
      <c r="AP27" s="12" t="s">
        <v>53</v>
      </c>
      <c r="AQ27" s="33">
        <f t="shared" si="115"/>
        <v>3</v>
      </c>
      <c r="AR27" s="49" t="s">
        <v>54</v>
      </c>
      <c r="AS27" s="12">
        <f t="shared" si="116"/>
        <v>2</v>
      </c>
      <c r="AT27" s="33" t="s">
        <v>52</v>
      </c>
      <c r="AU27" s="49">
        <f t="shared" si="117"/>
        <v>5</v>
      </c>
      <c r="AV27" s="12" t="s">
        <v>53</v>
      </c>
      <c r="AW27" s="33">
        <f t="shared" si="118"/>
        <v>0</v>
      </c>
      <c r="AX27" s="49" t="s">
        <v>54</v>
      </c>
      <c r="AY27" s="12">
        <f t="shared" si="119"/>
        <v>5</v>
      </c>
      <c r="AZ27" s="33" t="s">
        <v>52</v>
      </c>
      <c r="BA27" s="49">
        <f t="shared" si="120"/>
        <v>14</v>
      </c>
      <c r="BB27" s="12" t="s">
        <v>53</v>
      </c>
      <c r="BC27" s="33">
        <f t="shared" si="121"/>
        <v>4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3</v>
      </c>
      <c r="BJ27" s="33" t="s">
        <v>52</v>
      </c>
      <c r="BK27" s="49">
        <f>IFERROR(IF($B$6="W",BK23,BK22),"0")</f>
        <v>3</v>
      </c>
      <c r="BL27" s="12" t="s">
        <v>53</v>
      </c>
      <c r="BM27" s="33">
        <f>IFERROR(IF($B$6="W",BM23,BM22),"0")</f>
        <v>3</v>
      </c>
      <c r="BN27" s="49" t="s">
        <v>54</v>
      </c>
      <c r="BO27" s="12">
        <f>IFERROR(IF($B$6="W",BO23,BO22),"0")</f>
        <v>1</v>
      </c>
      <c r="BP27" s="33" t="s">
        <v>52</v>
      </c>
      <c r="BQ27" s="49">
        <f>IFERROR(IF($B$6="W",BQ23,BQ22),"0")</f>
        <v>1</v>
      </c>
      <c r="BR27" s="12" t="s">
        <v>53</v>
      </c>
      <c r="BS27" s="33">
        <f>IFERROR(IF($B$6="W",BS23,BS22),"0")</f>
        <v>1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2</v>
      </c>
      <c r="CB27" s="33" t="s">
        <v>52</v>
      </c>
      <c r="CC27" s="49">
        <f>IFERROR(IF($B$6="W",CC23,CC22),"0")</f>
        <v>2</v>
      </c>
      <c r="CD27" s="12" t="s">
        <v>53</v>
      </c>
      <c r="CE27" s="33">
        <f>IFERROR(IF($B$6="W",CE23,CE22),"0")</f>
        <v>2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1</v>
      </c>
      <c r="CK27" s="33">
        <f t="shared" si="126"/>
        <v>13</v>
      </c>
      <c r="CL27" s="33">
        <f t="shared" si="126"/>
        <v>0</v>
      </c>
      <c r="CM27" s="33">
        <f t="shared" si="126"/>
        <v>0</v>
      </c>
      <c r="CN27" s="33">
        <f t="shared" si="126"/>
        <v>14</v>
      </c>
      <c r="CO27" s="33">
        <f t="shared" si="126"/>
        <v>10</v>
      </c>
      <c r="CP27" s="33">
        <f t="shared" si="126"/>
        <v>7</v>
      </c>
      <c r="CQ27" s="33">
        <f t="shared" si="126"/>
        <v>9</v>
      </c>
      <c r="CR27" s="33">
        <f t="shared" si="126"/>
        <v>1</v>
      </c>
      <c r="CS27" s="33">
        <f t="shared" si="126"/>
        <v>5</v>
      </c>
      <c r="CT27" s="33">
        <f t="shared" si="126"/>
        <v>7</v>
      </c>
      <c r="CU27" s="33">
        <f t="shared" si="126"/>
        <v>3</v>
      </c>
      <c r="CV27" s="58">
        <f t="shared" si="126"/>
        <v>35.700000000000003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37.907149399580199</v>
      </c>
      <c r="EW27" s="228" t="s">
        <v>75</v>
      </c>
      <c r="EX27" s="6">
        <f t="shared" si="94"/>
        <v>0.7</v>
      </c>
      <c r="EY27" s="6">
        <f t="shared" si="95"/>
        <v>1</v>
      </c>
      <c r="EZ27" s="6">
        <f t="shared" si="125"/>
        <v>14.364000000000001</v>
      </c>
    </row>
    <row r="28" spans="1:197" ht="17" thickBot="1" x14ac:dyDescent="0.25">
      <c r="C28" s="228" t="s">
        <v>76</v>
      </c>
      <c r="D28" s="28">
        <f>IFERROR(IF(B7="W",D23,D22),"0")</f>
        <v>65.34</v>
      </c>
      <c r="E28" s="86">
        <f t="shared" si="96"/>
        <v>17</v>
      </c>
      <c r="F28" s="33" t="s">
        <v>52</v>
      </c>
      <c r="G28" s="49">
        <f t="shared" si="97"/>
        <v>32</v>
      </c>
      <c r="H28" s="12" t="s">
        <v>53</v>
      </c>
      <c r="I28" s="33">
        <f t="shared" si="98"/>
        <v>13</v>
      </c>
      <c r="J28" s="49" t="s">
        <v>54</v>
      </c>
      <c r="K28" s="12">
        <f t="shared" si="99"/>
        <v>3</v>
      </c>
      <c r="L28" s="33" t="s">
        <v>52</v>
      </c>
      <c r="M28" s="49">
        <f t="shared" si="100"/>
        <v>8</v>
      </c>
      <c r="N28" s="12" t="s">
        <v>53</v>
      </c>
      <c r="O28" s="33">
        <f t="shared" si="101"/>
        <v>1</v>
      </c>
      <c r="P28" s="49" t="s">
        <v>54</v>
      </c>
      <c r="Q28" s="12">
        <f t="shared" si="102"/>
        <v>2</v>
      </c>
      <c r="R28" s="33" t="s">
        <v>52</v>
      </c>
      <c r="S28" s="49">
        <f t="shared" si="103"/>
        <v>5</v>
      </c>
      <c r="T28" s="12" t="s">
        <v>53</v>
      </c>
      <c r="U28" s="33">
        <f t="shared" si="104"/>
        <v>1</v>
      </c>
      <c r="V28" s="49" t="s">
        <v>54</v>
      </c>
      <c r="W28" s="12">
        <f t="shared" si="105"/>
        <v>12</v>
      </c>
      <c r="X28" s="33" t="s">
        <v>52</v>
      </c>
      <c r="Y28" s="49">
        <f t="shared" si="106"/>
        <v>19</v>
      </c>
      <c r="Z28" s="12" t="s">
        <v>53</v>
      </c>
      <c r="AA28" s="33">
        <f t="shared" si="107"/>
        <v>11</v>
      </c>
      <c r="AB28" s="49" t="s">
        <v>54</v>
      </c>
      <c r="AC28" s="12">
        <f t="shared" si="108"/>
        <v>6.6</v>
      </c>
      <c r="AD28" s="33" t="s">
        <v>52</v>
      </c>
      <c r="AE28" s="53">
        <f t="shared" si="109"/>
        <v>9</v>
      </c>
      <c r="AF28" s="12"/>
      <c r="AG28" s="43">
        <f t="shared" si="110"/>
        <v>16</v>
      </c>
      <c r="AH28" s="33" t="s">
        <v>52</v>
      </c>
      <c r="AI28" s="49">
        <f t="shared" si="111"/>
        <v>29</v>
      </c>
      <c r="AJ28" s="12" t="s">
        <v>53</v>
      </c>
      <c r="AK28" s="33">
        <f t="shared" si="112"/>
        <v>12</v>
      </c>
      <c r="AL28" s="49" t="s">
        <v>54</v>
      </c>
      <c r="AM28" s="12">
        <f t="shared" si="113"/>
        <v>3</v>
      </c>
      <c r="AN28" s="33" t="s">
        <v>52</v>
      </c>
      <c r="AO28" s="49">
        <f t="shared" si="114"/>
        <v>7</v>
      </c>
      <c r="AP28" s="12" t="s">
        <v>53</v>
      </c>
      <c r="AQ28" s="33">
        <f t="shared" si="115"/>
        <v>1</v>
      </c>
      <c r="AR28" s="49" t="s">
        <v>54</v>
      </c>
      <c r="AS28" s="12">
        <f t="shared" si="116"/>
        <v>2</v>
      </c>
      <c r="AT28" s="33" t="s">
        <v>52</v>
      </c>
      <c r="AU28" s="49">
        <f t="shared" si="117"/>
        <v>5</v>
      </c>
      <c r="AV28" s="12" t="s">
        <v>53</v>
      </c>
      <c r="AW28" s="33">
        <f t="shared" si="118"/>
        <v>1</v>
      </c>
      <c r="AX28" s="49" t="s">
        <v>54</v>
      </c>
      <c r="AY28" s="12">
        <f t="shared" si="119"/>
        <v>11</v>
      </c>
      <c r="AZ28" s="33" t="s">
        <v>52</v>
      </c>
      <c r="BA28" s="49">
        <f t="shared" si="120"/>
        <v>17</v>
      </c>
      <c r="BB28" s="12" t="s">
        <v>53</v>
      </c>
      <c r="BC28" s="33">
        <f t="shared" si="121"/>
        <v>10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1</v>
      </c>
      <c r="BJ28" s="33" t="s">
        <v>52</v>
      </c>
      <c r="BK28" s="49">
        <f>IFERROR(IF($B$7="W",BK23,BK22),"0")</f>
        <v>3</v>
      </c>
      <c r="BL28" s="12" t="s">
        <v>53</v>
      </c>
      <c r="BM28" s="33">
        <f>IFERROR(IF($B$7="W",BM23,BM22),"0")</f>
        <v>1</v>
      </c>
      <c r="BN28" s="49" t="s">
        <v>54</v>
      </c>
      <c r="BO28" s="12">
        <f>IFERROR(IF($B$7="W",BO23,BO22),"0")</f>
        <v>0</v>
      </c>
      <c r="BP28" s="33" t="s">
        <v>52</v>
      </c>
      <c r="BQ28" s="49">
        <f>IFERROR(IF($B$7="W",BQ23,BQ22),"0")</f>
        <v>1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1</v>
      </c>
      <c r="CB28" s="33" t="s">
        <v>52</v>
      </c>
      <c r="CC28" s="49">
        <f>IFERROR(IF($B$7="W",CC23,CC22),"0")</f>
        <v>2</v>
      </c>
      <c r="CD28" s="12" t="s">
        <v>53</v>
      </c>
      <c r="CE28" s="33">
        <f>IFERROR(IF($B$7="W",CE23,CE22),"0")</f>
        <v>1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2</v>
      </c>
      <c r="CK28" s="33">
        <f t="shared" si="127"/>
        <v>17</v>
      </c>
      <c r="CL28" s="33">
        <f t="shared" si="127"/>
        <v>0</v>
      </c>
      <c r="CM28" s="33">
        <f t="shared" si="127"/>
        <v>0</v>
      </c>
      <c r="CN28" s="33">
        <f t="shared" si="127"/>
        <v>19</v>
      </c>
      <c r="CO28" s="33">
        <f t="shared" si="127"/>
        <v>13</v>
      </c>
      <c r="CP28" s="33">
        <f t="shared" si="127"/>
        <v>13</v>
      </c>
      <c r="CQ28" s="33">
        <f t="shared" si="127"/>
        <v>1</v>
      </c>
      <c r="CR28" s="33">
        <f t="shared" si="127"/>
        <v>9</v>
      </c>
      <c r="CS28" s="33">
        <f t="shared" si="127"/>
        <v>4</v>
      </c>
      <c r="CT28" s="33">
        <f t="shared" si="127"/>
        <v>8</v>
      </c>
      <c r="CU28" s="33">
        <f t="shared" si="127"/>
        <v>4</v>
      </c>
      <c r="CV28" s="58">
        <f t="shared" si="127"/>
        <v>52.6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39.424084176839401</v>
      </c>
      <c r="EW28" s="228" t="s">
        <v>76</v>
      </c>
      <c r="EX28" s="6">
        <f t="shared" si="94"/>
        <v>6.6</v>
      </c>
      <c r="EY28" s="6">
        <f t="shared" si="95"/>
        <v>9</v>
      </c>
      <c r="EZ28" s="6">
        <f t="shared" si="125"/>
        <v>20.344000000000001</v>
      </c>
    </row>
    <row r="29" spans="1:197" x14ac:dyDescent="0.2">
      <c r="C29" s="228" t="s">
        <v>222</v>
      </c>
      <c r="D29" s="28">
        <f>IFERROR(IF(B8="W",D23,D22),"0")</f>
        <v>65.34</v>
      </c>
      <c r="E29" s="86">
        <f t="shared" si="96"/>
        <v>14</v>
      </c>
      <c r="F29" s="33" t="s">
        <v>52</v>
      </c>
      <c r="G29" s="49">
        <f t="shared" si="97"/>
        <v>32</v>
      </c>
      <c r="H29" s="12" t="s">
        <v>53</v>
      </c>
      <c r="I29" s="33">
        <f t="shared" si="98"/>
        <v>10</v>
      </c>
      <c r="J29" s="49" t="s">
        <v>54</v>
      </c>
      <c r="K29" s="12">
        <f t="shared" si="99"/>
        <v>5</v>
      </c>
      <c r="L29" s="33" t="s">
        <v>52</v>
      </c>
      <c r="M29" s="49">
        <f t="shared" si="100"/>
        <v>11</v>
      </c>
      <c r="N29" s="12" t="s">
        <v>53</v>
      </c>
      <c r="O29" s="33">
        <f t="shared" si="101"/>
        <v>4</v>
      </c>
      <c r="P29" s="49" t="s">
        <v>54</v>
      </c>
      <c r="Q29" s="12">
        <f t="shared" si="102"/>
        <v>2</v>
      </c>
      <c r="R29" s="33" t="s">
        <v>52</v>
      </c>
      <c r="S29" s="49">
        <f t="shared" si="103"/>
        <v>5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7</v>
      </c>
      <c r="X29" s="33" t="s">
        <v>52</v>
      </c>
      <c r="Y29" s="49">
        <f t="shared" si="106"/>
        <v>16</v>
      </c>
      <c r="Z29" s="12" t="s">
        <v>53</v>
      </c>
      <c r="AA29" s="33">
        <f t="shared" si="107"/>
        <v>6</v>
      </c>
      <c r="AB29" s="49" t="s">
        <v>54</v>
      </c>
      <c r="AC29" s="12">
        <f t="shared" si="108"/>
        <v>0.7</v>
      </c>
      <c r="AD29" s="33" t="s">
        <v>52</v>
      </c>
      <c r="AE29" s="53">
        <f t="shared" si="109"/>
        <v>1</v>
      </c>
      <c r="AF29" s="12"/>
      <c r="AG29" s="43">
        <f t="shared" si="110"/>
        <v>11</v>
      </c>
      <c r="AH29" s="33" t="s">
        <v>52</v>
      </c>
      <c r="AI29" s="49">
        <f t="shared" si="111"/>
        <v>29</v>
      </c>
      <c r="AJ29" s="12" t="s">
        <v>53</v>
      </c>
      <c r="AK29" s="33">
        <f t="shared" si="112"/>
        <v>7</v>
      </c>
      <c r="AL29" s="49" t="s">
        <v>54</v>
      </c>
      <c r="AM29" s="12">
        <f t="shared" si="113"/>
        <v>4</v>
      </c>
      <c r="AN29" s="33" t="s">
        <v>52</v>
      </c>
      <c r="AO29" s="49">
        <f t="shared" si="114"/>
        <v>10</v>
      </c>
      <c r="AP29" s="12" t="s">
        <v>53</v>
      </c>
      <c r="AQ29" s="33">
        <f t="shared" si="115"/>
        <v>3</v>
      </c>
      <c r="AR29" s="49" t="s">
        <v>54</v>
      </c>
      <c r="AS29" s="12">
        <f t="shared" si="116"/>
        <v>2</v>
      </c>
      <c r="AT29" s="33" t="s">
        <v>52</v>
      </c>
      <c r="AU29" s="49">
        <f t="shared" si="117"/>
        <v>5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5</v>
      </c>
      <c r="AZ29" s="33" t="s">
        <v>52</v>
      </c>
      <c r="BA29" s="49">
        <f t="shared" si="120"/>
        <v>14</v>
      </c>
      <c r="BB29" s="12" t="s">
        <v>53</v>
      </c>
      <c r="BC29" s="33">
        <f t="shared" si="121"/>
        <v>4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3</v>
      </c>
      <c r="BJ29" s="33" t="s">
        <v>52</v>
      </c>
      <c r="BK29" s="49">
        <f>IFERROR(IF($B$8="W",BK23,BK22),"0")</f>
        <v>3</v>
      </c>
      <c r="BL29" s="12" t="s">
        <v>53</v>
      </c>
      <c r="BM29" s="33">
        <f>IFERROR(IF($B$8="W",BM23,BM22),"0")</f>
        <v>3</v>
      </c>
      <c r="BN29" s="49" t="s">
        <v>54</v>
      </c>
      <c r="BO29" s="12">
        <f>IFERROR(IF($B$8="W",BO23,BO22),"0")</f>
        <v>1</v>
      </c>
      <c r="BP29" s="33" t="s">
        <v>52</v>
      </c>
      <c r="BQ29" s="49">
        <f>IFERROR(IF($B$8="W",BQ23,BQ22),"0")</f>
        <v>1</v>
      </c>
      <c r="BR29" s="12" t="s">
        <v>53</v>
      </c>
      <c r="BS29" s="33">
        <f>IFERROR(IF($B$8="W",BS23,BS22),"0")</f>
        <v>1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2</v>
      </c>
      <c r="CB29" s="33" t="s">
        <v>52</v>
      </c>
      <c r="CC29" s="49">
        <f>IFERROR(IF($B$8="W",CC23,CC22),"0")</f>
        <v>2</v>
      </c>
      <c r="CD29" s="12" t="s">
        <v>53</v>
      </c>
      <c r="CE29" s="33">
        <f>IFERROR(IF($B$8="W",CE23,CE22),"0")</f>
        <v>2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1</v>
      </c>
      <c r="CK29" s="33">
        <f t="shared" si="128"/>
        <v>13</v>
      </c>
      <c r="CL29" s="33">
        <f t="shared" si="128"/>
        <v>0</v>
      </c>
      <c r="CM29" s="33">
        <f t="shared" si="128"/>
        <v>0</v>
      </c>
      <c r="CN29" s="33">
        <f t="shared" si="128"/>
        <v>14</v>
      </c>
      <c r="CO29" s="33">
        <f t="shared" si="128"/>
        <v>10</v>
      </c>
      <c r="CP29" s="33">
        <f t="shared" si="128"/>
        <v>7</v>
      </c>
      <c r="CQ29" s="33">
        <f t="shared" si="128"/>
        <v>9</v>
      </c>
      <c r="CR29" s="33">
        <f t="shared" si="128"/>
        <v>1</v>
      </c>
      <c r="CS29" s="33">
        <f t="shared" si="128"/>
        <v>5</v>
      </c>
      <c r="CT29" s="33">
        <f t="shared" si="128"/>
        <v>7</v>
      </c>
      <c r="CU29" s="33">
        <f t="shared" si="128"/>
        <v>3</v>
      </c>
      <c r="CV29" s="58">
        <f t="shared" si="128"/>
        <v>35.700000000000003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37.907149399580199</v>
      </c>
      <c r="EW29" s="228" t="s">
        <v>222</v>
      </c>
      <c r="EX29" s="6">
        <f t="shared" si="94"/>
        <v>0.7</v>
      </c>
      <c r="EY29" s="6">
        <f t="shared" si="95"/>
        <v>1</v>
      </c>
      <c r="EZ29" s="6">
        <f t="shared" si="125"/>
        <v>14.364000000000001</v>
      </c>
    </row>
    <row r="30" spans="1:197" x14ac:dyDescent="0.2">
      <c r="C30" s="228" t="s">
        <v>77</v>
      </c>
      <c r="D30" s="28">
        <f>IFERROR(IF(B9="W",D23,D22),"0")</f>
        <v>65.34</v>
      </c>
      <c r="E30" s="86">
        <f t="shared" si="96"/>
        <v>14</v>
      </c>
      <c r="F30" s="33" t="s">
        <v>52</v>
      </c>
      <c r="G30" s="49">
        <f t="shared" si="97"/>
        <v>32</v>
      </c>
      <c r="H30" s="12" t="s">
        <v>53</v>
      </c>
      <c r="I30" s="33">
        <f t="shared" si="98"/>
        <v>10</v>
      </c>
      <c r="J30" s="49" t="s">
        <v>54</v>
      </c>
      <c r="K30" s="12">
        <f t="shared" si="99"/>
        <v>5</v>
      </c>
      <c r="L30" s="33" t="s">
        <v>52</v>
      </c>
      <c r="M30" s="49">
        <f t="shared" si="100"/>
        <v>11</v>
      </c>
      <c r="N30" s="12" t="s">
        <v>53</v>
      </c>
      <c r="O30" s="33">
        <f t="shared" si="101"/>
        <v>4</v>
      </c>
      <c r="P30" s="49" t="s">
        <v>54</v>
      </c>
      <c r="Q30" s="12">
        <f t="shared" si="102"/>
        <v>2</v>
      </c>
      <c r="R30" s="33" t="s">
        <v>52</v>
      </c>
      <c r="S30" s="49">
        <f t="shared" si="103"/>
        <v>5</v>
      </c>
      <c r="T30" s="12" t="s">
        <v>53</v>
      </c>
      <c r="U30" s="33">
        <f t="shared" si="104"/>
        <v>0</v>
      </c>
      <c r="V30" s="49" t="s">
        <v>54</v>
      </c>
      <c r="W30" s="12">
        <f t="shared" si="105"/>
        <v>7</v>
      </c>
      <c r="X30" s="33" t="s">
        <v>52</v>
      </c>
      <c r="Y30" s="49">
        <f t="shared" si="106"/>
        <v>16</v>
      </c>
      <c r="Z30" s="12" t="s">
        <v>53</v>
      </c>
      <c r="AA30" s="33">
        <f t="shared" si="107"/>
        <v>6</v>
      </c>
      <c r="AB30" s="49" t="s">
        <v>54</v>
      </c>
      <c r="AC30" s="12">
        <f t="shared" si="108"/>
        <v>0.7</v>
      </c>
      <c r="AD30" s="33" t="s">
        <v>52</v>
      </c>
      <c r="AE30" s="53">
        <f t="shared" si="109"/>
        <v>1</v>
      </c>
      <c r="AF30" s="12"/>
      <c r="AG30" s="43">
        <f t="shared" si="110"/>
        <v>11</v>
      </c>
      <c r="AH30" s="33" t="s">
        <v>52</v>
      </c>
      <c r="AI30" s="49">
        <f t="shared" si="111"/>
        <v>29</v>
      </c>
      <c r="AJ30" s="12" t="s">
        <v>53</v>
      </c>
      <c r="AK30" s="33">
        <f t="shared" si="112"/>
        <v>7</v>
      </c>
      <c r="AL30" s="49" t="s">
        <v>54</v>
      </c>
      <c r="AM30" s="12">
        <f t="shared" si="113"/>
        <v>4</v>
      </c>
      <c r="AN30" s="33" t="s">
        <v>52</v>
      </c>
      <c r="AO30" s="49">
        <f t="shared" si="114"/>
        <v>10</v>
      </c>
      <c r="AP30" s="12" t="s">
        <v>53</v>
      </c>
      <c r="AQ30" s="33">
        <f t="shared" si="115"/>
        <v>3</v>
      </c>
      <c r="AR30" s="49" t="s">
        <v>54</v>
      </c>
      <c r="AS30" s="12">
        <f t="shared" si="116"/>
        <v>2</v>
      </c>
      <c r="AT30" s="33" t="s">
        <v>52</v>
      </c>
      <c r="AU30" s="49">
        <f t="shared" si="117"/>
        <v>5</v>
      </c>
      <c r="AV30" s="12" t="s">
        <v>53</v>
      </c>
      <c r="AW30" s="33">
        <f t="shared" si="118"/>
        <v>0</v>
      </c>
      <c r="AX30" s="49" t="s">
        <v>54</v>
      </c>
      <c r="AY30" s="12">
        <f t="shared" si="119"/>
        <v>5</v>
      </c>
      <c r="AZ30" s="33" t="s">
        <v>52</v>
      </c>
      <c r="BA30" s="49">
        <f t="shared" si="120"/>
        <v>14</v>
      </c>
      <c r="BB30" s="12" t="s">
        <v>53</v>
      </c>
      <c r="BC30" s="33">
        <f t="shared" si="121"/>
        <v>4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3</v>
      </c>
      <c r="BJ30" s="33" t="s">
        <v>52</v>
      </c>
      <c r="BK30" s="49">
        <f>IFERROR(IF($B$9="W",BK23,BK22),"0")</f>
        <v>3</v>
      </c>
      <c r="BL30" s="12" t="s">
        <v>53</v>
      </c>
      <c r="BM30" s="33">
        <f>IFERROR(IF($B$9="W",BM23,BM22),"0")</f>
        <v>3</v>
      </c>
      <c r="BN30" s="49" t="s">
        <v>54</v>
      </c>
      <c r="BO30" s="12">
        <f>IFERROR(IF($B$9="W",BO23,BO22),"0")</f>
        <v>1</v>
      </c>
      <c r="BP30" s="33" t="s">
        <v>52</v>
      </c>
      <c r="BQ30" s="49">
        <f>IFERROR(IF($B$9="W",BQ23,BQ22),"0")</f>
        <v>1</v>
      </c>
      <c r="BR30" s="12" t="s">
        <v>53</v>
      </c>
      <c r="BS30" s="33">
        <f>IFERROR(IF($B$9="W",BS23,BS22),"0")</f>
        <v>1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2</v>
      </c>
      <c r="CB30" s="33" t="s">
        <v>52</v>
      </c>
      <c r="CC30" s="49">
        <f>IFERROR(IF($B$9="W",CC23,CC22),"0")</f>
        <v>2</v>
      </c>
      <c r="CD30" s="12" t="s">
        <v>53</v>
      </c>
      <c r="CE30" s="33">
        <f>IFERROR(IF($B$9="W",CE23,CE22),"0")</f>
        <v>2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1</v>
      </c>
      <c r="CK30" s="33">
        <f t="shared" si="129"/>
        <v>13</v>
      </c>
      <c r="CL30" s="33">
        <f t="shared" si="129"/>
        <v>0</v>
      </c>
      <c r="CM30" s="33">
        <f t="shared" si="129"/>
        <v>0</v>
      </c>
      <c r="CN30" s="33">
        <f t="shared" si="129"/>
        <v>14</v>
      </c>
      <c r="CO30" s="33">
        <f t="shared" si="129"/>
        <v>10</v>
      </c>
      <c r="CP30" s="33">
        <f t="shared" si="129"/>
        <v>7</v>
      </c>
      <c r="CQ30" s="33">
        <f t="shared" si="129"/>
        <v>9</v>
      </c>
      <c r="CR30" s="33">
        <f t="shared" si="129"/>
        <v>1</v>
      </c>
      <c r="CS30" s="33">
        <f t="shared" si="129"/>
        <v>5</v>
      </c>
      <c r="CT30" s="33">
        <f t="shared" si="129"/>
        <v>7</v>
      </c>
      <c r="CU30" s="33">
        <f t="shared" si="129"/>
        <v>3</v>
      </c>
      <c r="CV30" s="58">
        <f t="shared" si="129"/>
        <v>35.700000000000003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37.907149399580199</v>
      </c>
      <c r="EW30" s="228" t="s">
        <v>77</v>
      </c>
      <c r="EX30" s="6">
        <f t="shared" si="94"/>
        <v>0.7</v>
      </c>
      <c r="EY30" s="6">
        <f t="shared" si="95"/>
        <v>1</v>
      </c>
      <c r="EZ30" s="6">
        <f t="shared" si="125"/>
        <v>14.364000000000001</v>
      </c>
    </row>
    <row r="31" spans="1:197" ht="17" thickBot="1" x14ac:dyDescent="0.25">
      <c r="C31" s="228" t="s">
        <v>78</v>
      </c>
      <c r="D31" s="28">
        <f>IFERROR(IF(B10="W",D23,D22),"0")</f>
        <v>65.34</v>
      </c>
      <c r="E31" s="86">
        <f t="shared" si="96"/>
        <v>17</v>
      </c>
      <c r="F31" s="33" t="s">
        <v>52</v>
      </c>
      <c r="G31" s="49">
        <f t="shared" si="97"/>
        <v>32</v>
      </c>
      <c r="H31" s="12" t="s">
        <v>53</v>
      </c>
      <c r="I31" s="33">
        <f t="shared" si="98"/>
        <v>13</v>
      </c>
      <c r="J31" s="49" t="s">
        <v>54</v>
      </c>
      <c r="K31" s="12">
        <f t="shared" si="99"/>
        <v>3</v>
      </c>
      <c r="L31" s="33" t="s">
        <v>52</v>
      </c>
      <c r="M31" s="49">
        <f t="shared" si="100"/>
        <v>8</v>
      </c>
      <c r="N31" s="12" t="s">
        <v>53</v>
      </c>
      <c r="O31" s="33">
        <f t="shared" si="101"/>
        <v>1</v>
      </c>
      <c r="P31" s="49" t="s">
        <v>54</v>
      </c>
      <c r="Q31" s="12">
        <f t="shared" si="102"/>
        <v>2</v>
      </c>
      <c r="R31" s="33" t="s">
        <v>52</v>
      </c>
      <c r="S31" s="49">
        <f t="shared" si="103"/>
        <v>5</v>
      </c>
      <c r="T31" s="12" t="s">
        <v>53</v>
      </c>
      <c r="U31" s="33">
        <f t="shared" si="104"/>
        <v>1</v>
      </c>
      <c r="V31" s="49" t="s">
        <v>54</v>
      </c>
      <c r="W31" s="12">
        <f t="shared" si="105"/>
        <v>12</v>
      </c>
      <c r="X31" s="33" t="s">
        <v>52</v>
      </c>
      <c r="Y31" s="49">
        <f t="shared" si="106"/>
        <v>19</v>
      </c>
      <c r="Z31" s="12" t="s">
        <v>53</v>
      </c>
      <c r="AA31" s="33">
        <f t="shared" si="107"/>
        <v>11</v>
      </c>
      <c r="AB31" s="49" t="s">
        <v>54</v>
      </c>
      <c r="AC31" s="12">
        <f t="shared" si="108"/>
        <v>6.6</v>
      </c>
      <c r="AD31" s="33" t="s">
        <v>52</v>
      </c>
      <c r="AE31" s="53">
        <f t="shared" si="109"/>
        <v>9</v>
      </c>
      <c r="AF31" s="12"/>
      <c r="AG31" s="43">
        <f t="shared" si="110"/>
        <v>16</v>
      </c>
      <c r="AH31" s="33" t="s">
        <v>52</v>
      </c>
      <c r="AI31" s="49">
        <f t="shared" si="111"/>
        <v>29</v>
      </c>
      <c r="AJ31" s="12" t="s">
        <v>53</v>
      </c>
      <c r="AK31" s="33">
        <f t="shared" si="112"/>
        <v>12</v>
      </c>
      <c r="AL31" s="49" t="s">
        <v>54</v>
      </c>
      <c r="AM31" s="12">
        <f t="shared" si="113"/>
        <v>3</v>
      </c>
      <c r="AN31" s="33" t="s">
        <v>52</v>
      </c>
      <c r="AO31" s="49">
        <f t="shared" si="114"/>
        <v>7</v>
      </c>
      <c r="AP31" s="12" t="s">
        <v>53</v>
      </c>
      <c r="AQ31" s="33">
        <f t="shared" si="115"/>
        <v>1</v>
      </c>
      <c r="AR31" s="49" t="s">
        <v>54</v>
      </c>
      <c r="AS31" s="12">
        <f t="shared" si="116"/>
        <v>2</v>
      </c>
      <c r="AT31" s="33" t="s">
        <v>52</v>
      </c>
      <c r="AU31" s="49">
        <f t="shared" si="117"/>
        <v>5</v>
      </c>
      <c r="AV31" s="12" t="s">
        <v>53</v>
      </c>
      <c r="AW31" s="33">
        <f t="shared" si="118"/>
        <v>1</v>
      </c>
      <c r="AX31" s="49" t="s">
        <v>54</v>
      </c>
      <c r="AY31" s="12">
        <f t="shared" si="119"/>
        <v>11</v>
      </c>
      <c r="AZ31" s="33" t="s">
        <v>52</v>
      </c>
      <c r="BA31" s="49">
        <f t="shared" si="120"/>
        <v>17</v>
      </c>
      <c r="BB31" s="12" t="s">
        <v>53</v>
      </c>
      <c r="BC31" s="33">
        <f t="shared" si="121"/>
        <v>10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1</v>
      </c>
      <c r="BJ31" s="33" t="s">
        <v>52</v>
      </c>
      <c r="BK31" s="49">
        <f>IFERROR(IF($B$10="W",BK23,BK22),"0")</f>
        <v>3</v>
      </c>
      <c r="BL31" s="12" t="s">
        <v>53</v>
      </c>
      <c r="BM31" s="33">
        <f>IFERROR(IF($B$10="W",BM23,BM22),"0")</f>
        <v>1</v>
      </c>
      <c r="BN31" s="49" t="s">
        <v>54</v>
      </c>
      <c r="BO31" s="12">
        <f>IFERROR(IF($B$10="W",BO23,BO22),"0")</f>
        <v>0</v>
      </c>
      <c r="BP31" s="33" t="s">
        <v>52</v>
      </c>
      <c r="BQ31" s="49">
        <f>IFERROR(IF($B$10="W",BQ23,BQ22),"0")</f>
        <v>1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1</v>
      </c>
      <c r="CB31" s="33" t="s">
        <v>52</v>
      </c>
      <c r="CC31" s="49">
        <f>IFERROR(IF($B$10="W",CC23,CC22),"0")</f>
        <v>2</v>
      </c>
      <c r="CD31" s="12" t="s">
        <v>53</v>
      </c>
      <c r="CE31" s="33">
        <f>IFERROR(IF($B$10="W",CE23,CE22),"0")</f>
        <v>1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2</v>
      </c>
      <c r="CK31" s="33">
        <f t="shared" si="130"/>
        <v>17</v>
      </c>
      <c r="CL31" s="33">
        <f t="shared" si="130"/>
        <v>0</v>
      </c>
      <c r="CM31" s="33">
        <f t="shared" si="130"/>
        <v>0</v>
      </c>
      <c r="CN31" s="33">
        <f t="shared" si="130"/>
        <v>19</v>
      </c>
      <c r="CO31" s="33">
        <f t="shared" si="130"/>
        <v>13</v>
      </c>
      <c r="CP31" s="33">
        <f t="shared" si="130"/>
        <v>13</v>
      </c>
      <c r="CQ31" s="33">
        <f t="shared" si="130"/>
        <v>1</v>
      </c>
      <c r="CR31" s="33">
        <f t="shared" si="130"/>
        <v>9</v>
      </c>
      <c r="CS31" s="33">
        <f t="shared" si="130"/>
        <v>4</v>
      </c>
      <c r="CT31" s="33">
        <f t="shared" si="130"/>
        <v>8</v>
      </c>
      <c r="CU31" s="33">
        <f t="shared" si="130"/>
        <v>4</v>
      </c>
      <c r="CV31" s="58">
        <f t="shared" si="130"/>
        <v>52.6</v>
      </c>
      <c r="CW31" s="33"/>
      <c r="CX31" s="4"/>
      <c r="CY31" s="289">
        <f>(G21-E21)+((SUM(EW4:EW18))-(SUM(EV4:EV18)))</f>
        <v>33</v>
      </c>
      <c r="CZ31" s="290">
        <f>CN21</f>
        <v>33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39.424084176839401</v>
      </c>
      <c r="EW31" s="228" t="s">
        <v>78</v>
      </c>
      <c r="EX31" s="6">
        <f t="shared" si="94"/>
        <v>6.6</v>
      </c>
      <c r="EY31" s="6">
        <f t="shared" si="95"/>
        <v>9</v>
      </c>
      <c r="EZ31" s="6">
        <f t="shared" si="125"/>
        <v>20.344000000000001</v>
      </c>
    </row>
    <row r="32" spans="1:197" x14ac:dyDescent="0.2">
      <c r="C32" s="228" t="s">
        <v>79</v>
      </c>
      <c r="D32" s="28">
        <f>IFERROR(IF(B11="W",D23,D22),"0")</f>
        <v>65.34</v>
      </c>
      <c r="E32" s="86">
        <f t="shared" si="96"/>
        <v>14</v>
      </c>
      <c r="F32" s="33" t="s">
        <v>52</v>
      </c>
      <c r="G32" s="49">
        <f t="shared" si="97"/>
        <v>32</v>
      </c>
      <c r="H32" s="12" t="s">
        <v>53</v>
      </c>
      <c r="I32" s="33">
        <f t="shared" si="98"/>
        <v>10</v>
      </c>
      <c r="J32" s="49" t="s">
        <v>54</v>
      </c>
      <c r="K32" s="12">
        <f t="shared" si="99"/>
        <v>5</v>
      </c>
      <c r="L32" s="33" t="s">
        <v>52</v>
      </c>
      <c r="M32" s="49">
        <f t="shared" si="100"/>
        <v>11</v>
      </c>
      <c r="N32" s="12" t="s">
        <v>53</v>
      </c>
      <c r="O32" s="33">
        <f t="shared" si="101"/>
        <v>4</v>
      </c>
      <c r="P32" s="49" t="s">
        <v>54</v>
      </c>
      <c r="Q32" s="12">
        <f t="shared" si="102"/>
        <v>2</v>
      </c>
      <c r="R32" s="33" t="s">
        <v>52</v>
      </c>
      <c r="S32" s="49">
        <f t="shared" si="103"/>
        <v>5</v>
      </c>
      <c r="T32" s="12" t="s">
        <v>53</v>
      </c>
      <c r="U32" s="33">
        <f t="shared" si="104"/>
        <v>0</v>
      </c>
      <c r="V32" s="49" t="s">
        <v>54</v>
      </c>
      <c r="W32" s="12">
        <f t="shared" si="105"/>
        <v>7</v>
      </c>
      <c r="X32" s="33" t="s">
        <v>52</v>
      </c>
      <c r="Y32" s="49">
        <f t="shared" si="106"/>
        <v>16</v>
      </c>
      <c r="Z32" s="12" t="s">
        <v>53</v>
      </c>
      <c r="AA32" s="33">
        <f t="shared" si="107"/>
        <v>6</v>
      </c>
      <c r="AB32" s="49" t="s">
        <v>54</v>
      </c>
      <c r="AC32" s="12">
        <f t="shared" si="108"/>
        <v>0.7</v>
      </c>
      <c r="AD32" s="33" t="s">
        <v>52</v>
      </c>
      <c r="AE32" s="53">
        <f t="shared" si="109"/>
        <v>1</v>
      </c>
      <c r="AF32" s="12"/>
      <c r="AG32" s="43">
        <f t="shared" si="110"/>
        <v>11</v>
      </c>
      <c r="AH32" s="33" t="s">
        <v>52</v>
      </c>
      <c r="AI32" s="49">
        <f t="shared" si="111"/>
        <v>29</v>
      </c>
      <c r="AJ32" s="12" t="s">
        <v>53</v>
      </c>
      <c r="AK32" s="33">
        <f t="shared" si="112"/>
        <v>7</v>
      </c>
      <c r="AL32" s="49" t="s">
        <v>54</v>
      </c>
      <c r="AM32" s="12">
        <f t="shared" si="113"/>
        <v>4</v>
      </c>
      <c r="AN32" s="33" t="s">
        <v>52</v>
      </c>
      <c r="AO32" s="49">
        <f t="shared" si="114"/>
        <v>10</v>
      </c>
      <c r="AP32" s="12" t="s">
        <v>53</v>
      </c>
      <c r="AQ32" s="33">
        <f t="shared" si="115"/>
        <v>3</v>
      </c>
      <c r="AR32" s="49" t="s">
        <v>54</v>
      </c>
      <c r="AS32" s="12">
        <f t="shared" si="116"/>
        <v>2</v>
      </c>
      <c r="AT32" s="33" t="s">
        <v>52</v>
      </c>
      <c r="AU32" s="49">
        <f t="shared" si="117"/>
        <v>5</v>
      </c>
      <c r="AV32" s="12" t="s">
        <v>53</v>
      </c>
      <c r="AW32" s="33">
        <f t="shared" si="118"/>
        <v>0</v>
      </c>
      <c r="AX32" s="49" t="s">
        <v>54</v>
      </c>
      <c r="AY32" s="12">
        <f t="shared" si="119"/>
        <v>5</v>
      </c>
      <c r="AZ32" s="33" t="s">
        <v>52</v>
      </c>
      <c r="BA32" s="49">
        <f t="shared" si="120"/>
        <v>14</v>
      </c>
      <c r="BB32" s="12" t="s">
        <v>53</v>
      </c>
      <c r="BC32" s="33">
        <f t="shared" si="121"/>
        <v>4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3</v>
      </c>
      <c r="BJ32" s="33" t="s">
        <v>52</v>
      </c>
      <c r="BK32" s="49">
        <f>IFERROR(IF($B$11="W",BK23,BK22),"0")</f>
        <v>3</v>
      </c>
      <c r="BL32" s="12" t="s">
        <v>53</v>
      </c>
      <c r="BM32" s="33">
        <f>IFERROR(IF($B$11="W",BM23,BM22),"0")</f>
        <v>3</v>
      </c>
      <c r="BN32" s="49" t="s">
        <v>54</v>
      </c>
      <c r="BO32" s="12">
        <f>IFERROR(IF($B$11="W",BO23,BO22),"0")</f>
        <v>1</v>
      </c>
      <c r="BP32" s="33" t="s">
        <v>52</v>
      </c>
      <c r="BQ32" s="49">
        <f>IFERROR(IF($B$11="W",BQ23,BQ22),"0")</f>
        <v>1</v>
      </c>
      <c r="BR32" s="12" t="s">
        <v>53</v>
      </c>
      <c r="BS32" s="33">
        <f>IFERROR(IF($B$11="W",BS23,BS22),"0")</f>
        <v>1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2</v>
      </c>
      <c r="CB32" s="33" t="s">
        <v>52</v>
      </c>
      <c r="CC32" s="49">
        <f>IFERROR(IF($B$11="W",CC23,CC22),"0")</f>
        <v>2</v>
      </c>
      <c r="CD32" s="12" t="s">
        <v>53</v>
      </c>
      <c r="CE32" s="33">
        <f>IFERROR(IF($B$11="W",CE23,CE22),"0")</f>
        <v>2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1</v>
      </c>
      <c r="CK32" s="33">
        <f t="shared" si="131"/>
        <v>13</v>
      </c>
      <c r="CL32" s="33">
        <f t="shared" si="131"/>
        <v>0</v>
      </c>
      <c r="CM32" s="33">
        <f t="shared" si="131"/>
        <v>0</v>
      </c>
      <c r="CN32" s="33">
        <f t="shared" si="131"/>
        <v>14</v>
      </c>
      <c r="CO32" s="33">
        <f t="shared" si="131"/>
        <v>10</v>
      </c>
      <c r="CP32" s="33">
        <f t="shared" si="131"/>
        <v>7</v>
      </c>
      <c r="CQ32" s="33">
        <f t="shared" si="131"/>
        <v>9</v>
      </c>
      <c r="CR32" s="33">
        <f t="shared" si="131"/>
        <v>1</v>
      </c>
      <c r="CS32" s="33">
        <f t="shared" si="131"/>
        <v>5</v>
      </c>
      <c r="CT32" s="33">
        <f t="shared" si="131"/>
        <v>7</v>
      </c>
      <c r="CU32" s="33">
        <f t="shared" si="131"/>
        <v>3</v>
      </c>
      <c r="CV32" s="58">
        <f t="shared" si="131"/>
        <v>35.700000000000003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37.907149399580199</v>
      </c>
      <c r="EW32" s="228" t="s">
        <v>79</v>
      </c>
      <c r="EX32" s="6">
        <f t="shared" si="94"/>
        <v>0.7</v>
      </c>
      <c r="EY32" s="6">
        <f t="shared" si="95"/>
        <v>1</v>
      </c>
      <c r="EZ32" s="6">
        <f t="shared" si="125"/>
        <v>14.364000000000001</v>
      </c>
    </row>
    <row r="33" spans="3:156" x14ac:dyDescent="0.2">
      <c r="C33" s="228" t="s">
        <v>114</v>
      </c>
      <c r="D33" s="28">
        <f>IFERROR(IF(B12="W",D23,D22),"0")</f>
        <v>65.34</v>
      </c>
      <c r="E33" s="86">
        <f t="shared" si="96"/>
        <v>17</v>
      </c>
      <c r="F33" s="33" t="s">
        <v>52</v>
      </c>
      <c r="G33" s="49">
        <f t="shared" si="97"/>
        <v>32</v>
      </c>
      <c r="H33" s="12" t="s">
        <v>53</v>
      </c>
      <c r="I33" s="33">
        <f t="shared" si="98"/>
        <v>13</v>
      </c>
      <c r="J33" s="49" t="s">
        <v>54</v>
      </c>
      <c r="K33" s="12">
        <f t="shared" si="99"/>
        <v>3</v>
      </c>
      <c r="L33" s="33" t="s">
        <v>52</v>
      </c>
      <c r="M33" s="49">
        <f t="shared" si="100"/>
        <v>8</v>
      </c>
      <c r="N33" s="12" t="s">
        <v>53</v>
      </c>
      <c r="O33" s="33">
        <f t="shared" si="101"/>
        <v>1</v>
      </c>
      <c r="P33" s="49" t="s">
        <v>54</v>
      </c>
      <c r="Q33" s="12">
        <f t="shared" si="102"/>
        <v>2</v>
      </c>
      <c r="R33" s="33" t="s">
        <v>52</v>
      </c>
      <c r="S33" s="49">
        <f t="shared" si="103"/>
        <v>5</v>
      </c>
      <c r="T33" s="12" t="s">
        <v>53</v>
      </c>
      <c r="U33" s="33">
        <f t="shared" si="104"/>
        <v>1</v>
      </c>
      <c r="V33" s="49" t="s">
        <v>54</v>
      </c>
      <c r="W33" s="12">
        <f t="shared" si="105"/>
        <v>12</v>
      </c>
      <c r="X33" s="33" t="s">
        <v>52</v>
      </c>
      <c r="Y33" s="49">
        <f t="shared" si="106"/>
        <v>19</v>
      </c>
      <c r="Z33" s="12" t="s">
        <v>53</v>
      </c>
      <c r="AA33" s="33">
        <f t="shared" si="107"/>
        <v>11</v>
      </c>
      <c r="AB33" s="49" t="s">
        <v>54</v>
      </c>
      <c r="AC33" s="12">
        <f t="shared" si="108"/>
        <v>6.6</v>
      </c>
      <c r="AD33" s="33" t="s">
        <v>52</v>
      </c>
      <c r="AE33" s="53">
        <f t="shared" si="109"/>
        <v>9</v>
      </c>
      <c r="AF33" s="12"/>
      <c r="AG33" s="43">
        <f t="shared" si="110"/>
        <v>16</v>
      </c>
      <c r="AH33" s="33" t="s">
        <v>52</v>
      </c>
      <c r="AI33" s="49">
        <f t="shared" si="111"/>
        <v>29</v>
      </c>
      <c r="AJ33" s="12" t="s">
        <v>53</v>
      </c>
      <c r="AK33" s="33">
        <f t="shared" si="112"/>
        <v>12</v>
      </c>
      <c r="AL33" s="49" t="s">
        <v>54</v>
      </c>
      <c r="AM33" s="12">
        <f t="shared" si="113"/>
        <v>3</v>
      </c>
      <c r="AN33" s="33" t="s">
        <v>52</v>
      </c>
      <c r="AO33" s="49">
        <f t="shared" si="114"/>
        <v>7</v>
      </c>
      <c r="AP33" s="12" t="s">
        <v>53</v>
      </c>
      <c r="AQ33" s="33">
        <f t="shared" si="115"/>
        <v>1</v>
      </c>
      <c r="AR33" s="49" t="s">
        <v>54</v>
      </c>
      <c r="AS33" s="12">
        <f t="shared" si="116"/>
        <v>2</v>
      </c>
      <c r="AT33" s="33" t="s">
        <v>52</v>
      </c>
      <c r="AU33" s="49">
        <f t="shared" si="117"/>
        <v>5</v>
      </c>
      <c r="AV33" s="12" t="s">
        <v>53</v>
      </c>
      <c r="AW33" s="33">
        <f t="shared" si="118"/>
        <v>1</v>
      </c>
      <c r="AX33" s="49" t="s">
        <v>54</v>
      </c>
      <c r="AY33" s="12">
        <f t="shared" si="119"/>
        <v>11</v>
      </c>
      <c r="AZ33" s="33" t="s">
        <v>52</v>
      </c>
      <c r="BA33" s="49">
        <f t="shared" si="120"/>
        <v>17</v>
      </c>
      <c r="BB33" s="12" t="s">
        <v>53</v>
      </c>
      <c r="BC33" s="33">
        <f t="shared" si="121"/>
        <v>10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1</v>
      </c>
      <c r="BJ33" s="33" t="s">
        <v>52</v>
      </c>
      <c r="BK33" s="49">
        <f>IFERROR(IF($B$12="W",BK23,BK22),"0")</f>
        <v>3</v>
      </c>
      <c r="BL33" s="12" t="s">
        <v>53</v>
      </c>
      <c r="BM33" s="33">
        <f>IFERROR(IF($B$12="W",BM23,BM22),"0")</f>
        <v>1</v>
      </c>
      <c r="BN33" s="49" t="s">
        <v>54</v>
      </c>
      <c r="BO33" s="12">
        <f>IFERROR(IF($B$12="W",BO23,BO22),"0")</f>
        <v>0</v>
      </c>
      <c r="BP33" s="33" t="s">
        <v>52</v>
      </c>
      <c r="BQ33" s="49">
        <f>IFERROR(IF($B$12="W",BQ23,BQ22),"0")</f>
        <v>1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1</v>
      </c>
      <c r="CB33" s="33" t="s">
        <v>52</v>
      </c>
      <c r="CC33" s="49">
        <f>IFERROR(IF($B$12="W",CC23,CC22),"0")</f>
        <v>2</v>
      </c>
      <c r="CD33" s="12" t="s">
        <v>53</v>
      </c>
      <c r="CE33" s="33">
        <f>IFERROR(IF($B$12="W",CE23,CE22),"0")</f>
        <v>1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2</v>
      </c>
      <c r="CK33" s="33">
        <f t="shared" si="132"/>
        <v>17</v>
      </c>
      <c r="CL33" s="33">
        <f t="shared" si="132"/>
        <v>0</v>
      </c>
      <c r="CM33" s="33">
        <f t="shared" si="132"/>
        <v>0</v>
      </c>
      <c r="CN33" s="33">
        <f t="shared" si="132"/>
        <v>19</v>
      </c>
      <c r="CO33" s="33">
        <f t="shared" si="132"/>
        <v>13</v>
      </c>
      <c r="CP33" s="33">
        <f t="shared" si="132"/>
        <v>13</v>
      </c>
      <c r="CQ33" s="33">
        <f t="shared" si="132"/>
        <v>1</v>
      </c>
      <c r="CR33" s="33">
        <f t="shared" si="132"/>
        <v>9</v>
      </c>
      <c r="CS33" s="33">
        <f t="shared" si="132"/>
        <v>4</v>
      </c>
      <c r="CT33" s="33">
        <f t="shared" si="132"/>
        <v>8</v>
      </c>
      <c r="CU33" s="33">
        <f t="shared" si="132"/>
        <v>4</v>
      </c>
      <c r="CV33" s="58">
        <f t="shared" si="132"/>
        <v>52.6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39.424084176839401</v>
      </c>
      <c r="EW33" s="228" t="s">
        <v>114</v>
      </c>
      <c r="EX33" s="6">
        <f t="shared" si="94"/>
        <v>6.6</v>
      </c>
      <c r="EY33" s="6">
        <f t="shared" si="95"/>
        <v>9</v>
      </c>
      <c r="EZ33" s="6">
        <f t="shared" si="125"/>
        <v>20.344000000000001</v>
      </c>
    </row>
    <row r="34" spans="3:156" x14ac:dyDescent="0.2">
      <c r="C34" s="228" t="s">
        <v>223</v>
      </c>
      <c r="D34" s="28">
        <f>IFERROR(IF(B13="W",D23,D22),"0")</f>
        <v>65.34</v>
      </c>
      <c r="E34" s="86">
        <f t="shared" si="96"/>
        <v>17</v>
      </c>
      <c r="F34" s="33" t="s">
        <v>52</v>
      </c>
      <c r="G34" s="49">
        <f t="shared" si="97"/>
        <v>32</v>
      </c>
      <c r="H34" s="12" t="s">
        <v>53</v>
      </c>
      <c r="I34" s="33">
        <f t="shared" si="98"/>
        <v>13</v>
      </c>
      <c r="J34" s="49" t="s">
        <v>54</v>
      </c>
      <c r="K34" s="12">
        <f t="shared" si="99"/>
        <v>3</v>
      </c>
      <c r="L34" s="33" t="s">
        <v>52</v>
      </c>
      <c r="M34" s="49">
        <f t="shared" si="100"/>
        <v>8</v>
      </c>
      <c r="N34" s="12" t="s">
        <v>53</v>
      </c>
      <c r="O34" s="33">
        <f t="shared" si="101"/>
        <v>1</v>
      </c>
      <c r="P34" s="49" t="s">
        <v>54</v>
      </c>
      <c r="Q34" s="12">
        <f t="shared" si="102"/>
        <v>2</v>
      </c>
      <c r="R34" s="33" t="s">
        <v>52</v>
      </c>
      <c r="S34" s="49">
        <f t="shared" si="103"/>
        <v>5</v>
      </c>
      <c r="T34" s="12" t="s">
        <v>53</v>
      </c>
      <c r="U34" s="33">
        <f t="shared" si="104"/>
        <v>1</v>
      </c>
      <c r="V34" s="49" t="s">
        <v>54</v>
      </c>
      <c r="W34" s="12">
        <f t="shared" si="105"/>
        <v>12</v>
      </c>
      <c r="X34" s="33" t="s">
        <v>52</v>
      </c>
      <c r="Y34" s="49">
        <f t="shared" si="106"/>
        <v>19</v>
      </c>
      <c r="Z34" s="12" t="s">
        <v>53</v>
      </c>
      <c r="AA34" s="33">
        <f t="shared" si="107"/>
        <v>11</v>
      </c>
      <c r="AB34" s="49" t="s">
        <v>54</v>
      </c>
      <c r="AC34" s="12">
        <f t="shared" si="108"/>
        <v>6.6</v>
      </c>
      <c r="AD34" s="33" t="s">
        <v>52</v>
      </c>
      <c r="AE34" s="53">
        <f t="shared" si="109"/>
        <v>9</v>
      </c>
      <c r="AF34" s="12"/>
      <c r="AG34" s="43">
        <f t="shared" si="110"/>
        <v>16</v>
      </c>
      <c r="AH34" s="33" t="s">
        <v>52</v>
      </c>
      <c r="AI34" s="49">
        <f t="shared" si="111"/>
        <v>29</v>
      </c>
      <c r="AJ34" s="12" t="s">
        <v>53</v>
      </c>
      <c r="AK34" s="33">
        <f t="shared" si="112"/>
        <v>12</v>
      </c>
      <c r="AL34" s="49" t="s">
        <v>54</v>
      </c>
      <c r="AM34" s="12">
        <f t="shared" si="113"/>
        <v>3</v>
      </c>
      <c r="AN34" s="33" t="s">
        <v>52</v>
      </c>
      <c r="AO34" s="49">
        <f t="shared" si="114"/>
        <v>7</v>
      </c>
      <c r="AP34" s="12" t="s">
        <v>53</v>
      </c>
      <c r="AQ34" s="33">
        <f t="shared" si="115"/>
        <v>1</v>
      </c>
      <c r="AR34" s="49" t="s">
        <v>54</v>
      </c>
      <c r="AS34" s="12">
        <f t="shared" si="116"/>
        <v>2</v>
      </c>
      <c r="AT34" s="33" t="s">
        <v>52</v>
      </c>
      <c r="AU34" s="49">
        <f t="shared" si="117"/>
        <v>5</v>
      </c>
      <c r="AV34" s="12" t="s">
        <v>53</v>
      </c>
      <c r="AW34" s="33">
        <f t="shared" si="118"/>
        <v>1</v>
      </c>
      <c r="AX34" s="49" t="s">
        <v>54</v>
      </c>
      <c r="AY34" s="12">
        <f t="shared" si="119"/>
        <v>11</v>
      </c>
      <c r="AZ34" s="33" t="s">
        <v>52</v>
      </c>
      <c r="BA34" s="49">
        <f t="shared" si="120"/>
        <v>17</v>
      </c>
      <c r="BB34" s="12" t="s">
        <v>53</v>
      </c>
      <c r="BC34" s="33">
        <f t="shared" si="121"/>
        <v>10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1</v>
      </c>
      <c r="BJ34" s="33" t="s">
        <v>52</v>
      </c>
      <c r="BK34" s="49">
        <f>IFERROR(IF($B$13="W",BK23,BK22),"0")</f>
        <v>3</v>
      </c>
      <c r="BL34" s="12" t="s">
        <v>53</v>
      </c>
      <c r="BM34" s="33">
        <f>IFERROR(IF($B$13="W",BM23,BM22),"0")</f>
        <v>1</v>
      </c>
      <c r="BN34" s="49" t="s">
        <v>54</v>
      </c>
      <c r="BO34" s="12">
        <f>IFERROR(IF($B$13="W",BO23,BO22),"0")</f>
        <v>0</v>
      </c>
      <c r="BP34" s="33" t="s">
        <v>52</v>
      </c>
      <c r="BQ34" s="49">
        <f>IFERROR(IF($B$13="W",BQ23,BQ22),"0")</f>
        <v>1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1</v>
      </c>
      <c r="CB34" s="33" t="s">
        <v>52</v>
      </c>
      <c r="CC34" s="49">
        <f>IFERROR(IF($B$13="W",CC23,CC22),"0")</f>
        <v>2</v>
      </c>
      <c r="CD34" s="12" t="s">
        <v>53</v>
      </c>
      <c r="CE34" s="33">
        <f>IFERROR(IF($B$13="W",CE23,CE22),"0")</f>
        <v>1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2</v>
      </c>
      <c r="CK34" s="33">
        <f t="shared" si="133"/>
        <v>17</v>
      </c>
      <c r="CL34" s="33">
        <f t="shared" si="133"/>
        <v>0</v>
      </c>
      <c r="CM34" s="33">
        <f t="shared" si="133"/>
        <v>0</v>
      </c>
      <c r="CN34" s="33">
        <f t="shared" si="133"/>
        <v>19</v>
      </c>
      <c r="CO34" s="33">
        <f t="shared" si="133"/>
        <v>13</v>
      </c>
      <c r="CP34" s="33">
        <f t="shared" si="133"/>
        <v>13</v>
      </c>
      <c r="CQ34" s="33">
        <f t="shared" si="133"/>
        <v>1</v>
      </c>
      <c r="CR34" s="33">
        <f t="shared" si="133"/>
        <v>9</v>
      </c>
      <c r="CS34" s="33">
        <f t="shared" si="133"/>
        <v>4</v>
      </c>
      <c r="CT34" s="33">
        <f t="shared" si="133"/>
        <v>8</v>
      </c>
      <c r="CU34" s="33">
        <f t="shared" si="133"/>
        <v>4</v>
      </c>
      <c r="CV34" s="58">
        <f t="shared" si="133"/>
        <v>52.6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39.424084176839401</v>
      </c>
      <c r="EW34" s="228" t="s">
        <v>223</v>
      </c>
      <c r="EX34" s="6">
        <f t="shared" si="94"/>
        <v>6.6</v>
      </c>
      <c r="EY34" s="6">
        <f t="shared" si="95"/>
        <v>9</v>
      </c>
      <c r="EZ34" s="6">
        <f t="shared" si="125"/>
        <v>20.344000000000001</v>
      </c>
    </row>
    <row r="35" spans="3:156" x14ac:dyDescent="0.2">
      <c r="C35" s="228" t="s">
        <v>80</v>
      </c>
      <c r="D35" s="28">
        <f>IFERROR(IF(B14="W",D23,D22),"0")</f>
        <v>65.34</v>
      </c>
      <c r="E35" s="86">
        <f t="shared" si="96"/>
        <v>14</v>
      </c>
      <c r="F35" s="33" t="s">
        <v>52</v>
      </c>
      <c r="G35" s="49">
        <f t="shared" si="97"/>
        <v>32</v>
      </c>
      <c r="H35" s="12" t="s">
        <v>53</v>
      </c>
      <c r="I35" s="33">
        <f t="shared" si="98"/>
        <v>10</v>
      </c>
      <c r="J35" s="49" t="s">
        <v>54</v>
      </c>
      <c r="K35" s="12">
        <f t="shared" si="99"/>
        <v>5</v>
      </c>
      <c r="L35" s="33" t="s">
        <v>52</v>
      </c>
      <c r="M35" s="49">
        <f t="shared" si="100"/>
        <v>11</v>
      </c>
      <c r="N35" s="12" t="s">
        <v>53</v>
      </c>
      <c r="O35" s="33">
        <f t="shared" si="101"/>
        <v>4</v>
      </c>
      <c r="P35" s="49" t="s">
        <v>54</v>
      </c>
      <c r="Q35" s="12">
        <f t="shared" si="102"/>
        <v>2</v>
      </c>
      <c r="R35" s="33" t="s">
        <v>52</v>
      </c>
      <c r="S35" s="49">
        <f t="shared" si="103"/>
        <v>5</v>
      </c>
      <c r="T35" s="12" t="s">
        <v>53</v>
      </c>
      <c r="U35" s="33">
        <f t="shared" si="104"/>
        <v>0</v>
      </c>
      <c r="V35" s="49" t="s">
        <v>54</v>
      </c>
      <c r="W35" s="12">
        <f t="shared" si="105"/>
        <v>7</v>
      </c>
      <c r="X35" s="33" t="s">
        <v>52</v>
      </c>
      <c r="Y35" s="49">
        <f t="shared" si="106"/>
        <v>16</v>
      </c>
      <c r="Z35" s="12" t="s">
        <v>53</v>
      </c>
      <c r="AA35" s="33">
        <f t="shared" si="107"/>
        <v>6</v>
      </c>
      <c r="AB35" s="49" t="s">
        <v>54</v>
      </c>
      <c r="AC35" s="12">
        <f t="shared" si="108"/>
        <v>0.7</v>
      </c>
      <c r="AD35" s="33" t="s">
        <v>52</v>
      </c>
      <c r="AE35" s="53">
        <f t="shared" si="109"/>
        <v>1</v>
      </c>
      <c r="AF35" s="12"/>
      <c r="AG35" s="43">
        <f t="shared" si="110"/>
        <v>11</v>
      </c>
      <c r="AH35" s="33" t="s">
        <v>52</v>
      </c>
      <c r="AI35" s="49">
        <f t="shared" si="111"/>
        <v>29</v>
      </c>
      <c r="AJ35" s="12" t="s">
        <v>53</v>
      </c>
      <c r="AK35" s="33">
        <f t="shared" si="112"/>
        <v>7</v>
      </c>
      <c r="AL35" s="49" t="s">
        <v>54</v>
      </c>
      <c r="AM35" s="12">
        <f t="shared" si="113"/>
        <v>4</v>
      </c>
      <c r="AN35" s="33" t="s">
        <v>52</v>
      </c>
      <c r="AO35" s="49">
        <f t="shared" si="114"/>
        <v>10</v>
      </c>
      <c r="AP35" s="12" t="s">
        <v>53</v>
      </c>
      <c r="AQ35" s="33">
        <f t="shared" si="115"/>
        <v>3</v>
      </c>
      <c r="AR35" s="49" t="s">
        <v>54</v>
      </c>
      <c r="AS35" s="12">
        <f t="shared" si="116"/>
        <v>2</v>
      </c>
      <c r="AT35" s="33" t="s">
        <v>52</v>
      </c>
      <c r="AU35" s="49">
        <f t="shared" si="117"/>
        <v>5</v>
      </c>
      <c r="AV35" s="12" t="s">
        <v>53</v>
      </c>
      <c r="AW35" s="33">
        <f t="shared" si="118"/>
        <v>0</v>
      </c>
      <c r="AX35" s="49" t="s">
        <v>54</v>
      </c>
      <c r="AY35" s="12">
        <f t="shared" si="119"/>
        <v>5</v>
      </c>
      <c r="AZ35" s="33" t="s">
        <v>52</v>
      </c>
      <c r="BA35" s="49">
        <f t="shared" si="120"/>
        <v>14</v>
      </c>
      <c r="BB35" s="12" t="s">
        <v>53</v>
      </c>
      <c r="BC35" s="33">
        <f t="shared" si="121"/>
        <v>4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3</v>
      </c>
      <c r="BJ35" s="12" t="str">
        <f t="shared" ref="BJ35:CI35" si="134">IFERROR(IF($B$14="W",BJ23,BJ22),"0")</f>
        <v>-</v>
      </c>
      <c r="BK35" s="49">
        <f t="shared" si="134"/>
        <v>3</v>
      </c>
      <c r="BL35" s="12" t="str">
        <f t="shared" si="134"/>
        <v>(</v>
      </c>
      <c r="BM35" s="33">
        <f t="shared" si="134"/>
        <v>3</v>
      </c>
      <c r="BN35" s="49" t="str">
        <f t="shared" si="134"/>
        <v>)</v>
      </c>
      <c r="BO35" s="12">
        <f t="shared" si="134"/>
        <v>1</v>
      </c>
      <c r="BP35" s="12" t="str">
        <f t="shared" si="134"/>
        <v>-</v>
      </c>
      <c r="BQ35" s="49">
        <f t="shared" si="134"/>
        <v>1</v>
      </c>
      <c r="BR35" s="12" t="str">
        <f t="shared" si="134"/>
        <v>(</v>
      </c>
      <c r="BS35" s="33">
        <f t="shared" si="134"/>
        <v>1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2</v>
      </c>
      <c r="CB35" s="12" t="str">
        <f t="shared" si="134"/>
        <v>-</v>
      </c>
      <c r="CC35" s="49">
        <f t="shared" si="134"/>
        <v>2</v>
      </c>
      <c r="CD35" s="12" t="str">
        <f t="shared" si="134"/>
        <v>(</v>
      </c>
      <c r="CE35" s="33">
        <f t="shared" si="134"/>
        <v>2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1</v>
      </c>
      <c r="CK35" s="33">
        <f t="shared" ref="CK35:CV35" si="135">IFERROR(IF($B$14="W",CK23,CK22),"0")</f>
        <v>13</v>
      </c>
      <c r="CL35" s="33">
        <f t="shared" si="135"/>
        <v>0</v>
      </c>
      <c r="CM35" s="33">
        <f t="shared" si="135"/>
        <v>0</v>
      </c>
      <c r="CN35" s="33">
        <f t="shared" si="135"/>
        <v>14</v>
      </c>
      <c r="CO35" s="33">
        <f t="shared" si="135"/>
        <v>10</v>
      </c>
      <c r="CP35" s="33">
        <f t="shared" si="135"/>
        <v>7</v>
      </c>
      <c r="CQ35" s="33">
        <f t="shared" si="135"/>
        <v>9</v>
      </c>
      <c r="CR35" s="33">
        <f t="shared" si="135"/>
        <v>1</v>
      </c>
      <c r="CS35" s="33">
        <f t="shared" si="135"/>
        <v>5</v>
      </c>
      <c r="CT35" s="33">
        <f t="shared" si="135"/>
        <v>7</v>
      </c>
      <c r="CU35" s="33">
        <f t="shared" si="135"/>
        <v>3</v>
      </c>
      <c r="CV35" s="33">
        <f t="shared" si="135"/>
        <v>35.700000000000003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37.907149399580199</v>
      </c>
      <c r="EW35" s="228" t="s">
        <v>80</v>
      </c>
      <c r="EX35" s="6">
        <f t="shared" si="94"/>
        <v>0.7</v>
      </c>
      <c r="EY35" s="6">
        <f t="shared" si="95"/>
        <v>1</v>
      </c>
      <c r="EZ35" s="6">
        <f t="shared" si="125"/>
        <v>14.364000000000001</v>
      </c>
    </row>
    <row r="36" spans="3:156" x14ac:dyDescent="0.2">
      <c r="C36" s="228" t="s">
        <v>224</v>
      </c>
      <c r="D36" s="28">
        <f>IFERROR(IF(B15="W",D23,D22),"0")</f>
        <v>65.34</v>
      </c>
      <c r="E36" s="86">
        <f t="shared" si="96"/>
        <v>17</v>
      </c>
      <c r="F36" s="33" t="s">
        <v>52</v>
      </c>
      <c r="G36" s="49">
        <f t="shared" si="97"/>
        <v>32</v>
      </c>
      <c r="H36" s="12" t="s">
        <v>53</v>
      </c>
      <c r="I36" s="33">
        <f t="shared" si="98"/>
        <v>13</v>
      </c>
      <c r="J36" s="49" t="s">
        <v>54</v>
      </c>
      <c r="K36" s="12">
        <f t="shared" si="99"/>
        <v>3</v>
      </c>
      <c r="L36" s="33" t="s">
        <v>52</v>
      </c>
      <c r="M36" s="49">
        <f t="shared" si="100"/>
        <v>8</v>
      </c>
      <c r="N36" s="12" t="s">
        <v>53</v>
      </c>
      <c r="O36" s="33">
        <f t="shared" si="101"/>
        <v>1</v>
      </c>
      <c r="P36" s="49" t="s">
        <v>54</v>
      </c>
      <c r="Q36" s="12">
        <f t="shared" si="102"/>
        <v>2</v>
      </c>
      <c r="R36" s="33" t="s">
        <v>52</v>
      </c>
      <c r="S36" s="49">
        <f t="shared" si="103"/>
        <v>5</v>
      </c>
      <c r="T36" s="12" t="s">
        <v>53</v>
      </c>
      <c r="U36" s="33">
        <f t="shared" si="104"/>
        <v>1</v>
      </c>
      <c r="V36" s="49" t="s">
        <v>54</v>
      </c>
      <c r="W36" s="12">
        <f t="shared" si="105"/>
        <v>12</v>
      </c>
      <c r="X36" s="33" t="s">
        <v>52</v>
      </c>
      <c r="Y36" s="49">
        <f t="shared" si="106"/>
        <v>19</v>
      </c>
      <c r="Z36" s="12" t="s">
        <v>53</v>
      </c>
      <c r="AA36" s="33">
        <f t="shared" si="107"/>
        <v>11</v>
      </c>
      <c r="AB36" s="49" t="s">
        <v>54</v>
      </c>
      <c r="AC36" s="12">
        <f t="shared" si="108"/>
        <v>6.6</v>
      </c>
      <c r="AD36" s="33" t="s">
        <v>52</v>
      </c>
      <c r="AE36" s="53">
        <f t="shared" si="109"/>
        <v>9</v>
      </c>
      <c r="AF36" s="12"/>
      <c r="AG36" s="43">
        <f t="shared" si="110"/>
        <v>16</v>
      </c>
      <c r="AH36" s="33" t="s">
        <v>52</v>
      </c>
      <c r="AI36" s="49">
        <f t="shared" si="111"/>
        <v>29</v>
      </c>
      <c r="AJ36" s="12" t="s">
        <v>53</v>
      </c>
      <c r="AK36" s="33">
        <f t="shared" si="112"/>
        <v>12</v>
      </c>
      <c r="AL36" s="49" t="s">
        <v>54</v>
      </c>
      <c r="AM36" s="12">
        <f t="shared" si="113"/>
        <v>3</v>
      </c>
      <c r="AN36" s="33" t="s">
        <v>52</v>
      </c>
      <c r="AO36" s="49">
        <f t="shared" si="114"/>
        <v>7</v>
      </c>
      <c r="AP36" s="12" t="s">
        <v>53</v>
      </c>
      <c r="AQ36" s="33">
        <f t="shared" si="115"/>
        <v>1</v>
      </c>
      <c r="AR36" s="49" t="s">
        <v>54</v>
      </c>
      <c r="AS36" s="12">
        <f t="shared" si="116"/>
        <v>2</v>
      </c>
      <c r="AT36" s="33" t="s">
        <v>52</v>
      </c>
      <c r="AU36" s="49">
        <f t="shared" si="117"/>
        <v>5</v>
      </c>
      <c r="AV36" s="12" t="s">
        <v>53</v>
      </c>
      <c r="AW36" s="33">
        <f t="shared" si="118"/>
        <v>1</v>
      </c>
      <c r="AX36" s="49" t="s">
        <v>54</v>
      </c>
      <c r="AY36" s="12">
        <f t="shared" si="119"/>
        <v>11</v>
      </c>
      <c r="AZ36" s="33" t="s">
        <v>52</v>
      </c>
      <c r="BA36" s="49">
        <f t="shared" si="120"/>
        <v>17</v>
      </c>
      <c r="BB36" s="12" t="s">
        <v>53</v>
      </c>
      <c r="BC36" s="33">
        <f t="shared" si="121"/>
        <v>10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1</v>
      </c>
      <c r="BJ36" s="12" t="str">
        <f t="shared" ref="BJ36:CI36" si="136">IFERROR(IF($B$15="W",BJ23,BJ22),"0")</f>
        <v>-</v>
      </c>
      <c r="BK36" s="49">
        <f t="shared" si="136"/>
        <v>3</v>
      </c>
      <c r="BL36" s="12" t="str">
        <f t="shared" si="136"/>
        <v>(</v>
      </c>
      <c r="BM36" s="33">
        <f t="shared" si="136"/>
        <v>1</v>
      </c>
      <c r="BN36" s="49" t="str">
        <f t="shared" si="136"/>
        <v>)</v>
      </c>
      <c r="BO36" s="12">
        <f t="shared" si="136"/>
        <v>0</v>
      </c>
      <c r="BP36" s="12" t="str">
        <f t="shared" si="136"/>
        <v>-</v>
      </c>
      <c r="BQ36" s="49">
        <f t="shared" si="136"/>
        <v>1</v>
      </c>
      <c r="BR36" s="12" t="str">
        <f t="shared" si="136"/>
        <v>(</v>
      </c>
      <c r="BS36" s="33">
        <f t="shared" si="136"/>
        <v>0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0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1</v>
      </c>
      <c r="CB36" s="12" t="str">
        <f t="shared" si="136"/>
        <v>-</v>
      </c>
      <c r="CC36" s="49">
        <f t="shared" si="136"/>
        <v>2</v>
      </c>
      <c r="CD36" s="12" t="str">
        <f t="shared" si="136"/>
        <v>(</v>
      </c>
      <c r="CE36" s="33">
        <f t="shared" si="136"/>
        <v>1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2</v>
      </c>
      <c r="CK36" s="33">
        <f t="shared" ref="CK36:CV36" si="137">IFERROR(IF($B$15="W",CK23,CK22),"0")</f>
        <v>17</v>
      </c>
      <c r="CL36" s="33">
        <f t="shared" si="137"/>
        <v>0</v>
      </c>
      <c r="CM36" s="33">
        <f t="shared" si="137"/>
        <v>0</v>
      </c>
      <c r="CN36" s="33">
        <f t="shared" si="137"/>
        <v>19</v>
      </c>
      <c r="CO36" s="33">
        <f t="shared" si="137"/>
        <v>13</v>
      </c>
      <c r="CP36" s="33">
        <f t="shared" si="137"/>
        <v>13</v>
      </c>
      <c r="CQ36" s="33">
        <f t="shared" si="137"/>
        <v>1</v>
      </c>
      <c r="CR36" s="33">
        <f t="shared" si="137"/>
        <v>9</v>
      </c>
      <c r="CS36" s="33">
        <f t="shared" si="137"/>
        <v>4</v>
      </c>
      <c r="CT36" s="33">
        <f t="shared" si="137"/>
        <v>8</v>
      </c>
      <c r="CU36" s="33">
        <f t="shared" si="137"/>
        <v>4</v>
      </c>
      <c r="CV36" s="33">
        <f t="shared" si="137"/>
        <v>52.6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39.424084176839401</v>
      </c>
      <c r="EW36" s="228" t="s">
        <v>224</v>
      </c>
      <c r="EX36" s="6">
        <f t="shared" si="94"/>
        <v>6.6</v>
      </c>
      <c r="EY36" s="6">
        <f t="shared" si="95"/>
        <v>9</v>
      </c>
      <c r="EZ36" s="6">
        <f t="shared" si="125"/>
        <v>20.344000000000001</v>
      </c>
    </row>
    <row r="37" spans="3:156" x14ac:dyDescent="0.2">
      <c r="C37" s="228" t="s">
        <v>112</v>
      </c>
      <c r="D37" s="28">
        <f>IFERROR(IF(B16="W",D23,D22),"0")</f>
        <v>65.34</v>
      </c>
      <c r="E37" s="86">
        <f t="shared" si="96"/>
        <v>14</v>
      </c>
      <c r="F37" s="33" t="s">
        <v>52</v>
      </c>
      <c r="G37" s="49">
        <f t="shared" si="97"/>
        <v>32</v>
      </c>
      <c r="H37" s="12" t="s">
        <v>53</v>
      </c>
      <c r="I37" s="33">
        <f t="shared" si="98"/>
        <v>10</v>
      </c>
      <c r="J37" s="49" t="s">
        <v>54</v>
      </c>
      <c r="K37" s="12">
        <f t="shared" si="99"/>
        <v>5</v>
      </c>
      <c r="L37" s="33" t="s">
        <v>52</v>
      </c>
      <c r="M37" s="49">
        <f t="shared" si="100"/>
        <v>11</v>
      </c>
      <c r="N37" s="12" t="s">
        <v>53</v>
      </c>
      <c r="O37" s="33">
        <f t="shared" si="101"/>
        <v>4</v>
      </c>
      <c r="P37" s="49" t="s">
        <v>54</v>
      </c>
      <c r="Q37" s="12">
        <f t="shared" si="102"/>
        <v>2</v>
      </c>
      <c r="R37" s="33" t="s">
        <v>52</v>
      </c>
      <c r="S37" s="49">
        <f t="shared" si="103"/>
        <v>5</v>
      </c>
      <c r="T37" s="12" t="s">
        <v>53</v>
      </c>
      <c r="U37" s="33">
        <f t="shared" si="104"/>
        <v>0</v>
      </c>
      <c r="V37" s="49" t="s">
        <v>54</v>
      </c>
      <c r="W37" s="12">
        <f t="shared" si="105"/>
        <v>7</v>
      </c>
      <c r="X37" s="33" t="s">
        <v>52</v>
      </c>
      <c r="Y37" s="49">
        <f t="shared" si="106"/>
        <v>16</v>
      </c>
      <c r="Z37" s="12" t="s">
        <v>53</v>
      </c>
      <c r="AA37" s="33">
        <f t="shared" si="107"/>
        <v>6</v>
      </c>
      <c r="AB37" s="49" t="s">
        <v>54</v>
      </c>
      <c r="AC37" s="12">
        <f t="shared" si="108"/>
        <v>0.7</v>
      </c>
      <c r="AD37" s="33" t="s">
        <v>52</v>
      </c>
      <c r="AE37" s="53">
        <f t="shared" si="109"/>
        <v>1</v>
      </c>
      <c r="AF37" s="12"/>
      <c r="AG37" s="43">
        <f t="shared" si="110"/>
        <v>11</v>
      </c>
      <c r="AH37" s="33" t="s">
        <v>52</v>
      </c>
      <c r="AI37" s="49">
        <f t="shared" si="111"/>
        <v>29</v>
      </c>
      <c r="AJ37" s="12" t="s">
        <v>53</v>
      </c>
      <c r="AK37" s="33">
        <f t="shared" si="112"/>
        <v>7</v>
      </c>
      <c r="AL37" s="49" t="s">
        <v>54</v>
      </c>
      <c r="AM37" s="12">
        <f t="shared" si="113"/>
        <v>4</v>
      </c>
      <c r="AN37" s="33" t="s">
        <v>52</v>
      </c>
      <c r="AO37" s="49">
        <f t="shared" si="114"/>
        <v>10</v>
      </c>
      <c r="AP37" s="12" t="s">
        <v>53</v>
      </c>
      <c r="AQ37" s="33">
        <f t="shared" si="115"/>
        <v>3</v>
      </c>
      <c r="AR37" s="49" t="s">
        <v>54</v>
      </c>
      <c r="AS37" s="12">
        <f t="shared" si="116"/>
        <v>2</v>
      </c>
      <c r="AT37" s="33" t="s">
        <v>52</v>
      </c>
      <c r="AU37" s="49">
        <f t="shared" si="117"/>
        <v>5</v>
      </c>
      <c r="AV37" s="12" t="s">
        <v>53</v>
      </c>
      <c r="AW37" s="33">
        <f t="shared" si="118"/>
        <v>0</v>
      </c>
      <c r="AX37" s="49" t="s">
        <v>54</v>
      </c>
      <c r="AY37" s="12">
        <f t="shared" si="119"/>
        <v>5</v>
      </c>
      <c r="AZ37" s="33" t="s">
        <v>52</v>
      </c>
      <c r="BA37" s="49">
        <f t="shared" si="120"/>
        <v>14</v>
      </c>
      <c r="BB37" s="12" t="s">
        <v>53</v>
      </c>
      <c r="BC37" s="33">
        <f t="shared" si="121"/>
        <v>4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3</v>
      </c>
      <c r="BJ37" s="12" t="str">
        <f t="shared" ref="BJ37:CI37" si="138">IFERROR(IF($B$16="W",BJ23,BJ22),"0")</f>
        <v>-</v>
      </c>
      <c r="BK37" s="49">
        <f t="shared" si="138"/>
        <v>3</v>
      </c>
      <c r="BL37" s="12" t="str">
        <f t="shared" si="138"/>
        <v>(</v>
      </c>
      <c r="BM37" s="33">
        <f t="shared" si="138"/>
        <v>3</v>
      </c>
      <c r="BN37" s="49" t="str">
        <f t="shared" si="138"/>
        <v>)</v>
      </c>
      <c r="BO37" s="12">
        <f t="shared" si="138"/>
        <v>1</v>
      </c>
      <c r="BP37" s="12" t="str">
        <f t="shared" si="138"/>
        <v>-</v>
      </c>
      <c r="BQ37" s="49">
        <f t="shared" si="138"/>
        <v>1</v>
      </c>
      <c r="BR37" s="12" t="str">
        <f t="shared" si="138"/>
        <v>(</v>
      </c>
      <c r="BS37" s="33">
        <f t="shared" si="138"/>
        <v>1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0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2</v>
      </c>
      <c r="CB37" s="12" t="str">
        <f t="shared" si="138"/>
        <v>-</v>
      </c>
      <c r="CC37" s="49">
        <f t="shared" si="138"/>
        <v>2</v>
      </c>
      <c r="CD37" s="12" t="str">
        <f t="shared" si="138"/>
        <v>(</v>
      </c>
      <c r="CE37" s="33">
        <f t="shared" si="138"/>
        <v>2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1</v>
      </c>
      <c r="CK37" s="33">
        <f t="shared" ref="CK37:CV37" si="139">IFERROR(IF($B$16="W",CK23,CK22),"0")</f>
        <v>13</v>
      </c>
      <c r="CL37" s="33">
        <f t="shared" si="139"/>
        <v>0</v>
      </c>
      <c r="CM37" s="33">
        <f t="shared" si="139"/>
        <v>0</v>
      </c>
      <c r="CN37" s="33">
        <f t="shared" si="139"/>
        <v>14</v>
      </c>
      <c r="CO37" s="33">
        <f t="shared" si="139"/>
        <v>10</v>
      </c>
      <c r="CP37" s="33">
        <f t="shared" si="139"/>
        <v>7</v>
      </c>
      <c r="CQ37" s="33">
        <f t="shared" si="139"/>
        <v>9</v>
      </c>
      <c r="CR37" s="33">
        <f t="shared" si="139"/>
        <v>1</v>
      </c>
      <c r="CS37" s="33">
        <f t="shared" si="139"/>
        <v>5</v>
      </c>
      <c r="CT37" s="33">
        <f t="shared" si="139"/>
        <v>7</v>
      </c>
      <c r="CU37" s="33">
        <f t="shared" si="139"/>
        <v>3</v>
      </c>
      <c r="CV37" s="33">
        <f t="shared" si="139"/>
        <v>35.700000000000003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37.907149399580199</v>
      </c>
      <c r="EW37" s="228" t="s">
        <v>112</v>
      </c>
      <c r="EX37" s="6">
        <f t="shared" si="94"/>
        <v>0.7</v>
      </c>
      <c r="EY37" s="6">
        <f t="shared" si="95"/>
        <v>1</v>
      </c>
      <c r="EZ37" s="6">
        <f>IFERROR(IF(B16="W",$EZ$23,$EZ$22),"0")</f>
        <v>14.364000000000001</v>
      </c>
    </row>
    <row r="38" spans="3:156" x14ac:dyDescent="0.2">
      <c r="C38" s="229" t="s">
        <v>81</v>
      </c>
      <c r="D38" s="28">
        <f>IFERROR(IF(B17="W",D23,D22),"0")</f>
        <v>65.34</v>
      </c>
      <c r="E38" s="86">
        <f t="shared" si="96"/>
        <v>17</v>
      </c>
      <c r="F38" s="33" t="s">
        <v>52</v>
      </c>
      <c r="G38" s="49">
        <f t="shared" si="97"/>
        <v>32</v>
      </c>
      <c r="H38" s="12" t="s">
        <v>53</v>
      </c>
      <c r="I38" s="33">
        <f t="shared" si="98"/>
        <v>13</v>
      </c>
      <c r="J38" s="49" t="s">
        <v>54</v>
      </c>
      <c r="K38" s="12">
        <f t="shared" si="99"/>
        <v>3</v>
      </c>
      <c r="L38" s="33" t="s">
        <v>52</v>
      </c>
      <c r="M38" s="49">
        <f t="shared" si="100"/>
        <v>8</v>
      </c>
      <c r="N38" s="12" t="s">
        <v>53</v>
      </c>
      <c r="O38" s="33">
        <f t="shared" si="101"/>
        <v>1</v>
      </c>
      <c r="P38" s="49" t="s">
        <v>54</v>
      </c>
      <c r="Q38" s="12">
        <f t="shared" si="102"/>
        <v>2</v>
      </c>
      <c r="R38" s="33" t="s">
        <v>52</v>
      </c>
      <c r="S38" s="49">
        <f t="shared" si="103"/>
        <v>5</v>
      </c>
      <c r="T38" s="12" t="s">
        <v>53</v>
      </c>
      <c r="U38" s="33">
        <f t="shared" si="104"/>
        <v>1</v>
      </c>
      <c r="V38" s="49" t="s">
        <v>54</v>
      </c>
      <c r="W38" s="12">
        <f t="shared" si="105"/>
        <v>12</v>
      </c>
      <c r="X38" s="33" t="s">
        <v>52</v>
      </c>
      <c r="Y38" s="49">
        <f t="shared" si="106"/>
        <v>19</v>
      </c>
      <c r="Z38" s="12" t="s">
        <v>53</v>
      </c>
      <c r="AA38" s="33">
        <f t="shared" si="107"/>
        <v>11</v>
      </c>
      <c r="AB38" s="49" t="s">
        <v>54</v>
      </c>
      <c r="AC38" s="12">
        <f t="shared" si="108"/>
        <v>6.6</v>
      </c>
      <c r="AD38" s="33" t="s">
        <v>52</v>
      </c>
      <c r="AE38" s="53">
        <f t="shared" si="109"/>
        <v>9</v>
      </c>
      <c r="AF38" s="12"/>
      <c r="AG38" s="43">
        <f t="shared" si="110"/>
        <v>16</v>
      </c>
      <c r="AH38" s="33" t="s">
        <v>52</v>
      </c>
      <c r="AI38" s="49">
        <f t="shared" si="111"/>
        <v>29</v>
      </c>
      <c r="AJ38" s="12" t="s">
        <v>53</v>
      </c>
      <c r="AK38" s="33">
        <f t="shared" si="112"/>
        <v>12</v>
      </c>
      <c r="AL38" s="49" t="s">
        <v>54</v>
      </c>
      <c r="AM38" s="12">
        <f t="shared" si="113"/>
        <v>3</v>
      </c>
      <c r="AN38" s="33" t="s">
        <v>52</v>
      </c>
      <c r="AO38" s="49">
        <f t="shared" si="114"/>
        <v>7</v>
      </c>
      <c r="AP38" s="12" t="s">
        <v>53</v>
      </c>
      <c r="AQ38" s="33">
        <f t="shared" si="115"/>
        <v>1</v>
      </c>
      <c r="AR38" s="49" t="s">
        <v>54</v>
      </c>
      <c r="AS38" s="12">
        <f t="shared" si="116"/>
        <v>2</v>
      </c>
      <c r="AT38" s="33" t="s">
        <v>52</v>
      </c>
      <c r="AU38" s="49">
        <f t="shared" si="117"/>
        <v>5</v>
      </c>
      <c r="AV38" s="12" t="s">
        <v>53</v>
      </c>
      <c r="AW38" s="33">
        <f t="shared" si="118"/>
        <v>1</v>
      </c>
      <c r="AX38" s="49" t="s">
        <v>54</v>
      </c>
      <c r="AY38" s="12">
        <f t="shared" si="119"/>
        <v>11</v>
      </c>
      <c r="AZ38" s="33" t="s">
        <v>52</v>
      </c>
      <c r="BA38" s="49">
        <f t="shared" si="120"/>
        <v>17</v>
      </c>
      <c r="BB38" s="12" t="s">
        <v>53</v>
      </c>
      <c r="BC38" s="33">
        <f t="shared" si="121"/>
        <v>10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1</v>
      </c>
      <c r="BJ38" s="12" t="str">
        <f t="shared" ref="BJ38:CI38" si="140">IFERROR(IF($B$17="W",BJ23,BJ22),"0")</f>
        <v>-</v>
      </c>
      <c r="BK38" s="49">
        <f t="shared" si="140"/>
        <v>3</v>
      </c>
      <c r="BL38" s="12" t="str">
        <f t="shared" si="140"/>
        <v>(</v>
      </c>
      <c r="BM38" s="33">
        <f t="shared" si="140"/>
        <v>1</v>
      </c>
      <c r="BN38" s="49" t="str">
        <f t="shared" si="140"/>
        <v>)</v>
      </c>
      <c r="BO38" s="12">
        <f t="shared" si="140"/>
        <v>0</v>
      </c>
      <c r="BP38" s="12" t="str">
        <f t="shared" si="140"/>
        <v>-</v>
      </c>
      <c r="BQ38" s="49">
        <f t="shared" si="140"/>
        <v>1</v>
      </c>
      <c r="BR38" s="12" t="str">
        <f t="shared" si="140"/>
        <v>(</v>
      </c>
      <c r="BS38" s="33">
        <f t="shared" si="140"/>
        <v>0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0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1</v>
      </c>
      <c r="CB38" s="12" t="str">
        <f t="shared" si="140"/>
        <v>-</v>
      </c>
      <c r="CC38" s="49">
        <f t="shared" si="140"/>
        <v>2</v>
      </c>
      <c r="CD38" s="12" t="str">
        <f t="shared" si="140"/>
        <v>(</v>
      </c>
      <c r="CE38" s="33">
        <f t="shared" si="140"/>
        <v>1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2</v>
      </c>
      <c r="CK38" s="33">
        <f t="shared" ref="CK38:CV38" si="141">IFERROR(IF($B$17="W",CK23,CK22),"0")</f>
        <v>17</v>
      </c>
      <c r="CL38" s="33">
        <f t="shared" si="141"/>
        <v>0</v>
      </c>
      <c r="CM38" s="33">
        <f t="shared" si="141"/>
        <v>0</v>
      </c>
      <c r="CN38" s="33">
        <f t="shared" si="141"/>
        <v>19</v>
      </c>
      <c r="CO38" s="33">
        <f t="shared" si="141"/>
        <v>13</v>
      </c>
      <c r="CP38" s="33">
        <f t="shared" si="141"/>
        <v>13</v>
      </c>
      <c r="CQ38" s="33">
        <f t="shared" si="141"/>
        <v>1</v>
      </c>
      <c r="CR38" s="33">
        <f t="shared" si="141"/>
        <v>9</v>
      </c>
      <c r="CS38" s="33">
        <f t="shared" si="141"/>
        <v>4</v>
      </c>
      <c r="CT38" s="33">
        <f t="shared" si="141"/>
        <v>8</v>
      </c>
      <c r="CU38" s="33">
        <f t="shared" si="141"/>
        <v>4</v>
      </c>
      <c r="CV38" s="33">
        <f t="shared" si="141"/>
        <v>52.6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39.424084176839401</v>
      </c>
      <c r="EW38" s="229" t="s">
        <v>81</v>
      </c>
      <c r="EX38" s="6">
        <f t="shared" si="94"/>
        <v>6.6</v>
      </c>
      <c r="EY38" s="6">
        <f t="shared" si="95"/>
        <v>9</v>
      </c>
      <c r="EZ38" s="6">
        <f t="shared" si="125"/>
        <v>20.344000000000001</v>
      </c>
    </row>
    <row r="39" spans="3:156" x14ac:dyDescent="0.2">
      <c r="C39" s="229" t="s">
        <v>225</v>
      </c>
      <c r="D39" s="28">
        <f>IFERROR(IF(B18="W",D23,D22),"0")</f>
        <v>65.34</v>
      </c>
      <c r="E39" s="86">
        <f t="shared" si="96"/>
        <v>14</v>
      </c>
      <c r="F39" s="33" t="s">
        <v>52</v>
      </c>
      <c r="G39" s="49">
        <f t="shared" si="97"/>
        <v>32</v>
      </c>
      <c r="H39" s="12" t="s">
        <v>53</v>
      </c>
      <c r="I39" s="33">
        <f t="shared" si="98"/>
        <v>10</v>
      </c>
      <c r="J39" s="49" t="s">
        <v>54</v>
      </c>
      <c r="K39" s="12">
        <f t="shared" si="99"/>
        <v>5</v>
      </c>
      <c r="L39" s="33" t="s">
        <v>52</v>
      </c>
      <c r="M39" s="49">
        <f t="shared" si="100"/>
        <v>11</v>
      </c>
      <c r="N39" s="12" t="s">
        <v>53</v>
      </c>
      <c r="O39" s="33">
        <f t="shared" si="101"/>
        <v>4</v>
      </c>
      <c r="P39" s="49" t="s">
        <v>54</v>
      </c>
      <c r="Q39" s="12">
        <f t="shared" si="102"/>
        <v>2</v>
      </c>
      <c r="R39" s="33" t="s">
        <v>52</v>
      </c>
      <c r="S39" s="49">
        <f t="shared" si="103"/>
        <v>5</v>
      </c>
      <c r="T39" s="12" t="s">
        <v>53</v>
      </c>
      <c r="U39" s="33">
        <f t="shared" si="104"/>
        <v>0</v>
      </c>
      <c r="V39" s="49" t="s">
        <v>54</v>
      </c>
      <c r="W39" s="12">
        <f t="shared" si="105"/>
        <v>7</v>
      </c>
      <c r="X39" s="33" t="s">
        <v>52</v>
      </c>
      <c r="Y39" s="49">
        <f t="shared" si="106"/>
        <v>16</v>
      </c>
      <c r="Z39" s="12" t="s">
        <v>53</v>
      </c>
      <c r="AA39" s="33">
        <f t="shared" si="107"/>
        <v>6</v>
      </c>
      <c r="AB39" s="49" t="s">
        <v>54</v>
      </c>
      <c r="AC39" s="12">
        <f t="shared" si="108"/>
        <v>0.7</v>
      </c>
      <c r="AD39" s="33" t="s">
        <v>52</v>
      </c>
      <c r="AE39" s="53">
        <f t="shared" si="109"/>
        <v>1</v>
      </c>
      <c r="AF39" s="12"/>
      <c r="AG39" s="43">
        <f t="shared" si="110"/>
        <v>11</v>
      </c>
      <c r="AH39" s="33" t="s">
        <v>52</v>
      </c>
      <c r="AI39" s="49">
        <f t="shared" si="111"/>
        <v>29</v>
      </c>
      <c r="AJ39" s="12" t="s">
        <v>53</v>
      </c>
      <c r="AK39" s="33">
        <f t="shared" si="112"/>
        <v>7</v>
      </c>
      <c r="AL39" s="49" t="s">
        <v>54</v>
      </c>
      <c r="AM39" s="12">
        <f t="shared" si="113"/>
        <v>4</v>
      </c>
      <c r="AN39" s="33" t="s">
        <v>52</v>
      </c>
      <c r="AO39" s="49">
        <f t="shared" si="114"/>
        <v>10</v>
      </c>
      <c r="AP39" s="12" t="s">
        <v>53</v>
      </c>
      <c r="AQ39" s="33">
        <f t="shared" si="115"/>
        <v>3</v>
      </c>
      <c r="AR39" s="49" t="s">
        <v>54</v>
      </c>
      <c r="AS39" s="12">
        <f t="shared" si="116"/>
        <v>2</v>
      </c>
      <c r="AT39" s="33" t="s">
        <v>52</v>
      </c>
      <c r="AU39" s="49">
        <f t="shared" si="117"/>
        <v>5</v>
      </c>
      <c r="AV39" s="12" t="s">
        <v>53</v>
      </c>
      <c r="AW39" s="33">
        <f t="shared" si="118"/>
        <v>0</v>
      </c>
      <c r="AX39" s="49" t="s">
        <v>54</v>
      </c>
      <c r="AY39" s="12">
        <f t="shared" si="119"/>
        <v>5</v>
      </c>
      <c r="AZ39" s="33" t="s">
        <v>52</v>
      </c>
      <c r="BA39" s="49">
        <f t="shared" si="120"/>
        <v>14</v>
      </c>
      <c r="BB39" s="12" t="s">
        <v>53</v>
      </c>
      <c r="BC39" s="33">
        <f t="shared" si="121"/>
        <v>4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3</v>
      </c>
      <c r="BJ39" s="12" t="str">
        <f t="shared" ref="BJ39:CI39" si="142">IFERROR(IF($B$18="W",BJ23,BJ22),"0")</f>
        <v>-</v>
      </c>
      <c r="BK39" s="49">
        <f t="shared" si="142"/>
        <v>3</v>
      </c>
      <c r="BL39" s="12" t="str">
        <f t="shared" si="142"/>
        <v>(</v>
      </c>
      <c r="BM39" s="33">
        <f t="shared" si="142"/>
        <v>3</v>
      </c>
      <c r="BN39" s="49" t="str">
        <f t="shared" si="142"/>
        <v>)</v>
      </c>
      <c r="BO39" s="12">
        <f t="shared" si="142"/>
        <v>1</v>
      </c>
      <c r="BP39" s="12" t="str">
        <f t="shared" si="142"/>
        <v>-</v>
      </c>
      <c r="BQ39" s="49">
        <f t="shared" si="142"/>
        <v>1</v>
      </c>
      <c r="BR39" s="12" t="str">
        <f t="shared" si="142"/>
        <v>(</v>
      </c>
      <c r="BS39" s="33">
        <f t="shared" si="142"/>
        <v>1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2</v>
      </c>
      <c r="CB39" s="12" t="str">
        <f t="shared" si="142"/>
        <v>-</v>
      </c>
      <c r="CC39" s="49">
        <f t="shared" si="142"/>
        <v>2</v>
      </c>
      <c r="CD39" s="12" t="str">
        <f t="shared" si="142"/>
        <v>(</v>
      </c>
      <c r="CE39" s="33">
        <f t="shared" si="142"/>
        <v>2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1</v>
      </c>
      <c r="CK39" s="33">
        <f t="shared" ref="CK39:CV39" si="143">IFERROR(IF($B$18="W",CK23,CK22),"0")</f>
        <v>13</v>
      </c>
      <c r="CL39" s="33">
        <f t="shared" si="143"/>
        <v>0</v>
      </c>
      <c r="CM39" s="33">
        <f t="shared" si="143"/>
        <v>0</v>
      </c>
      <c r="CN39" s="33">
        <f t="shared" si="143"/>
        <v>14</v>
      </c>
      <c r="CO39" s="33">
        <f t="shared" si="143"/>
        <v>10</v>
      </c>
      <c r="CP39" s="33">
        <f t="shared" si="143"/>
        <v>7</v>
      </c>
      <c r="CQ39" s="33">
        <f t="shared" si="143"/>
        <v>9</v>
      </c>
      <c r="CR39" s="33">
        <f t="shared" si="143"/>
        <v>1</v>
      </c>
      <c r="CS39" s="33">
        <f t="shared" si="143"/>
        <v>5</v>
      </c>
      <c r="CT39" s="33">
        <f t="shared" si="143"/>
        <v>7</v>
      </c>
      <c r="CU39" s="33">
        <f t="shared" si="143"/>
        <v>3</v>
      </c>
      <c r="CV39" s="33">
        <f t="shared" si="143"/>
        <v>35.700000000000003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37.907149399580199</v>
      </c>
      <c r="EW39" s="229" t="s">
        <v>225</v>
      </c>
      <c r="EX39" s="6">
        <f t="shared" si="94"/>
        <v>0.7</v>
      </c>
      <c r="EY39" s="6">
        <f t="shared" si="95"/>
        <v>1</v>
      </c>
      <c r="EZ39" s="6">
        <f t="shared" si="125"/>
        <v>14.364000000000001</v>
      </c>
    </row>
    <row r="40" spans="3:156" x14ac:dyDescent="0.2">
      <c r="C40" s="38" t="s">
        <v>42</v>
      </c>
      <c r="D40" s="28">
        <f t="shared" ref="D40:D54" si="144">IFERROR(IF(B4="W",D$22,D$23),"0")</f>
        <v>65.34</v>
      </c>
      <c r="E40" s="86">
        <f>IFERROR(IF(B4="W",$E$22,$E$23),"0")</f>
        <v>14</v>
      </c>
      <c r="F40" s="33" t="s">
        <v>52</v>
      </c>
      <c r="G40" s="49">
        <f>IFERROR(IF(B4="W",$G$22,$G$23),"0")</f>
        <v>32</v>
      </c>
      <c r="H40" s="12" t="s">
        <v>53</v>
      </c>
      <c r="I40" s="33">
        <f>IFERROR(IF(B4="W",I$22,I$23),"0")</f>
        <v>10</v>
      </c>
      <c r="J40" s="49" t="s">
        <v>54</v>
      </c>
      <c r="K40" s="12">
        <f>IFERROR(IF(B4="W",K$22,K$23),"0")</f>
        <v>5</v>
      </c>
      <c r="L40" s="33" t="s">
        <v>52</v>
      </c>
      <c r="M40" s="49">
        <f>IFERROR(IF(B4="W",M$22,M$23),"0")</f>
        <v>11</v>
      </c>
      <c r="N40" s="12" t="s">
        <v>53</v>
      </c>
      <c r="O40" s="33">
        <f>IFERROR(IF(B4="W",O$22,O$23),"0")</f>
        <v>4</v>
      </c>
      <c r="P40" s="49" t="s">
        <v>54</v>
      </c>
      <c r="Q40" s="12">
        <f>IFERROR(IF(B4="W",Q$22,Q$23),"0")</f>
        <v>2</v>
      </c>
      <c r="R40" s="33" t="s">
        <v>52</v>
      </c>
      <c r="S40" s="49">
        <f>IFERROR(IF(B4="W",S$22,S$23),"0")</f>
        <v>5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7</v>
      </c>
      <c r="X40" s="33" t="s">
        <v>52</v>
      </c>
      <c r="Y40" s="49">
        <f>IFERROR(IF(B4="W",Y$22,Y$23),"0")</f>
        <v>16</v>
      </c>
      <c r="Z40" s="12" t="s">
        <v>53</v>
      </c>
      <c r="AA40" s="33">
        <f>IFERROR(IF(B4="W",AA$22,AA$23),"0")</f>
        <v>6</v>
      </c>
      <c r="AB40" s="49" t="s">
        <v>54</v>
      </c>
      <c r="AC40" s="12">
        <f>IFERROR(IF(B4="W",AC$22,AC$23),"0")</f>
        <v>0.7</v>
      </c>
      <c r="AD40" s="33" t="s">
        <v>52</v>
      </c>
      <c r="AE40" s="53">
        <f>IFERROR(IF(B4="W",AE$22,AE$23),"0")</f>
        <v>1</v>
      </c>
      <c r="AF40" s="12"/>
      <c r="AG40" s="43">
        <f>IFERROR(IF(B4="W",AG$22,AG$23),"0")</f>
        <v>11</v>
      </c>
      <c r="AH40" s="33" t="s">
        <v>52</v>
      </c>
      <c r="AI40" s="49">
        <f>IFERROR(IF(B4="W",AI$22,AI$23),"0")</f>
        <v>29</v>
      </c>
      <c r="AJ40" s="12" t="s">
        <v>53</v>
      </c>
      <c r="AK40" s="33">
        <f>IFERROR(IF(B4="W",AK$22,AK$23),"0")</f>
        <v>7</v>
      </c>
      <c r="AL40" s="49" t="s">
        <v>54</v>
      </c>
      <c r="AM40" s="12">
        <f>IFERROR(IF(B4="W",AM$22,AM$23),"0")</f>
        <v>4</v>
      </c>
      <c r="AN40" s="33" t="s">
        <v>52</v>
      </c>
      <c r="AO40" s="49">
        <f>IFERROR(IF(B4="W",AO$22,AO$23),"0")</f>
        <v>10</v>
      </c>
      <c r="AP40" s="12" t="s">
        <v>53</v>
      </c>
      <c r="AQ40" s="33">
        <f>IFERROR(IF(B4="W",AQ$22,AQ$23),"0")</f>
        <v>3</v>
      </c>
      <c r="AR40" s="49" t="s">
        <v>54</v>
      </c>
      <c r="AS40" s="12">
        <f>IFERROR(IF(B4="W",AS$22,AS$23),"0")</f>
        <v>2</v>
      </c>
      <c r="AT40" s="33" t="s">
        <v>52</v>
      </c>
      <c r="AU40" s="49">
        <f>IFERROR(IF(B4="W",AU$22,AU$23),"0")</f>
        <v>5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5</v>
      </c>
      <c r="AZ40" s="33" t="s">
        <v>52</v>
      </c>
      <c r="BA40" s="49">
        <f>IFERROR(IF(B4="W",BA$22,BA$23),"0")</f>
        <v>14</v>
      </c>
      <c r="BB40" s="12" t="s">
        <v>53</v>
      </c>
      <c r="BC40" s="33">
        <f>IFERROR(IF(B4="W",BC$22,BC$23),"0")</f>
        <v>4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3</v>
      </c>
      <c r="BJ40" s="33" t="s">
        <v>52</v>
      </c>
      <c r="BK40" s="49">
        <f>IFERROR(IF($B$4="W",BK22,BK23),"0")</f>
        <v>3</v>
      </c>
      <c r="BL40" s="12" t="s">
        <v>53</v>
      </c>
      <c r="BM40" s="33">
        <f>IFERROR(IF($B$4="W",BM22,BM23),"0")</f>
        <v>3</v>
      </c>
      <c r="BN40" s="49" t="s">
        <v>54</v>
      </c>
      <c r="BO40" s="12">
        <f>IFERROR(IF($B$4="W",BO22,BO23),"0")</f>
        <v>1</v>
      </c>
      <c r="BP40" s="33" t="s">
        <v>52</v>
      </c>
      <c r="BQ40" s="49">
        <f>IFERROR(IF($B$4="W",BQ22,BQ23),"0")</f>
        <v>1</v>
      </c>
      <c r="BR40" s="12" t="s">
        <v>53</v>
      </c>
      <c r="BS40" s="33">
        <f>IFERROR(IF($B$4="W",BS22,BS23),"0")</f>
        <v>1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2</v>
      </c>
      <c r="CB40" s="33" t="s">
        <v>52</v>
      </c>
      <c r="CC40" s="49">
        <f>IFERROR(IF($B$4="W",CC22,CC23),"0")</f>
        <v>2</v>
      </c>
      <c r="CD40" s="12" t="s">
        <v>53</v>
      </c>
      <c r="CE40" s="33">
        <f>IFERROR(IF($B$4="W",CE22,CE23),"0")</f>
        <v>2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1</v>
      </c>
      <c r="CK40" s="33">
        <f t="shared" si="145"/>
        <v>13</v>
      </c>
      <c r="CL40" s="33">
        <f t="shared" si="145"/>
        <v>0</v>
      </c>
      <c r="CM40" s="33">
        <f t="shared" si="145"/>
        <v>0</v>
      </c>
      <c r="CN40" s="33">
        <f t="shared" si="145"/>
        <v>14</v>
      </c>
      <c r="CO40" s="33">
        <f t="shared" si="145"/>
        <v>10</v>
      </c>
      <c r="CP40" s="33">
        <f t="shared" si="145"/>
        <v>7</v>
      </c>
      <c r="CQ40" s="33">
        <f t="shared" si="145"/>
        <v>9</v>
      </c>
      <c r="CR40" s="33">
        <f t="shared" si="145"/>
        <v>1</v>
      </c>
      <c r="CS40" s="33">
        <f t="shared" si="145"/>
        <v>5</v>
      </c>
      <c r="CT40" s="33">
        <f t="shared" si="145"/>
        <v>7</v>
      </c>
      <c r="CU40" s="33">
        <f t="shared" si="145"/>
        <v>3</v>
      </c>
      <c r="CV40" s="58">
        <f t="shared" si="145"/>
        <v>35.700000000000003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37.907149399580199</v>
      </c>
      <c r="EW40" s="38" t="s">
        <v>42</v>
      </c>
      <c r="EX40" s="6">
        <f t="shared" ref="EX40:EX54" si="147">IFERROR(IF(B4="W",$EX$22,$EX$23),"0")</f>
        <v>0.7</v>
      </c>
      <c r="EY40" s="6">
        <f>IFERROR(IF(B4="W",$EY$22,$EY$23),"0")</f>
        <v>1</v>
      </c>
      <c r="EZ40" s="6">
        <f>IFERROR(IF(B4="W",$EZ$22,$EZ$23),"0")</f>
        <v>14.364000000000001</v>
      </c>
    </row>
    <row r="41" spans="3:156" x14ac:dyDescent="0.2">
      <c r="C41" s="38" t="s">
        <v>43</v>
      </c>
      <c r="D41" s="28">
        <f t="shared" si="144"/>
        <v>65.34</v>
      </c>
      <c r="E41" s="86">
        <f t="shared" ref="E41:E54" si="148">IFERROR(IF(B5="W",$E$22,$E$23),"0")</f>
        <v>17</v>
      </c>
      <c r="F41" s="33" t="s">
        <v>52</v>
      </c>
      <c r="G41" s="49">
        <f t="shared" ref="G41:G54" si="149">IFERROR(IF(B5="W",$G$22,$G$23),"0")</f>
        <v>32</v>
      </c>
      <c r="H41" s="12" t="s">
        <v>53</v>
      </c>
      <c r="I41" s="33">
        <f t="shared" ref="I41:I54" si="150">IFERROR(IF(B5="W",I$22,I$23),"0")</f>
        <v>13</v>
      </c>
      <c r="J41" s="49" t="s">
        <v>54</v>
      </c>
      <c r="K41" s="12">
        <f t="shared" ref="K41:K54" si="151">IFERROR(IF(B5="W",K$22,K$23),"0")</f>
        <v>3</v>
      </c>
      <c r="L41" s="33" t="s">
        <v>52</v>
      </c>
      <c r="M41" s="49">
        <f t="shared" ref="M41:M54" si="152">IFERROR(IF(B5="W",M$22,M$23),"0")</f>
        <v>8</v>
      </c>
      <c r="N41" s="12" t="s">
        <v>53</v>
      </c>
      <c r="O41" s="33">
        <f t="shared" ref="O41:O54" si="153">IFERROR(IF(B5="W",O$22,O$23),"0")</f>
        <v>1</v>
      </c>
      <c r="P41" s="49" t="s">
        <v>54</v>
      </c>
      <c r="Q41" s="12">
        <f t="shared" ref="Q41:Q54" si="154">IFERROR(IF(B5="W",Q$22,Q$23),"0")</f>
        <v>2</v>
      </c>
      <c r="R41" s="33" t="s">
        <v>52</v>
      </c>
      <c r="S41" s="49">
        <f t="shared" ref="S41:S54" si="155">IFERROR(IF(B5="W",S$22,S$23),"0")</f>
        <v>5</v>
      </c>
      <c r="T41" s="12" t="s">
        <v>53</v>
      </c>
      <c r="U41" s="33">
        <f t="shared" ref="U41:U54" si="156">IFERROR(IF(B5="W",U$22,U$23),"0")</f>
        <v>1</v>
      </c>
      <c r="V41" s="49" t="s">
        <v>54</v>
      </c>
      <c r="W41" s="12">
        <f t="shared" ref="W41:W54" si="157">IFERROR(IF(B5="W",W$22,W$23),"0")</f>
        <v>12</v>
      </c>
      <c r="X41" s="33" t="s">
        <v>52</v>
      </c>
      <c r="Y41" s="49">
        <f t="shared" ref="Y41:Y54" si="158">IFERROR(IF(B5="W",Y$22,Y$23),"0")</f>
        <v>19</v>
      </c>
      <c r="Z41" s="12" t="s">
        <v>53</v>
      </c>
      <c r="AA41" s="33">
        <f t="shared" ref="AA41:AA54" si="159">IFERROR(IF(B5="W",AA$22,AA$23),"0")</f>
        <v>11</v>
      </c>
      <c r="AB41" s="49" t="s">
        <v>54</v>
      </c>
      <c r="AC41" s="12">
        <f t="shared" ref="AC41:AC54" si="160">IFERROR(IF(B5="W",AC$22,AC$23),"0")</f>
        <v>6.6</v>
      </c>
      <c r="AD41" s="33" t="s">
        <v>52</v>
      </c>
      <c r="AE41" s="53">
        <f t="shared" ref="AE41:AE54" si="161">IFERROR(IF(B5="W",AE$22,AE$23),"0")</f>
        <v>9</v>
      </c>
      <c r="AF41" s="12"/>
      <c r="AG41" s="43">
        <f t="shared" ref="AG41:AG54" si="162">IFERROR(IF(B5="W",AG$22,AG$23),"0")</f>
        <v>16</v>
      </c>
      <c r="AH41" s="33" t="s">
        <v>52</v>
      </c>
      <c r="AI41" s="49">
        <f t="shared" ref="AI41:AI54" si="163">IFERROR(IF(B5="W",AI$22,AI$23),"0")</f>
        <v>29</v>
      </c>
      <c r="AJ41" s="12" t="s">
        <v>53</v>
      </c>
      <c r="AK41" s="33">
        <f t="shared" ref="AK41:AK54" si="164">IFERROR(IF(B5="W",AK$22,AK$23),"0")</f>
        <v>12</v>
      </c>
      <c r="AL41" s="49" t="s">
        <v>54</v>
      </c>
      <c r="AM41" s="12">
        <f t="shared" ref="AM41:AM54" si="165">IFERROR(IF(B5="W",AM$22,AM$23),"0")</f>
        <v>3</v>
      </c>
      <c r="AN41" s="33" t="s">
        <v>52</v>
      </c>
      <c r="AO41" s="49">
        <f t="shared" ref="AO41:AO54" si="166">IFERROR(IF(B5="W",AO$22,AO$23),"0")</f>
        <v>7</v>
      </c>
      <c r="AP41" s="12" t="s">
        <v>53</v>
      </c>
      <c r="AQ41" s="33">
        <f t="shared" ref="AQ41:AQ54" si="167">IFERROR(IF(B5="W",AQ$22,AQ$23),"0")</f>
        <v>1</v>
      </c>
      <c r="AR41" s="49" t="s">
        <v>54</v>
      </c>
      <c r="AS41" s="12">
        <f t="shared" ref="AS41:AS54" si="168">IFERROR(IF(B5="W",AS$22,AS$23),"0")</f>
        <v>2</v>
      </c>
      <c r="AT41" s="33" t="s">
        <v>52</v>
      </c>
      <c r="AU41" s="49">
        <f t="shared" ref="AU41:AU54" si="169">IFERROR(IF(B5="W",AU$22,AU$23),"0")</f>
        <v>5</v>
      </c>
      <c r="AV41" s="12" t="s">
        <v>53</v>
      </c>
      <c r="AW41" s="33">
        <f t="shared" ref="AW41:AW54" si="170">IFERROR(IF(B5="W",AW$22,AW$23),"0")</f>
        <v>1</v>
      </c>
      <c r="AX41" s="49" t="s">
        <v>54</v>
      </c>
      <c r="AY41" s="12">
        <f t="shared" ref="AY41:AY54" si="171">IFERROR(IF(B5="W",AY$22,AY$23),"0")</f>
        <v>11</v>
      </c>
      <c r="AZ41" s="33" t="s">
        <v>52</v>
      </c>
      <c r="BA41" s="49">
        <f t="shared" ref="BA41:BA54" si="172">IFERROR(IF(B5="W",BA$22,BA$23),"0")</f>
        <v>17</v>
      </c>
      <c r="BB41" s="12" t="s">
        <v>53</v>
      </c>
      <c r="BC41" s="33">
        <f t="shared" ref="BC41:BC54" si="173">IFERROR(IF(B5="W",BC$22,BC$23),"0")</f>
        <v>10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1</v>
      </c>
      <c r="BJ41" s="33" t="s">
        <v>52</v>
      </c>
      <c r="BK41" s="49">
        <f>IFERROR(IF($B$5="W",BK22,BK23),"0")</f>
        <v>3</v>
      </c>
      <c r="BL41" s="12" t="s">
        <v>53</v>
      </c>
      <c r="BM41" s="33">
        <f>IFERROR(IF($B$5="W",BM22,BM23),"0")</f>
        <v>1</v>
      </c>
      <c r="BN41" s="49" t="s">
        <v>54</v>
      </c>
      <c r="BO41" s="12">
        <f>IFERROR(IF($B$5="W",BO22,BO23),"0")</f>
        <v>0</v>
      </c>
      <c r="BP41" s="33" t="s">
        <v>52</v>
      </c>
      <c r="BQ41" s="49">
        <f>IFERROR(IF($B$5="W",BQ22,BQ23),"0")</f>
        <v>1</v>
      </c>
      <c r="BR41" s="12" t="s">
        <v>53</v>
      </c>
      <c r="BS41" s="33">
        <f>IFERROR(IF($B$5="W",BS22,BS23),"0")</f>
        <v>0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1</v>
      </c>
      <c r="CB41" s="33" t="s">
        <v>52</v>
      </c>
      <c r="CC41" s="49">
        <f>IFERROR(IF($B$5="W",CC22,CC23),"0")</f>
        <v>2</v>
      </c>
      <c r="CD41" s="12" t="s">
        <v>53</v>
      </c>
      <c r="CE41" s="33">
        <f>IFERROR(IF($B$5="W",CE22,CE23),"0")</f>
        <v>1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2</v>
      </c>
      <c r="CK41" s="33">
        <f t="shared" si="176"/>
        <v>17</v>
      </c>
      <c r="CL41" s="33">
        <f t="shared" si="176"/>
        <v>0</v>
      </c>
      <c r="CM41" s="33">
        <f t="shared" si="176"/>
        <v>0</v>
      </c>
      <c r="CN41" s="33">
        <f t="shared" si="176"/>
        <v>19</v>
      </c>
      <c r="CO41" s="33">
        <f t="shared" si="176"/>
        <v>13</v>
      </c>
      <c r="CP41" s="33">
        <f t="shared" si="176"/>
        <v>13</v>
      </c>
      <c r="CQ41" s="33">
        <f t="shared" si="176"/>
        <v>1</v>
      </c>
      <c r="CR41" s="33">
        <f t="shared" si="176"/>
        <v>9</v>
      </c>
      <c r="CS41" s="33">
        <f t="shared" si="176"/>
        <v>4</v>
      </c>
      <c r="CT41" s="33">
        <f t="shared" si="176"/>
        <v>8</v>
      </c>
      <c r="CU41" s="33">
        <f t="shared" si="176"/>
        <v>4</v>
      </c>
      <c r="CV41" s="58">
        <f t="shared" si="176"/>
        <v>52.6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39.424084176839401</v>
      </c>
      <c r="EW41" s="38" t="s">
        <v>43</v>
      </c>
      <c r="EX41" s="6">
        <f t="shared" si="147"/>
        <v>6.6</v>
      </c>
      <c r="EY41" s="6">
        <f t="shared" ref="EY41:EY54" si="177">IFERROR(IF(B5="W",$EY$22,$EY$23),"0")</f>
        <v>9</v>
      </c>
      <c r="EZ41" s="6">
        <f t="shared" ref="EZ41:EZ54" si="178">IFERROR(IF(B5="W",$EZ$22,$EZ$23),"0")</f>
        <v>20.344000000000001</v>
      </c>
    </row>
    <row r="42" spans="3:156" x14ac:dyDescent="0.2">
      <c r="C42" s="38" t="s">
        <v>44</v>
      </c>
      <c r="D42" s="28">
        <f t="shared" si="144"/>
        <v>65.34</v>
      </c>
      <c r="E42" s="86">
        <f t="shared" si="148"/>
        <v>17</v>
      </c>
      <c r="F42" s="33" t="s">
        <v>52</v>
      </c>
      <c r="G42" s="49">
        <f t="shared" si="149"/>
        <v>32</v>
      </c>
      <c r="H42" s="12" t="s">
        <v>53</v>
      </c>
      <c r="I42" s="33">
        <f t="shared" si="150"/>
        <v>13</v>
      </c>
      <c r="J42" s="49" t="s">
        <v>54</v>
      </c>
      <c r="K42" s="12">
        <f t="shared" si="151"/>
        <v>3</v>
      </c>
      <c r="L42" s="33" t="s">
        <v>52</v>
      </c>
      <c r="M42" s="49">
        <f t="shared" si="152"/>
        <v>8</v>
      </c>
      <c r="N42" s="12" t="s">
        <v>53</v>
      </c>
      <c r="O42" s="33">
        <f t="shared" si="153"/>
        <v>1</v>
      </c>
      <c r="P42" s="49" t="s">
        <v>54</v>
      </c>
      <c r="Q42" s="12">
        <f t="shared" si="154"/>
        <v>2</v>
      </c>
      <c r="R42" s="33" t="s">
        <v>52</v>
      </c>
      <c r="S42" s="49">
        <f t="shared" si="155"/>
        <v>5</v>
      </c>
      <c r="T42" s="12" t="s">
        <v>53</v>
      </c>
      <c r="U42" s="33">
        <f t="shared" si="156"/>
        <v>1</v>
      </c>
      <c r="V42" s="49" t="s">
        <v>54</v>
      </c>
      <c r="W42" s="12">
        <f t="shared" si="157"/>
        <v>12</v>
      </c>
      <c r="X42" s="33" t="s">
        <v>52</v>
      </c>
      <c r="Y42" s="49">
        <f t="shared" si="158"/>
        <v>19</v>
      </c>
      <c r="Z42" s="12" t="s">
        <v>53</v>
      </c>
      <c r="AA42" s="33">
        <f t="shared" si="159"/>
        <v>11</v>
      </c>
      <c r="AB42" s="49" t="s">
        <v>54</v>
      </c>
      <c r="AC42" s="12">
        <f t="shared" si="160"/>
        <v>6.6</v>
      </c>
      <c r="AD42" s="33" t="s">
        <v>52</v>
      </c>
      <c r="AE42" s="53">
        <f t="shared" si="161"/>
        <v>9</v>
      </c>
      <c r="AF42" s="12"/>
      <c r="AG42" s="43">
        <f t="shared" si="162"/>
        <v>16</v>
      </c>
      <c r="AH42" s="33" t="s">
        <v>52</v>
      </c>
      <c r="AI42" s="49">
        <f t="shared" si="163"/>
        <v>29</v>
      </c>
      <c r="AJ42" s="12" t="s">
        <v>53</v>
      </c>
      <c r="AK42" s="33">
        <f t="shared" si="164"/>
        <v>12</v>
      </c>
      <c r="AL42" s="49" t="s">
        <v>54</v>
      </c>
      <c r="AM42" s="12">
        <f t="shared" si="165"/>
        <v>3</v>
      </c>
      <c r="AN42" s="33" t="s">
        <v>52</v>
      </c>
      <c r="AO42" s="49">
        <f t="shared" si="166"/>
        <v>7</v>
      </c>
      <c r="AP42" s="12" t="s">
        <v>53</v>
      </c>
      <c r="AQ42" s="33">
        <f t="shared" si="167"/>
        <v>1</v>
      </c>
      <c r="AR42" s="49" t="s">
        <v>54</v>
      </c>
      <c r="AS42" s="12">
        <f t="shared" si="168"/>
        <v>2</v>
      </c>
      <c r="AT42" s="33" t="s">
        <v>52</v>
      </c>
      <c r="AU42" s="49">
        <f t="shared" si="169"/>
        <v>5</v>
      </c>
      <c r="AV42" s="12" t="s">
        <v>53</v>
      </c>
      <c r="AW42" s="33">
        <f t="shared" si="170"/>
        <v>1</v>
      </c>
      <c r="AX42" s="49" t="s">
        <v>54</v>
      </c>
      <c r="AY42" s="12">
        <f t="shared" si="171"/>
        <v>11</v>
      </c>
      <c r="AZ42" s="33" t="s">
        <v>52</v>
      </c>
      <c r="BA42" s="49">
        <f t="shared" si="172"/>
        <v>17</v>
      </c>
      <c r="BB42" s="12" t="s">
        <v>53</v>
      </c>
      <c r="BC42" s="33">
        <f t="shared" si="173"/>
        <v>10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1</v>
      </c>
      <c r="BJ42" s="33" t="s">
        <v>52</v>
      </c>
      <c r="BK42" s="49">
        <f>IFERROR(IF($B$6="W",BK22,BK23),"0")</f>
        <v>3</v>
      </c>
      <c r="BL42" s="12" t="s">
        <v>53</v>
      </c>
      <c r="BM42" s="33">
        <f>IFERROR(IF($B$6="W",BM22,BM23),"0")</f>
        <v>1</v>
      </c>
      <c r="BN42" s="49" t="s">
        <v>54</v>
      </c>
      <c r="BO42" s="12">
        <f>IFERROR(IF($B$6="W",BO22,BO23),"0")</f>
        <v>0</v>
      </c>
      <c r="BP42" s="33" t="s">
        <v>52</v>
      </c>
      <c r="BQ42" s="49">
        <f>IFERROR(IF($B$6="W",BQ22,BQ23),"0")</f>
        <v>1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1</v>
      </c>
      <c r="CB42" s="33" t="s">
        <v>52</v>
      </c>
      <c r="CC42" s="49">
        <f>IFERROR(IF($B$6="W",CC22,CC23),"0")</f>
        <v>2</v>
      </c>
      <c r="CD42" s="12" t="s">
        <v>53</v>
      </c>
      <c r="CE42" s="33">
        <f>IFERROR(IF($B$6="W",CE22,CE23),"0")</f>
        <v>1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2</v>
      </c>
      <c r="CK42" s="33">
        <f t="shared" si="179"/>
        <v>17</v>
      </c>
      <c r="CL42" s="33">
        <f t="shared" si="179"/>
        <v>0</v>
      </c>
      <c r="CM42" s="33">
        <f t="shared" si="179"/>
        <v>0</v>
      </c>
      <c r="CN42" s="33">
        <f t="shared" si="179"/>
        <v>19</v>
      </c>
      <c r="CO42" s="33">
        <f t="shared" si="179"/>
        <v>13</v>
      </c>
      <c r="CP42" s="33">
        <f t="shared" si="179"/>
        <v>13</v>
      </c>
      <c r="CQ42" s="33">
        <f t="shared" si="179"/>
        <v>1</v>
      </c>
      <c r="CR42" s="33">
        <f t="shared" si="179"/>
        <v>9</v>
      </c>
      <c r="CS42" s="33">
        <f t="shared" si="179"/>
        <v>4</v>
      </c>
      <c r="CT42" s="33">
        <f t="shared" si="179"/>
        <v>8</v>
      </c>
      <c r="CU42" s="33">
        <f t="shared" si="179"/>
        <v>4</v>
      </c>
      <c r="CV42" s="58">
        <f t="shared" si="179"/>
        <v>52.6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39.424084176839401</v>
      </c>
      <c r="EW42" s="38" t="s">
        <v>44</v>
      </c>
      <c r="EX42" s="6">
        <f t="shared" si="147"/>
        <v>6.6</v>
      </c>
      <c r="EY42" s="6">
        <f t="shared" si="177"/>
        <v>9</v>
      </c>
      <c r="EZ42" s="6">
        <f t="shared" si="178"/>
        <v>20.344000000000001</v>
      </c>
    </row>
    <row r="43" spans="3:156" x14ac:dyDescent="0.2">
      <c r="C43" s="38" t="s">
        <v>45</v>
      </c>
      <c r="D43" s="28">
        <f t="shared" si="144"/>
        <v>65.34</v>
      </c>
      <c r="E43" s="86">
        <f t="shared" si="148"/>
        <v>14</v>
      </c>
      <c r="F43" s="33" t="s">
        <v>52</v>
      </c>
      <c r="G43" s="49">
        <f t="shared" si="149"/>
        <v>32</v>
      </c>
      <c r="H43" s="12" t="s">
        <v>53</v>
      </c>
      <c r="I43" s="33">
        <f t="shared" si="150"/>
        <v>10</v>
      </c>
      <c r="J43" s="49" t="s">
        <v>54</v>
      </c>
      <c r="K43" s="12">
        <f t="shared" si="151"/>
        <v>5</v>
      </c>
      <c r="L43" s="33" t="s">
        <v>52</v>
      </c>
      <c r="M43" s="49">
        <f t="shared" si="152"/>
        <v>11</v>
      </c>
      <c r="N43" s="12" t="s">
        <v>53</v>
      </c>
      <c r="O43" s="33">
        <f t="shared" si="153"/>
        <v>4</v>
      </c>
      <c r="P43" s="49" t="s">
        <v>54</v>
      </c>
      <c r="Q43" s="12">
        <f t="shared" si="154"/>
        <v>2</v>
      </c>
      <c r="R43" s="33" t="s">
        <v>52</v>
      </c>
      <c r="S43" s="49">
        <f t="shared" si="155"/>
        <v>5</v>
      </c>
      <c r="T43" s="12" t="s">
        <v>53</v>
      </c>
      <c r="U43" s="33">
        <f t="shared" si="156"/>
        <v>0</v>
      </c>
      <c r="V43" s="49" t="s">
        <v>54</v>
      </c>
      <c r="W43" s="12">
        <f t="shared" si="157"/>
        <v>7</v>
      </c>
      <c r="X43" s="33" t="s">
        <v>52</v>
      </c>
      <c r="Y43" s="49">
        <f t="shared" si="158"/>
        <v>16</v>
      </c>
      <c r="Z43" s="12" t="s">
        <v>53</v>
      </c>
      <c r="AA43" s="33">
        <f t="shared" si="159"/>
        <v>6</v>
      </c>
      <c r="AB43" s="49" t="s">
        <v>54</v>
      </c>
      <c r="AC43" s="12">
        <f t="shared" si="160"/>
        <v>0.7</v>
      </c>
      <c r="AD43" s="33" t="s">
        <v>52</v>
      </c>
      <c r="AE43" s="53">
        <f t="shared" si="161"/>
        <v>1</v>
      </c>
      <c r="AF43" s="12"/>
      <c r="AG43" s="43">
        <f t="shared" si="162"/>
        <v>11</v>
      </c>
      <c r="AH43" s="33" t="s">
        <v>52</v>
      </c>
      <c r="AI43" s="49">
        <f t="shared" si="163"/>
        <v>29</v>
      </c>
      <c r="AJ43" s="12" t="s">
        <v>53</v>
      </c>
      <c r="AK43" s="33">
        <f t="shared" si="164"/>
        <v>7</v>
      </c>
      <c r="AL43" s="49" t="s">
        <v>54</v>
      </c>
      <c r="AM43" s="12">
        <f t="shared" si="165"/>
        <v>4</v>
      </c>
      <c r="AN43" s="33" t="s">
        <v>52</v>
      </c>
      <c r="AO43" s="49">
        <f t="shared" si="166"/>
        <v>10</v>
      </c>
      <c r="AP43" s="12" t="s">
        <v>53</v>
      </c>
      <c r="AQ43" s="33">
        <f t="shared" si="167"/>
        <v>3</v>
      </c>
      <c r="AR43" s="49" t="s">
        <v>54</v>
      </c>
      <c r="AS43" s="12">
        <f t="shared" si="168"/>
        <v>2</v>
      </c>
      <c r="AT43" s="33" t="s">
        <v>52</v>
      </c>
      <c r="AU43" s="49">
        <f t="shared" si="169"/>
        <v>5</v>
      </c>
      <c r="AV43" s="12" t="s">
        <v>53</v>
      </c>
      <c r="AW43" s="33">
        <f t="shared" si="170"/>
        <v>0</v>
      </c>
      <c r="AX43" s="49" t="s">
        <v>54</v>
      </c>
      <c r="AY43" s="12">
        <f t="shared" si="171"/>
        <v>5</v>
      </c>
      <c r="AZ43" s="33" t="s">
        <v>52</v>
      </c>
      <c r="BA43" s="49">
        <f t="shared" si="172"/>
        <v>14</v>
      </c>
      <c r="BB43" s="12" t="s">
        <v>53</v>
      </c>
      <c r="BC43" s="33">
        <f t="shared" si="173"/>
        <v>4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3</v>
      </c>
      <c r="BJ43" s="33" t="s">
        <v>52</v>
      </c>
      <c r="BK43" s="49">
        <f>IFERROR(IF($B$7="W",BK22,BK23),"0")</f>
        <v>3</v>
      </c>
      <c r="BL43" s="12" t="s">
        <v>53</v>
      </c>
      <c r="BM43" s="33">
        <f>IFERROR(IF($B$7="W",BM22,BM23),"0")</f>
        <v>3</v>
      </c>
      <c r="BN43" s="49" t="s">
        <v>54</v>
      </c>
      <c r="BO43" s="12">
        <f>IFERROR(IF($B$7="W",BO22,BO23),"0")</f>
        <v>1</v>
      </c>
      <c r="BP43" s="33" t="s">
        <v>52</v>
      </c>
      <c r="BQ43" s="49">
        <f>IFERROR(IF($B$7="W",BQ22,BQ23),"0")</f>
        <v>1</v>
      </c>
      <c r="BR43" s="12" t="s">
        <v>53</v>
      </c>
      <c r="BS43" s="33">
        <f>IFERROR(IF($B$7="W",BS22,BS23),"0")</f>
        <v>1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2</v>
      </c>
      <c r="CB43" s="33" t="s">
        <v>52</v>
      </c>
      <c r="CC43" s="49">
        <f>IFERROR(IF($B$7="W",CC22,CC23),"0")</f>
        <v>2</v>
      </c>
      <c r="CD43" s="12" t="s">
        <v>53</v>
      </c>
      <c r="CE43" s="33">
        <f>IFERROR(IF($B$7="W",CE22,CE23),"0")</f>
        <v>2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1</v>
      </c>
      <c r="CK43" s="33">
        <f t="shared" si="180"/>
        <v>13</v>
      </c>
      <c r="CL43" s="33">
        <f t="shared" si="180"/>
        <v>0</v>
      </c>
      <c r="CM43" s="33">
        <f t="shared" si="180"/>
        <v>0</v>
      </c>
      <c r="CN43" s="33">
        <f t="shared" si="180"/>
        <v>14</v>
      </c>
      <c r="CO43" s="33">
        <f t="shared" si="180"/>
        <v>10</v>
      </c>
      <c r="CP43" s="33">
        <f t="shared" si="180"/>
        <v>7</v>
      </c>
      <c r="CQ43" s="33">
        <f t="shared" si="180"/>
        <v>9</v>
      </c>
      <c r="CR43" s="33">
        <f t="shared" si="180"/>
        <v>1</v>
      </c>
      <c r="CS43" s="33">
        <f t="shared" si="180"/>
        <v>5</v>
      </c>
      <c r="CT43" s="33">
        <f t="shared" si="180"/>
        <v>7</v>
      </c>
      <c r="CU43" s="33">
        <f t="shared" si="180"/>
        <v>3</v>
      </c>
      <c r="CV43" s="58">
        <f t="shared" si="180"/>
        <v>35.700000000000003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37.907149399580199</v>
      </c>
      <c r="EW43" s="38" t="s">
        <v>45</v>
      </c>
      <c r="EX43" s="6">
        <f t="shared" si="147"/>
        <v>0.7</v>
      </c>
      <c r="EY43" s="6">
        <f t="shared" si="177"/>
        <v>1</v>
      </c>
      <c r="EZ43" s="6">
        <f t="shared" si="178"/>
        <v>14.364000000000001</v>
      </c>
    </row>
    <row r="44" spans="3:156" x14ac:dyDescent="0.2">
      <c r="C44" s="38" t="s">
        <v>226</v>
      </c>
      <c r="D44" s="28">
        <f t="shared" si="144"/>
        <v>65.34</v>
      </c>
      <c r="E44" s="86">
        <f t="shared" si="148"/>
        <v>17</v>
      </c>
      <c r="F44" s="33" t="s">
        <v>52</v>
      </c>
      <c r="G44" s="49">
        <f t="shared" si="149"/>
        <v>32</v>
      </c>
      <c r="H44" s="12" t="s">
        <v>53</v>
      </c>
      <c r="I44" s="33">
        <f t="shared" si="150"/>
        <v>13</v>
      </c>
      <c r="J44" s="49" t="s">
        <v>54</v>
      </c>
      <c r="K44" s="12">
        <f t="shared" si="151"/>
        <v>3</v>
      </c>
      <c r="L44" s="33" t="s">
        <v>52</v>
      </c>
      <c r="M44" s="49">
        <f t="shared" si="152"/>
        <v>8</v>
      </c>
      <c r="N44" s="12" t="s">
        <v>53</v>
      </c>
      <c r="O44" s="33">
        <f t="shared" si="153"/>
        <v>1</v>
      </c>
      <c r="P44" s="49" t="s">
        <v>54</v>
      </c>
      <c r="Q44" s="12">
        <f t="shared" si="154"/>
        <v>2</v>
      </c>
      <c r="R44" s="33" t="s">
        <v>52</v>
      </c>
      <c r="S44" s="49">
        <f t="shared" si="155"/>
        <v>5</v>
      </c>
      <c r="T44" s="12" t="s">
        <v>53</v>
      </c>
      <c r="U44" s="33">
        <f t="shared" si="156"/>
        <v>1</v>
      </c>
      <c r="V44" s="49" t="s">
        <v>54</v>
      </c>
      <c r="W44" s="12">
        <f t="shared" si="157"/>
        <v>12</v>
      </c>
      <c r="X44" s="33" t="s">
        <v>52</v>
      </c>
      <c r="Y44" s="49">
        <f t="shared" si="158"/>
        <v>19</v>
      </c>
      <c r="Z44" s="12" t="s">
        <v>53</v>
      </c>
      <c r="AA44" s="33">
        <f t="shared" si="159"/>
        <v>11</v>
      </c>
      <c r="AB44" s="49" t="s">
        <v>54</v>
      </c>
      <c r="AC44" s="12">
        <f t="shared" si="160"/>
        <v>6.6</v>
      </c>
      <c r="AD44" s="33" t="s">
        <v>52</v>
      </c>
      <c r="AE44" s="53">
        <f t="shared" si="161"/>
        <v>9</v>
      </c>
      <c r="AF44" s="12"/>
      <c r="AG44" s="43">
        <f t="shared" si="162"/>
        <v>16</v>
      </c>
      <c r="AH44" s="33" t="s">
        <v>52</v>
      </c>
      <c r="AI44" s="49">
        <f t="shared" si="163"/>
        <v>29</v>
      </c>
      <c r="AJ44" s="12" t="s">
        <v>53</v>
      </c>
      <c r="AK44" s="33">
        <f t="shared" si="164"/>
        <v>12</v>
      </c>
      <c r="AL44" s="49" t="s">
        <v>54</v>
      </c>
      <c r="AM44" s="12">
        <f t="shared" si="165"/>
        <v>3</v>
      </c>
      <c r="AN44" s="33" t="s">
        <v>52</v>
      </c>
      <c r="AO44" s="49">
        <f t="shared" si="166"/>
        <v>7</v>
      </c>
      <c r="AP44" s="12" t="s">
        <v>53</v>
      </c>
      <c r="AQ44" s="33">
        <f t="shared" si="167"/>
        <v>1</v>
      </c>
      <c r="AR44" s="49" t="s">
        <v>54</v>
      </c>
      <c r="AS44" s="12">
        <f t="shared" si="168"/>
        <v>2</v>
      </c>
      <c r="AT44" s="33" t="s">
        <v>52</v>
      </c>
      <c r="AU44" s="49">
        <f t="shared" si="169"/>
        <v>5</v>
      </c>
      <c r="AV44" s="12" t="s">
        <v>53</v>
      </c>
      <c r="AW44" s="33">
        <f t="shared" si="170"/>
        <v>1</v>
      </c>
      <c r="AX44" s="49" t="s">
        <v>54</v>
      </c>
      <c r="AY44" s="12">
        <f t="shared" si="171"/>
        <v>11</v>
      </c>
      <c r="AZ44" s="33" t="s">
        <v>52</v>
      </c>
      <c r="BA44" s="49">
        <f t="shared" si="172"/>
        <v>17</v>
      </c>
      <c r="BB44" s="12" t="s">
        <v>53</v>
      </c>
      <c r="BC44" s="33">
        <f t="shared" si="173"/>
        <v>10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1</v>
      </c>
      <c r="BJ44" s="33" t="s">
        <v>52</v>
      </c>
      <c r="BK44" s="49">
        <f>IFERROR(IF($B$8="W",BK22,BK23),"0")</f>
        <v>3</v>
      </c>
      <c r="BL44" s="12" t="s">
        <v>53</v>
      </c>
      <c r="BM44" s="33">
        <f>IFERROR(IF($B$8="W",BM22,BM23),"0")</f>
        <v>1</v>
      </c>
      <c r="BN44" s="49" t="s">
        <v>54</v>
      </c>
      <c r="BO44" s="12">
        <f>IFERROR(IF($B$8="W",BO22,BO23),"0")</f>
        <v>0</v>
      </c>
      <c r="BP44" s="33" t="s">
        <v>52</v>
      </c>
      <c r="BQ44" s="49">
        <f>IFERROR(IF($B$8="W",BQ22,BQ23),"0")</f>
        <v>1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1</v>
      </c>
      <c r="CB44" s="33" t="s">
        <v>52</v>
      </c>
      <c r="CC44" s="49">
        <f>IFERROR(IF($B$8="W",CC22,CC23),"0")</f>
        <v>2</v>
      </c>
      <c r="CD44" s="12" t="s">
        <v>53</v>
      </c>
      <c r="CE44" s="33">
        <f>IFERROR(IF($B$8="W",CE22,CE23),"0")</f>
        <v>1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2</v>
      </c>
      <c r="CK44" s="33">
        <f t="shared" si="181"/>
        <v>17</v>
      </c>
      <c r="CL44" s="33">
        <f t="shared" si="181"/>
        <v>0</v>
      </c>
      <c r="CM44" s="33">
        <f t="shared" si="181"/>
        <v>0</v>
      </c>
      <c r="CN44" s="33">
        <f t="shared" si="181"/>
        <v>19</v>
      </c>
      <c r="CO44" s="33">
        <f t="shared" si="181"/>
        <v>13</v>
      </c>
      <c r="CP44" s="33">
        <f t="shared" si="181"/>
        <v>13</v>
      </c>
      <c r="CQ44" s="33">
        <f t="shared" si="181"/>
        <v>1</v>
      </c>
      <c r="CR44" s="33">
        <f t="shared" si="181"/>
        <v>9</v>
      </c>
      <c r="CS44" s="33">
        <f t="shared" si="181"/>
        <v>4</v>
      </c>
      <c r="CT44" s="33">
        <f t="shared" si="181"/>
        <v>8</v>
      </c>
      <c r="CU44" s="33">
        <f t="shared" si="181"/>
        <v>4</v>
      </c>
      <c r="CV44" s="58">
        <f t="shared" si="181"/>
        <v>52.6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39.424084176839401</v>
      </c>
      <c r="EW44" s="38" t="s">
        <v>226</v>
      </c>
      <c r="EX44" s="6">
        <f t="shared" si="147"/>
        <v>6.6</v>
      </c>
      <c r="EY44" s="6">
        <f t="shared" si="177"/>
        <v>9</v>
      </c>
      <c r="EZ44" s="6">
        <f t="shared" si="178"/>
        <v>20.344000000000001</v>
      </c>
    </row>
    <row r="45" spans="3:156" x14ac:dyDescent="0.2">
      <c r="C45" s="38" t="s">
        <v>46</v>
      </c>
      <c r="D45" s="28">
        <f t="shared" si="144"/>
        <v>65.34</v>
      </c>
      <c r="E45" s="86">
        <f t="shared" si="148"/>
        <v>17</v>
      </c>
      <c r="F45" s="33" t="s">
        <v>52</v>
      </c>
      <c r="G45" s="49">
        <f t="shared" si="149"/>
        <v>32</v>
      </c>
      <c r="H45" s="12" t="s">
        <v>53</v>
      </c>
      <c r="I45" s="33">
        <f t="shared" si="150"/>
        <v>13</v>
      </c>
      <c r="J45" s="49" t="s">
        <v>54</v>
      </c>
      <c r="K45" s="12">
        <f t="shared" si="151"/>
        <v>3</v>
      </c>
      <c r="L45" s="33" t="s">
        <v>52</v>
      </c>
      <c r="M45" s="49">
        <f t="shared" si="152"/>
        <v>8</v>
      </c>
      <c r="N45" s="12" t="s">
        <v>53</v>
      </c>
      <c r="O45" s="33">
        <f t="shared" si="153"/>
        <v>1</v>
      </c>
      <c r="P45" s="49" t="s">
        <v>54</v>
      </c>
      <c r="Q45" s="12">
        <f t="shared" si="154"/>
        <v>2</v>
      </c>
      <c r="R45" s="33" t="s">
        <v>52</v>
      </c>
      <c r="S45" s="49">
        <f t="shared" si="155"/>
        <v>5</v>
      </c>
      <c r="T45" s="12" t="s">
        <v>53</v>
      </c>
      <c r="U45" s="33">
        <f t="shared" si="156"/>
        <v>1</v>
      </c>
      <c r="V45" s="49" t="s">
        <v>54</v>
      </c>
      <c r="W45" s="12">
        <f t="shared" si="157"/>
        <v>12</v>
      </c>
      <c r="X45" s="33" t="s">
        <v>52</v>
      </c>
      <c r="Y45" s="49">
        <f t="shared" si="158"/>
        <v>19</v>
      </c>
      <c r="Z45" s="12" t="s">
        <v>53</v>
      </c>
      <c r="AA45" s="33">
        <f t="shared" si="159"/>
        <v>11</v>
      </c>
      <c r="AB45" s="49" t="s">
        <v>54</v>
      </c>
      <c r="AC45" s="12">
        <f t="shared" si="160"/>
        <v>6.6</v>
      </c>
      <c r="AD45" s="33" t="s">
        <v>52</v>
      </c>
      <c r="AE45" s="53">
        <f t="shared" si="161"/>
        <v>9</v>
      </c>
      <c r="AF45" s="12"/>
      <c r="AG45" s="43">
        <f t="shared" si="162"/>
        <v>16</v>
      </c>
      <c r="AH45" s="33" t="s">
        <v>52</v>
      </c>
      <c r="AI45" s="49">
        <f t="shared" si="163"/>
        <v>29</v>
      </c>
      <c r="AJ45" s="12" t="s">
        <v>53</v>
      </c>
      <c r="AK45" s="33">
        <f t="shared" si="164"/>
        <v>12</v>
      </c>
      <c r="AL45" s="49" t="s">
        <v>54</v>
      </c>
      <c r="AM45" s="12">
        <f t="shared" si="165"/>
        <v>3</v>
      </c>
      <c r="AN45" s="33" t="s">
        <v>52</v>
      </c>
      <c r="AO45" s="49">
        <f t="shared" si="166"/>
        <v>7</v>
      </c>
      <c r="AP45" s="12" t="s">
        <v>53</v>
      </c>
      <c r="AQ45" s="33">
        <f t="shared" si="167"/>
        <v>1</v>
      </c>
      <c r="AR45" s="49" t="s">
        <v>54</v>
      </c>
      <c r="AS45" s="12">
        <f t="shared" si="168"/>
        <v>2</v>
      </c>
      <c r="AT45" s="33" t="s">
        <v>52</v>
      </c>
      <c r="AU45" s="49">
        <f t="shared" si="169"/>
        <v>5</v>
      </c>
      <c r="AV45" s="12" t="s">
        <v>53</v>
      </c>
      <c r="AW45" s="33">
        <f t="shared" si="170"/>
        <v>1</v>
      </c>
      <c r="AX45" s="49" t="s">
        <v>54</v>
      </c>
      <c r="AY45" s="12">
        <f t="shared" si="171"/>
        <v>11</v>
      </c>
      <c r="AZ45" s="33" t="s">
        <v>52</v>
      </c>
      <c r="BA45" s="49">
        <f t="shared" si="172"/>
        <v>17</v>
      </c>
      <c r="BB45" s="12" t="s">
        <v>53</v>
      </c>
      <c r="BC45" s="33">
        <f t="shared" si="173"/>
        <v>10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1</v>
      </c>
      <c r="BJ45" s="33" t="s">
        <v>52</v>
      </c>
      <c r="BK45" s="49">
        <f>IFERROR(IF($B$9="W",BK22,BK23),"0")</f>
        <v>3</v>
      </c>
      <c r="BL45" s="12" t="s">
        <v>53</v>
      </c>
      <c r="BM45" s="33">
        <f>IFERROR(IF($B$9="W",BM22,BM23),"0")</f>
        <v>1</v>
      </c>
      <c r="BN45" s="49" t="s">
        <v>54</v>
      </c>
      <c r="BO45" s="12">
        <f>IFERROR(IF($B$9="W",BO22,BO23),"0")</f>
        <v>0</v>
      </c>
      <c r="BP45" s="33" t="s">
        <v>52</v>
      </c>
      <c r="BQ45" s="49">
        <f>IFERROR(IF($B$9="W",BQ22,BQ23),"0")</f>
        <v>1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1</v>
      </c>
      <c r="CB45" s="33" t="s">
        <v>52</v>
      </c>
      <c r="CC45" s="49">
        <f>IFERROR(IF($B$9="W",CC22,CC23),"0")</f>
        <v>2</v>
      </c>
      <c r="CD45" s="12" t="s">
        <v>53</v>
      </c>
      <c r="CE45" s="33">
        <f>IFERROR(IF($B$9="W",CE22,CE23),"0")</f>
        <v>1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2</v>
      </c>
      <c r="CK45" s="33">
        <f t="shared" si="182"/>
        <v>17</v>
      </c>
      <c r="CL45" s="33">
        <f t="shared" si="182"/>
        <v>0</v>
      </c>
      <c r="CM45" s="33">
        <f t="shared" si="182"/>
        <v>0</v>
      </c>
      <c r="CN45" s="33">
        <f t="shared" si="182"/>
        <v>19</v>
      </c>
      <c r="CO45" s="33">
        <f t="shared" si="182"/>
        <v>13</v>
      </c>
      <c r="CP45" s="33">
        <f t="shared" si="182"/>
        <v>13</v>
      </c>
      <c r="CQ45" s="33">
        <f t="shared" si="182"/>
        <v>1</v>
      </c>
      <c r="CR45" s="33">
        <f t="shared" si="182"/>
        <v>9</v>
      </c>
      <c r="CS45" s="33">
        <f t="shared" si="182"/>
        <v>4</v>
      </c>
      <c r="CT45" s="33">
        <f t="shared" si="182"/>
        <v>8</v>
      </c>
      <c r="CU45" s="33">
        <f t="shared" si="182"/>
        <v>4</v>
      </c>
      <c r="CV45" s="58">
        <f t="shared" si="182"/>
        <v>52.6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39.424084176839401</v>
      </c>
      <c r="EW45" s="38" t="s">
        <v>46</v>
      </c>
      <c r="EX45" s="6">
        <f t="shared" si="147"/>
        <v>6.6</v>
      </c>
      <c r="EY45" s="6">
        <f t="shared" si="177"/>
        <v>9</v>
      </c>
      <c r="EZ45" s="6">
        <f t="shared" si="178"/>
        <v>20.344000000000001</v>
      </c>
    </row>
    <row r="46" spans="3:156" x14ac:dyDescent="0.2">
      <c r="C46" s="38" t="s">
        <v>47</v>
      </c>
      <c r="D46" s="28">
        <f t="shared" si="144"/>
        <v>65.34</v>
      </c>
      <c r="E46" s="86">
        <f t="shared" si="148"/>
        <v>14</v>
      </c>
      <c r="F46" s="33" t="s">
        <v>52</v>
      </c>
      <c r="G46" s="49">
        <f t="shared" si="149"/>
        <v>32</v>
      </c>
      <c r="H46" s="12" t="s">
        <v>53</v>
      </c>
      <c r="I46" s="33">
        <f t="shared" si="150"/>
        <v>10</v>
      </c>
      <c r="J46" s="49" t="s">
        <v>54</v>
      </c>
      <c r="K46" s="12">
        <f t="shared" si="151"/>
        <v>5</v>
      </c>
      <c r="L46" s="33" t="s">
        <v>52</v>
      </c>
      <c r="M46" s="49">
        <f t="shared" si="152"/>
        <v>11</v>
      </c>
      <c r="N46" s="12" t="s">
        <v>53</v>
      </c>
      <c r="O46" s="33">
        <f t="shared" si="153"/>
        <v>4</v>
      </c>
      <c r="P46" s="49" t="s">
        <v>54</v>
      </c>
      <c r="Q46" s="12">
        <f t="shared" si="154"/>
        <v>2</v>
      </c>
      <c r="R46" s="33" t="s">
        <v>52</v>
      </c>
      <c r="S46" s="49">
        <f t="shared" si="155"/>
        <v>5</v>
      </c>
      <c r="T46" s="12" t="s">
        <v>53</v>
      </c>
      <c r="U46" s="33">
        <f t="shared" si="156"/>
        <v>0</v>
      </c>
      <c r="V46" s="49" t="s">
        <v>54</v>
      </c>
      <c r="W46" s="12">
        <f t="shared" si="157"/>
        <v>7</v>
      </c>
      <c r="X46" s="33" t="s">
        <v>52</v>
      </c>
      <c r="Y46" s="49">
        <f t="shared" si="158"/>
        <v>16</v>
      </c>
      <c r="Z46" s="12" t="s">
        <v>53</v>
      </c>
      <c r="AA46" s="33">
        <f t="shared" si="159"/>
        <v>6</v>
      </c>
      <c r="AB46" s="49" t="s">
        <v>54</v>
      </c>
      <c r="AC46" s="12">
        <f t="shared" si="160"/>
        <v>0.7</v>
      </c>
      <c r="AD46" s="33" t="s">
        <v>52</v>
      </c>
      <c r="AE46" s="53">
        <f t="shared" si="161"/>
        <v>1</v>
      </c>
      <c r="AF46" s="12"/>
      <c r="AG46" s="43">
        <f t="shared" si="162"/>
        <v>11</v>
      </c>
      <c r="AH46" s="33" t="s">
        <v>52</v>
      </c>
      <c r="AI46" s="49">
        <f t="shared" si="163"/>
        <v>29</v>
      </c>
      <c r="AJ46" s="12" t="s">
        <v>53</v>
      </c>
      <c r="AK46" s="33">
        <f t="shared" si="164"/>
        <v>7</v>
      </c>
      <c r="AL46" s="49" t="s">
        <v>54</v>
      </c>
      <c r="AM46" s="12">
        <f t="shared" si="165"/>
        <v>4</v>
      </c>
      <c r="AN46" s="33" t="s">
        <v>52</v>
      </c>
      <c r="AO46" s="49">
        <f t="shared" si="166"/>
        <v>10</v>
      </c>
      <c r="AP46" s="12" t="s">
        <v>53</v>
      </c>
      <c r="AQ46" s="33">
        <f t="shared" si="167"/>
        <v>3</v>
      </c>
      <c r="AR46" s="49" t="s">
        <v>54</v>
      </c>
      <c r="AS46" s="12">
        <f t="shared" si="168"/>
        <v>2</v>
      </c>
      <c r="AT46" s="33" t="s">
        <v>52</v>
      </c>
      <c r="AU46" s="49">
        <f t="shared" si="169"/>
        <v>5</v>
      </c>
      <c r="AV46" s="12" t="s">
        <v>53</v>
      </c>
      <c r="AW46" s="33">
        <f t="shared" si="170"/>
        <v>0</v>
      </c>
      <c r="AX46" s="49" t="s">
        <v>54</v>
      </c>
      <c r="AY46" s="12">
        <f t="shared" si="171"/>
        <v>5</v>
      </c>
      <c r="AZ46" s="33" t="s">
        <v>52</v>
      </c>
      <c r="BA46" s="49">
        <f t="shared" si="172"/>
        <v>14</v>
      </c>
      <c r="BB46" s="12" t="s">
        <v>53</v>
      </c>
      <c r="BC46" s="33">
        <f t="shared" si="173"/>
        <v>4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3</v>
      </c>
      <c r="BJ46" s="33" t="s">
        <v>52</v>
      </c>
      <c r="BK46" s="49">
        <f>IFERROR(IF($B$10="W",BK22,BK23),"0")</f>
        <v>3</v>
      </c>
      <c r="BL46" s="12" t="s">
        <v>53</v>
      </c>
      <c r="BM46" s="33">
        <f>IFERROR(IF($B$10="W",BM22,BM23),"0")</f>
        <v>3</v>
      </c>
      <c r="BN46" s="49" t="s">
        <v>54</v>
      </c>
      <c r="BO46" s="12">
        <f>IFERROR(IF($B$10="W",BO22,BO23),"0")</f>
        <v>1</v>
      </c>
      <c r="BP46" s="33" t="s">
        <v>52</v>
      </c>
      <c r="BQ46" s="49">
        <f>IFERROR(IF($B$10="W",BQ22,BQ23),"0")</f>
        <v>1</v>
      </c>
      <c r="BR46" s="12" t="s">
        <v>53</v>
      </c>
      <c r="BS46" s="33">
        <f>IFERROR(IF($B$10="W",BS22,BS23),"0")</f>
        <v>1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2</v>
      </c>
      <c r="CB46" s="33" t="s">
        <v>52</v>
      </c>
      <c r="CC46" s="49">
        <f>IFERROR(IF($B$10="W",CC22,CC23),"0")</f>
        <v>2</v>
      </c>
      <c r="CD46" s="12" t="s">
        <v>53</v>
      </c>
      <c r="CE46" s="33">
        <f>IFERROR(IF($B$10="W",CE22,CE23),"0")</f>
        <v>2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1</v>
      </c>
      <c r="CK46" s="33">
        <f t="shared" si="183"/>
        <v>13</v>
      </c>
      <c r="CL46" s="33">
        <f t="shared" si="183"/>
        <v>0</v>
      </c>
      <c r="CM46" s="33">
        <f t="shared" si="183"/>
        <v>0</v>
      </c>
      <c r="CN46" s="33">
        <f t="shared" si="183"/>
        <v>14</v>
      </c>
      <c r="CO46" s="33">
        <f t="shared" si="183"/>
        <v>10</v>
      </c>
      <c r="CP46" s="33">
        <f t="shared" si="183"/>
        <v>7</v>
      </c>
      <c r="CQ46" s="33">
        <f t="shared" si="183"/>
        <v>9</v>
      </c>
      <c r="CR46" s="33">
        <f t="shared" si="183"/>
        <v>1</v>
      </c>
      <c r="CS46" s="33">
        <f t="shared" si="183"/>
        <v>5</v>
      </c>
      <c r="CT46" s="33">
        <f t="shared" si="183"/>
        <v>7</v>
      </c>
      <c r="CU46" s="33">
        <f t="shared" si="183"/>
        <v>3</v>
      </c>
      <c r="CV46" s="58">
        <f t="shared" si="183"/>
        <v>35.700000000000003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37.907149399580199</v>
      </c>
      <c r="EW46" s="38" t="s">
        <v>47</v>
      </c>
      <c r="EX46" s="6">
        <f t="shared" si="147"/>
        <v>0.7</v>
      </c>
      <c r="EY46" s="6">
        <f t="shared" si="177"/>
        <v>1</v>
      </c>
      <c r="EZ46" s="6">
        <f t="shared" si="178"/>
        <v>14.364000000000001</v>
      </c>
    </row>
    <row r="47" spans="3:156" x14ac:dyDescent="0.2">
      <c r="C47" s="38" t="s">
        <v>48</v>
      </c>
      <c r="D47" s="28">
        <f t="shared" si="144"/>
        <v>65.34</v>
      </c>
      <c r="E47" s="86">
        <f t="shared" si="148"/>
        <v>17</v>
      </c>
      <c r="F47" s="33" t="s">
        <v>52</v>
      </c>
      <c r="G47" s="49">
        <f t="shared" si="149"/>
        <v>32</v>
      </c>
      <c r="H47" s="12" t="s">
        <v>53</v>
      </c>
      <c r="I47" s="33">
        <f t="shared" si="150"/>
        <v>13</v>
      </c>
      <c r="J47" s="49" t="s">
        <v>54</v>
      </c>
      <c r="K47" s="12">
        <f t="shared" si="151"/>
        <v>3</v>
      </c>
      <c r="L47" s="33" t="s">
        <v>52</v>
      </c>
      <c r="M47" s="49">
        <f t="shared" si="152"/>
        <v>8</v>
      </c>
      <c r="N47" s="12" t="s">
        <v>53</v>
      </c>
      <c r="O47" s="33">
        <f t="shared" si="153"/>
        <v>1</v>
      </c>
      <c r="P47" s="49" t="s">
        <v>54</v>
      </c>
      <c r="Q47" s="12">
        <f t="shared" si="154"/>
        <v>2</v>
      </c>
      <c r="R47" s="33" t="s">
        <v>52</v>
      </c>
      <c r="S47" s="49">
        <f t="shared" si="155"/>
        <v>5</v>
      </c>
      <c r="T47" s="12" t="s">
        <v>53</v>
      </c>
      <c r="U47" s="33">
        <f t="shared" si="156"/>
        <v>1</v>
      </c>
      <c r="V47" s="49" t="s">
        <v>54</v>
      </c>
      <c r="W47" s="12">
        <f t="shared" si="157"/>
        <v>12</v>
      </c>
      <c r="X47" s="33" t="s">
        <v>52</v>
      </c>
      <c r="Y47" s="49">
        <f t="shared" si="158"/>
        <v>19</v>
      </c>
      <c r="Z47" s="12" t="s">
        <v>53</v>
      </c>
      <c r="AA47" s="33">
        <f t="shared" si="159"/>
        <v>11</v>
      </c>
      <c r="AB47" s="49" t="s">
        <v>54</v>
      </c>
      <c r="AC47" s="12">
        <f t="shared" si="160"/>
        <v>6.6</v>
      </c>
      <c r="AD47" s="33" t="s">
        <v>52</v>
      </c>
      <c r="AE47" s="53">
        <f t="shared" si="161"/>
        <v>9</v>
      </c>
      <c r="AF47" s="12"/>
      <c r="AG47" s="43">
        <f t="shared" si="162"/>
        <v>16</v>
      </c>
      <c r="AH47" s="33" t="s">
        <v>52</v>
      </c>
      <c r="AI47" s="49">
        <f t="shared" si="163"/>
        <v>29</v>
      </c>
      <c r="AJ47" s="12" t="s">
        <v>53</v>
      </c>
      <c r="AK47" s="33">
        <f t="shared" si="164"/>
        <v>12</v>
      </c>
      <c r="AL47" s="49" t="s">
        <v>54</v>
      </c>
      <c r="AM47" s="12">
        <f t="shared" si="165"/>
        <v>3</v>
      </c>
      <c r="AN47" s="33" t="s">
        <v>52</v>
      </c>
      <c r="AO47" s="49">
        <f t="shared" si="166"/>
        <v>7</v>
      </c>
      <c r="AP47" s="12" t="s">
        <v>53</v>
      </c>
      <c r="AQ47" s="33">
        <f t="shared" si="167"/>
        <v>1</v>
      </c>
      <c r="AR47" s="49" t="s">
        <v>54</v>
      </c>
      <c r="AS47" s="12">
        <f t="shared" si="168"/>
        <v>2</v>
      </c>
      <c r="AT47" s="33" t="s">
        <v>52</v>
      </c>
      <c r="AU47" s="49">
        <f t="shared" si="169"/>
        <v>5</v>
      </c>
      <c r="AV47" s="12" t="s">
        <v>53</v>
      </c>
      <c r="AW47" s="33">
        <f t="shared" si="170"/>
        <v>1</v>
      </c>
      <c r="AX47" s="49" t="s">
        <v>54</v>
      </c>
      <c r="AY47" s="12">
        <f t="shared" si="171"/>
        <v>11</v>
      </c>
      <c r="AZ47" s="33" t="s">
        <v>52</v>
      </c>
      <c r="BA47" s="49">
        <f t="shared" si="172"/>
        <v>17</v>
      </c>
      <c r="BB47" s="12" t="s">
        <v>53</v>
      </c>
      <c r="BC47" s="33">
        <f t="shared" si="173"/>
        <v>10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1</v>
      </c>
      <c r="BJ47" s="33" t="s">
        <v>52</v>
      </c>
      <c r="BK47" s="49">
        <f>IFERROR(IF($B$11="W",BK22,BK23),"0")</f>
        <v>3</v>
      </c>
      <c r="BL47" s="12" t="s">
        <v>53</v>
      </c>
      <c r="BM47" s="33">
        <f>IFERROR(IF($B$11="W",BM22,BM23),"0")</f>
        <v>1</v>
      </c>
      <c r="BN47" s="49" t="s">
        <v>54</v>
      </c>
      <c r="BO47" s="12">
        <f>IFERROR(IF($B$11="W",BO22,BO23),"0")</f>
        <v>0</v>
      </c>
      <c r="BP47" s="33" t="s">
        <v>52</v>
      </c>
      <c r="BQ47" s="49">
        <f>IFERROR(IF($B$11="W",BQ22,BQ23),"0")</f>
        <v>1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1</v>
      </c>
      <c r="CB47" s="33" t="s">
        <v>52</v>
      </c>
      <c r="CC47" s="49">
        <f>IFERROR(IF($B$11="W",CC22,CC23),"0")</f>
        <v>2</v>
      </c>
      <c r="CD47" s="12" t="s">
        <v>53</v>
      </c>
      <c r="CE47" s="33">
        <f>IFERROR(IF($B$11="W",CE22,CE23),"0")</f>
        <v>1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2</v>
      </c>
      <c r="CK47" s="33">
        <f t="shared" si="184"/>
        <v>17</v>
      </c>
      <c r="CL47" s="33">
        <f t="shared" si="184"/>
        <v>0</v>
      </c>
      <c r="CM47" s="33">
        <f t="shared" si="184"/>
        <v>0</v>
      </c>
      <c r="CN47" s="33">
        <f t="shared" si="184"/>
        <v>19</v>
      </c>
      <c r="CO47" s="33">
        <f t="shared" si="184"/>
        <v>13</v>
      </c>
      <c r="CP47" s="33">
        <f t="shared" si="184"/>
        <v>13</v>
      </c>
      <c r="CQ47" s="33">
        <f t="shared" si="184"/>
        <v>1</v>
      </c>
      <c r="CR47" s="33">
        <f t="shared" si="184"/>
        <v>9</v>
      </c>
      <c r="CS47" s="33">
        <f t="shared" si="184"/>
        <v>4</v>
      </c>
      <c r="CT47" s="33">
        <f t="shared" si="184"/>
        <v>8</v>
      </c>
      <c r="CU47" s="33">
        <f t="shared" si="184"/>
        <v>4</v>
      </c>
      <c r="CV47" s="58">
        <f t="shared" si="184"/>
        <v>52.6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39.424084176839401</v>
      </c>
      <c r="EW47" s="38" t="s">
        <v>48</v>
      </c>
      <c r="EX47" s="6">
        <f t="shared" si="147"/>
        <v>6.6</v>
      </c>
      <c r="EY47" s="6">
        <f t="shared" si="177"/>
        <v>9</v>
      </c>
      <c r="EZ47" s="6">
        <f t="shared" si="178"/>
        <v>20.344000000000001</v>
      </c>
    </row>
    <row r="48" spans="3:156" x14ac:dyDescent="0.2">
      <c r="C48" s="38" t="s">
        <v>115</v>
      </c>
      <c r="D48" s="28">
        <f t="shared" si="144"/>
        <v>65.34</v>
      </c>
      <c r="E48" s="86">
        <f t="shared" si="148"/>
        <v>14</v>
      </c>
      <c r="F48" s="33" t="s">
        <v>52</v>
      </c>
      <c r="G48" s="49">
        <f t="shared" si="149"/>
        <v>32</v>
      </c>
      <c r="H48" s="12" t="s">
        <v>53</v>
      </c>
      <c r="I48" s="33">
        <f t="shared" si="150"/>
        <v>10</v>
      </c>
      <c r="J48" s="49" t="s">
        <v>54</v>
      </c>
      <c r="K48" s="12">
        <f t="shared" si="151"/>
        <v>5</v>
      </c>
      <c r="L48" s="33" t="s">
        <v>52</v>
      </c>
      <c r="M48" s="49">
        <f t="shared" si="152"/>
        <v>11</v>
      </c>
      <c r="N48" s="12" t="s">
        <v>53</v>
      </c>
      <c r="O48" s="33">
        <f t="shared" si="153"/>
        <v>4</v>
      </c>
      <c r="P48" s="49" t="s">
        <v>54</v>
      </c>
      <c r="Q48" s="12">
        <f t="shared" si="154"/>
        <v>2</v>
      </c>
      <c r="R48" s="33" t="s">
        <v>52</v>
      </c>
      <c r="S48" s="49">
        <f t="shared" si="155"/>
        <v>5</v>
      </c>
      <c r="T48" s="12" t="s">
        <v>53</v>
      </c>
      <c r="U48" s="33">
        <f t="shared" si="156"/>
        <v>0</v>
      </c>
      <c r="V48" s="49" t="s">
        <v>54</v>
      </c>
      <c r="W48" s="12">
        <f t="shared" si="157"/>
        <v>7</v>
      </c>
      <c r="X48" s="33" t="s">
        <v>52</v>
      </c>
      <c r="Y48" s="49">
        <f t="shared" si="158"/>
        <v>16</v>
      </c>
      <c r="Z48" s="12" t="s">
        <v>53</v>
      </c>
      <c r="AA48" s="33">
        <f t="shared" si="159"/>
        <v>6</v>
      </c>
      <c r="AB48" s="49" t="s">
        <v>54</v>
      </c>
      <c r="AC48" s="12">
        <f t="shared" si="160"/>
        <v>0.7</v>
      </c>
      <c r="AD48" s="33" t="s">
        <v>52</v>
      </c>
      <c r="AE48" s="53">
        <f t="shared" si="161"/>
        <v>1</v>
      </c>
      <c r="AF48" s="12"/>
      <c r="AG48" s="43">
        <f t="shared" si="162"/>
        <v>11</v>
      </c>
      <c r="AH48" s="33" t="s">
        <v>52</v>
      </c>
      <c r="AI48" s="49">
        <f t="shared" si="163"/>
        <v>29</v>
      </c>
      <c r="AJ48" s="12" t="s">
        <v>53</v>
      </c>
      <c r="AK48" s="33">
        <f t="shared" si="164"/>
        <v>7</v>
      </c>
      <c r="AL48" s="49" t="s">
        <v>54</v>
      </c>
      <c r="AM48" s="12">
        <f t="shared" si="165"/>
        <v>4</v>
      </c>
      <c r="AN48" s="33" t="s">
        <v>52</v>
      </c>
      <c r="AO48" s="49">
        <f t="shared" si="166"/>
        <v>10</v>
      </c>
      <c r="AP48" s="12" t="s">
        <v>53</v>
      </c>
      <c r="AQ48" s="33">
        <f t="shared" si="167"/>
        <v>3</v>
      </c>
      <c r="AR48" s="49" t="s">
        <v>54</v>
      </c>
      <c r="AS48" s="12">
        <f t="shared" si="168"/>
        <v>2</v>
      </c>
      <c r="AT48" s="33" t="s">
        <v>52</v>
      </c>
      <c r="AU48" s="49">
        <f t="shared" si="169"/>
        <v>5</v>
      </c>
      <c r="AV48" s="12" t="s">
        <v>53</v>
      </c>
      <c r="AW48" s="33">
        <f t="shared" si="170"/>
        <v>0</v>
      </c>
      <c r="AX48" s="49" t="s">
        <v>54</v>
      </c>
      <c r="AY48" s="12">
        <f t="shared" si="171"/>
        <v>5</v>
      </c>
      <c r="AZ48" s="33" t="s">
        <v>52</v>
      </c>
      <c r="BA48" s="49">
        <f t="shared" si="172"/>
        <v>14</v>
      </c>
      <c r="BB48" s="12" t="s">
        <v>53</v>
      </c>
      <c r="BC48" s="33">
        <f t="shared" si="173"/>
        <v>4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3</v>
      </c>
      <c r="BJ48" s="33" t="s">
        <v>52</v>
      </c>
      <c r="BK48" s="49">
        <f>IFERROR(IF($B$12="W",BK22,BK23),"0")</f>
        <v>3</v>
      </c>
      <c r="BL48" s="12" t="s">
        <v>53</v>
      </c>
      <c r="BM48" s="33">
        <f>IFERROR(IF($B$12="W",BM22,BM23),"0")</f>
        <v>3</v>
      </c>
      <c r="BN48" s="49" t="s">
        <v>54</v>
      </c>
      <c r="BO48" s="12">
        <f>IFERROR(IF($B$12="W",BO22,BO23),"0")</f>
        <v>1</v>
      </c>
      <c r="BP48" s="33" t="s">
        <v>52</v>
      </c>
      <c r="BQ48" s="49">
        <f>IFERROR(IF($B$12="W",BQ22,BQ23),"0")</f>
        <v>1</v>
      </c>
      <c r="BR48" s="12" t="s">
        <v>53</v>
      </c>
      <c r="BS48" s="33">
        <f>IFERROR(IF($B$12="W",BS22,BS23),"0")</f>
        <v>1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2</v>
      </c>
      <c r="CB48" s="33" t="s">
        <v>52</v>
      </c>
      <c r="CC48" s="49">
        <f>IFERROR(IF($B$12="W",CC22,CC23),"0")</f>
        <v>2</v>
      </c>
      <c r="CD48" s="12" t="s">
        <v>53</v>
      </c>
      <c r="CE48" s="33">
        <f>IFERROR(IF($B$12="W",CE22,CE23),"0")</f>
        <v>2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1</v>
      </c>
      <c r="CK48" s="33">
        <f t="shared" si="185"/>
        <v>13</v>
      </c>
      <c r="CL48" s="33">
        <f t="shared" si="185"/>
        <v>0</v>
      </c>
      <c r="CM48" s="33">
        <f t="shared" si="185"/>
        <v>0</v>
      </c>
      <c r="CN48" s="33">
        <f t="shared" si="185"/>
        <v>14</v>
      </c>
      <c r="CO48" s="33">
        <f t="shared" si="185"/>
        <v>10</v>
      </c>
      <c r="CP48" s="33">
        <f t="shared" si="185"/>
        <v>7</v>
      </c>
      <c r="CQ48" s="33">
        <f t="shared" si="185"/>
        <v>9</v>
      </c>
      <c r="CR48" s="33">
        <f t="shared" si="185"/>
        <v>1</v>
      </c>
      <c r="CS48" s="33">
        <f t="shared" si="185"/>
        <v>5</v>
      </c>
      <c r="CT48" s="33">
        <f t="shared" si="185"/>
        <v>7</v>
      </c>
      <c r="CU48" s="33">
        <f t="shared" si="185"/>
        <v>3</v>
      </c>
      <c r="CV48" s="58">
        <f t="shared" si="185"/>
        <v>35.700000000000003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37.907149399580199</v>
      </c>
      <c r="EW48" s="38" t="s">
        <v>115</v>
      </c>
      <c r="EX48" s="6">
        <f t="shared" si="147"/>
        <v>0.7</v>
      </c>
      <c r="EY48" s="6">
        <f t="shared" si="177"/>
        <v>1</v>
      </c>
      <c r="EZ48" s="6">
        <f t="shared" si="178"/>
        <v>14.364000000000001</v>
      </c>
    </row>
    <row r="49" spans="3:156" x14ac:dyDescent="0.2">
      <c r="C49" s="38" t="s">
        <v>227</v>
      </c>
      <c r="D49" s="28">
        <f t="shared" si="144"/>
        <v>65.34</v>
      </c>
      <c r="E49" s="86">
        <f t="shared" si="148"/>
        <v>14</v>
      </c>
      <c r="F49" s="33" t="s">
        <v>52</v>
      </c>
      <c r="G49" s="49">
        <f t="shared" si="149"/>
        <v>32</v>
      </c>
      <c r="H49" s="12" t="s">
        <v>53</v>
      </c>
      <c r="I49" s="33">
        <f t="shared" si="150"/>
        <v>10</v>
      </c>
      <c r="J49" s="49" t="s">
        <v>54</v>
      </c>
      <c r="K49" s="12">
        <f t="shared" si="151"/>
        <v>5</v>
      </c>
      <c r="L49" s="33" t="s">
        <v>52</v>
      </c>
      <c r="M49" s="49">
        <f t="shared" si="152"/>
        <v>11</v>
      </c>
      <c r="N49" s="12" t="s">
        <v>53</v>
      </c>
      <c r="O49" s="33">
        <f t="shared" si="153"/>
        <v>4</v>
      </c>
      <c r="P49" s="49" t="s">
        <v>54</v>
      </c>
      <c r="Q49" s="12">
        <f t="shared" si="154"/>
        <v>2</v>
      </c>
      <c r="R49" s="33" t="s">
        <v>52</v>
      </c>
      <c r="S49" s="49">
        <f t="shared" si="155"/>
        <v>5</v>
      </c>
      <c r="T49" s="12" t="s">
        <v>53</v>
      </c>
      <c r="U49" s="33">
        <f t="shared" si="156"/>
        <v>0</v>
      </c>
      <c r="V49" s="49" t="s">
        <v>54</v>
      </c>
      <c r="W49" s="12">
        <f t="shared" si="157"/>
        <v>7</v>
      </c>
      <c r="X49" s="33" t="s">
        <v>52</v>
      </c>
      <c r="Y49" s="49">
        <f t="shared" si="158"/>
        <v>16</v>
      </c>
      <c r="Z49" s="12" t="s">
        <v>53</v>
      </c>
      <c r="AA49" s="33">
        <f t="shared" si="159"/>
        <v>6</v>
      </c>
      <c r="AB49" s="49" t="s">
        <v>54</v>
      </c>
      <c r="AC49" s="12">
        <f t="shared" si="160"/>
        <v>0.7</v>
      </c>
      <c r="AD49" s="33" t="s">
        <v>52</v>
      </c>
      <c r="AE49" s="53">
        <f t="shared" si="161"/>
        <v>1</v>
      </c>
      <c r="AF49" s="12"/>
      <c r="AG49" s="43">
        <f t="shared" si="162"/>
        <v>11</v>
      </c>
      <c r="AH49" s="33" t="s">
        <v>52</v>
      </c>
      <c r="AI49" s="49">
        <f t="shared" si="163"/>
        <v>29</v>
      </c>
      <c r="AJ49" s="12" t="s">
        <v>53</v>
      </c>
      <c r="AK49" s="33">
        <f t="shared" si="164"/>
        <v>7</v>
      </c>
      <c r="AL49" s="49" t="s">
        <v>54</v>
      </c>
      <c r="AM49" s="12">
        <f t="shared" si="165"/>
        <v>4</v>
      </c>
      <c r="AN49" s="33" t="s">
        <v>52</v>
      </c>
      <c r="AO49" s="49">
        <f t="shared" si="166"/>
        <v>10</v>
      </c>
      <c r="AP49" s="12" t="s">
        <v>53</v>
      </c>
      <c r="AQ49" s="33">
        <f t="shared" si="167"/>
        <v>3</v>
      </c>
      <c r="AR49" s="49" t="s">
        <v>54</v>
      </c>
      <c r="AS49" s="12">
        <f t="shared" si="168"/>
        <v>2</v>
      </c>
      <c r="AT49" s="33" t="s">
        <v>52</v>
      </c>
      <c r="AU49" s="49">
        <f t="shared" si="169"/>
        <v>5</v>
      </c>
      <c r="AV49" s="12" t="s">
        <v>53</v>
      </c>
      <c r="AW49" s="33">
        <f t="shared" si="170"/>
        <v>0</v>
      </c>
      <c r="AX49" s="49" t="s">
        <v>54</v>
      </c>
      <c r="AY49" s="12">
        <f t="shared" si="171"/>
        <v>5</v>
      </c>
      <c r="AZ49" s="33" t="s">
        <v>52</v>
      </c>
      <c r="BA49" s="49">
        <f t="shared" si="172"/>
        <v>14</v>
      </c>
      <c r="BB49" s="12" t="s">
        <v>53</v>
      </c>
      <c r="BC49" s="33">
        <f t="shared" si="173"/>
        <v>4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3</v>
      </c>
      <c r="BJ49" s="33" t="s">
        <v>52</v>
      </c>
      <c r="BK49" s="49">
        <f>IFERROR(IF($B$13="W",BK22,BK23),"0")</f>
        <v>3</v>
      </c>
      <c r="BL49" s="12" t="s">
        <v>53</v>
      </c>
      <c r="BM49" s="33">
        <f>IFERROR(IF($B$13="W",BM22,BM23),"0")</f>
        <v>3</v>
      </c>
      <c r="BN49" s="49" t="s">
        <v>54</v>
      </c>
      <c r="BO49" s="12">
        <f>IFERROR(IF($B$13="W",BO22,BO23),"0")</f>
        <v>1</v>
      </c>
      <c r="BP49" s="33" t="s">
        <v>52</v>
      </c>
      <c r="BQ49" s="49">
        <f>IFERROR(IF($B$13="W",BQ22,BQ23),"0")</f>
        <v>1</v>
      </c>
      <c r="BR49" s="12" t="s">
        <v>53</v>
      </c>
      <c r="BS49" s="33">
        <f>IFERROR(IF($B$13="W",BS22,BS23),"0")</f>
        <v>1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2</v>
      </c>
      <c r="CB49" s="33" t="s">
        <v>52</v>
      </c>
      <c r="CC49" s="49">
        <f>IFERROR(IF($B$13="W",CC22,CC23),"0")</f>
        <v>2</v>
      </c>
      <c r="CD49" s="12" t="s">
        <v>53</v>
      </c>
      <c r="CE49" s="33">
        <f>IFERROR(IF($B$13="W",CE22,CE23),"0")</f>
        <v>2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1</v>
      </c>
      <c r="CK49" s="33">
        <f t="shared" si="186"/>
        <v>13</v>
      </c>
      <c r="CL49" s="33">
        <f t="shared" si="186"/>
        <v>0</v>
      </c>
      <c r="CM49" s="33">
        <f t="shared" si="186"/>
        <v>0</v>
      </c>
      <c r="CN49" s="33">
        <f t="shared" si="186"/>
        <v>14</v>
      </c>
      <c r="CO49" s="33">
        <f t="shared" si="186"/>
        <v>10</v>
      </c>
      <c r="CP49" s="33">
        <f t="shared" si="186"/>
        <v>7</v>
      </c>
      <c r="CQ49" s="33">
        <f t="shared" si="186"/>
        <v>9</v>
      </c>
      <c r="CR49" s="33">
        <f t="shared" si="186"/>
        <v>1</v>
      </c>
      <c r="CS49" s="33">
        <f t="shared" si="186"/>
        <v>5</v>
      </c>
      <c r="CT49" s="33">
        <f t="shared" si="186"/>
        <v>7</v>
      </c>
      <c r="CU49" s="33">
        <f t="shared" si="186"/>
        <v>3</v>
      </c>
      <c r="CV49" s="58">
        <f t="shared" si="186"/>
        <v>35.700000000000003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37.907149399580199</v>
      </c>
      <c r="EW49" s="38" t="s">
        <v>227</v>
      </c>
      <c r="EX49" s="6">
        <f t="shared" si="147"/>
        <v>0.7</v>
      </c>
      <c r="EY49" s="6">
        <f t="shared" si="177"/>
        <v>1</v>
      </c>
      <c r="EZ49" s="6">
        <f t="shared" si="178"/>
        <v>14.364000000000001</v>
      </c>
    </row>
    <row r="50" spans="3:156" x14ac:dyDescent="0.2">
      <c r="C50" s="38" t="s">
        <v>228</v>
      </c>
      <c r="D50" s="28">
        <f t="shared" si="144"/>
        <v>65.34</v>
      </c>
      <c r="E50" s="86">
        <f t="shared" si="148"/>
        <v>17</v>
      </c>
      <c r="F50" s="33" t="s">
        <v>52</v>
      </c>
      <c r="G50" s="49">
        <f t="shared" si="149"/>
        <v>32</v>
      </c>
      <c r="H50" s="12" t="s">
        <v>53</v>
      </c>
      <c r="I50" s="33">
        <f t="shared" si="150"/>
        <v>13</v>
      </c>
      <c r="J50" s="49" t="s">
        <v>54</v>
      </c>
      <c r="K50" s="12">
        <f t="shared" si="151"/>
        <v>3</v>
      </c>
      <c r="L50" s="33" t="s">
        <v>52</v>
      </c>
      <c r="M50" s="49">
        <f t="shared" si="152"/>
        <v>8</v>
      </c>
      <c r="N50" s="12" t="s">
        <v>53</v>
      </c>
      <c r="O50" s="33">
        <f t="shared" si="153"/>
        <v>1</v>
      </c>
      <c r="P50" s="49" t="s">
        <v>54</v>
      </c>
      <c r="Q50" s="12">
        <f t="shared" si="154"/>
        <v>2</v>
      </c>
      <c r="R50" s="33" t="s">
        <v>52</v>
      </c>
      <c r="S50" s="49">
        <f t="shared" si="155"/>
        <v>5</v>
      </c>
      <c r="T50" s="12" t="s">
        <v>53</v>
      </c>
      <c r="U50" s="33">
        <f t="shared" si="156"/>
        <v>1</v>
      </c>
      <c r="V50" s="49" t="s">
        <v>54</v>
      </c>
      <c r="W50" s="12">
        <f t="shared" si="157"/>
        <v>12</v>
      </c>
      <c r="X50" s="33" t="s">
        <v>52</v>
      </c>
      <c r="Y50" s="49">
        <f t="shared" si="158"/>
        <v>19</v>
      </c>
      <c r="Z50" s="12" t="s">
        <v>53</v>
      </c>
      <c r="AA50" s="33">
        <f t="shared" si="159"/>
        <v>11</v>
      </c>
      <c r="AB50" s="49" t="s">
        <v>54</v>
      </c>
      <c r="AC50" s="12">
        <f t="shared" si="160"/>
        <v>6.6</v>
      </c>
      <c r="AD50" s="33" t="s">
        <v>52</v>
      </c>
      <c r="AE50" s="53">
        <f t="shared" si="161"/>
        <v>9</v>
      </c>
      <c r="AF50" s="12"/>
      <c r="AG50" s="43">
        <f t="shared" si="162"/>
        <v>16</v>
      </c>
      <c r="AH50" s="33" t="s">
        <v>52</v>
      </c>
      <c r="AI50" s="49">
        <f t="shared" si="163"/>
        <v>29</v>
      </c>
      <c r="AJ50" s="12" t="s">
        <v>53</v>
      </c>
      <c r="AK50" s="33">
        <f t="shared" si="164"/>
        <v>12</v>
      </c>
      <c r="AL50" s="49" t="s">
        <v>54</v>
      </c>
      <c r="AM50" s="12">
        <f t="shared" si="165"/>
        <v>3</v>
      </c>
      <c r="AN50" s="33" t="s">
        <v>52</v>
      </c>
      <c r="AO50" s="49">
        <f t="shared" si="166"/>
        <v>7</v>
      </c>
      <c r="AP50" s="12" t="s">
        <v>53</v>
      </c>
      <c r="AQ50" s="33">
        <f t="shared" si="167"/>
        <v>1</v>
      </c>
      <c r="AR50" s="49" t="s">
        <v>54</v>
      </c>
      <c r="AS50" s="12">
        <f t="shared" si="168"/>
        <v>2</v>
      </c>
      <c r="AT50" s="33" t="s">
        <v>52</v>
      </c>
      <c r="AU50" s="49">
        <f t="shared" si="169"/>
        <v>5</v>
      </c>
      <c r="AV50" s="12" t="s">
        <v>53</v>
      </c>
      <c r="AW50" s="33">
        <f t="shared" si="170"/>
        <v>1</v>
      </c>
      <c r="AX50" s="49" t="s">
        <v>54</v>
      </c>
      <c r="AY50" s="12">
        <f t="shared" si="171"/>
        <v>11</v>
      </c>
      <c r="AZ50" s="33" t="s">
        <v>52</v>
      </c>
      <c r="BA50" s="49">
        <f t="shared" si="172"/>
        <v>17</v>
      </c>
      <c r="BB50" s="12" t="s">
        <v>53</v>
      </c>
      <c r="BC50" s="33">
        <f t="shared" si="173"/>
        <v>10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1</v>
      </c>
      <c r="BJ50" s="12" t="str">
        <f t="shared" ref="BJ50:CI50" si="187">IFERROR(IF($B$14="W",BJ22,BJ23),"0")</f>
        <v>-</v>
      </c>
      <c r="BK50" s="49">
        <f t="shared" si="187"/>
        <v>3</v>
      </c>
      <c r="BL50" s="12" t="str">
        <f t="shared" si="187"/>
        <v>(</v>
      </c>
      <c r="BM50" s="33">
        <f t="shared" si="187"/>
        <v>1</v>
      </c>
      <c r="BN50" s="49" t="str">
        <f t="shared" si="187"/>
        <v>)</v>
      </c>
      <c r="BO50" s="12">
        <f t="shared" si="187"/>
        <v>0</v>
      </c>
      <c r="BP50" s="12" t="str">
        <f t="shared" si="187"/>
        <v>-</v>
      </c>
      <c r="BQ50" s="49">
        <f t="shared" si="187"/>
        <v>1</v>
      </c>
      <c r="BR50" s="12" t="str">
        <f t="shared" si="187"/>
        <v>(</v>
      </c>
      <c r="BS50" s="33">
        <f t="shared" si="187"/>
        <v>0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0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1</v>
      </c>
      <c r="CB50" s="12" t="str">
        <f t="shared" si="187"/>
        <v>-</v>
      </c>
      <c r="CC50" s="49">
        <f t="shared" si="187"/>
        <v>2</v>
      </c>
      <c r="CD50" s="12" t="str">
        <f t="shared" si="187"/>
        <v>(</v>
      </c>
      <c r="CE50" s="33">
        <f t="shared" si="187"/>
        <v>1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2</v>
      </c>
      <c r="CK50" s="33">
        <f t="shared" ref="CK50:CV50" si="188">IFERROR(IF($B$14="W",CK22,CK23),"0")</f>
        <v>17</v>
      </c>
      <c r="CL50" s="33">
        <f t="shared" si="188"/>
        <v>0</v>
      </c>
      <c r="CM50" s="33">
        <f t="shared" si="188"/>
        <v>0</v>
      </c>
      <c r="CN50" s="33">
        <f t="shared" si="188"/>
        <v>19</v>
      </c>
      <c r="CO50" s="33">
        <f t="shared" si="188"/>
        <v>13</v>
      </c>
      <c r="CP50" s="33">
        <f t="shared" si="188"/>
        <v>13</v>
      </c>
      <c r="CQ50" s="33">
        <f t="shared" si="188"/>
        <v>1</v>
      </c>
      <c r="CR50" s="33">
        <f t="shared" si="188"/>
        <v>9</v>
      </c>
      <c r="CS50" s="33">
        <f t="shared" si="188"/>
        <v>4</v>
      </c>
      <c r="CT50" s="33">
        <f t="shared" si="188"/>
        <v>8</v>
      </c>
      <c r="CU50" s="33">
        <f t="shared" si="188"/>
        <v>4</v>
      </c>
      <c r="CV50" s="33">
        <f t="shared" si="188"/>
        <v>52.6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39.424084176839401</v>
      </c>
      <c r="EW50" s="38" t="s">
        <v>228</v>
      </c>
      <c r="EX50" s="6">
        <f t="shared" si="147"/>
        <v>6.6</v>
      </c>
      <c r="EY50" s="6">
        <f t="shared" si="177"/>
        <v>9</v>
      </c>
      <c r="EZ50" s="6">
        <f t="shared" si="178"/>
        <v>20.344000000000001</v>
      </c>
    </row>
    <row r="51" spans="3:156" x14ac:dyDescent="0.2">
      <c r="C51" s="38" t="s">
        <v>229</v>
      </c>
      <c r="D51" s="28">
        <f t="shared" si="144"/>
        <v>65.34</v>
      </c>
      <c r="E51" s="86">
        <f t="shared" si="148"/>
        <v>14</v>
      </c>
      <c r="F51" s="33" t="s">
        <v>52</v>
      </c>
      <c r="G51" s="49">
        <f t="shared" si="149"/>
        <v>32</v>
      </c>
      <c r="H51" s="12" t="s">
        <v>53</v>
      </c>
      <c r="I51" s="33">
        <f t="shared" si="150"/>
        <v>10</v>
      </c>
      <c r="J51" s="49" t="s">
        <v>54</v>
      </c>
      <c r="K51" s="12">
        <f t="shared" si="151"/>
        <v>5</v>
      </c>
      <c r="L51" s="33" t="s">
        <v>52</v>
      </c>
      <c r="M51" s="49">
        <f t="shared" si="152"/>
        <v>11</v>
      </c>
      <c r="N51" s="12" t="s">
        <v>53</v>
      </c>
      <c r="O51" s="33">
        <f t="shared" si="153"/>
        <v>4</v>
      </c>
      <c r="P51" s="49" t="s">
        <v>54</v>
      </c>
      <c r="Q51" s="12">
        <f t="shared" si="154"/>
        <v>2</v>
      </c>
      <c r="R51" s="33" t="s">
        <v>52</v>
      </c>
      <c r="S51" s="49">
        <f t="shared" si="155"/>
        <v>5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7</v>
      </c>
      <c r="X51" s="33" t="s">
        <v>52</v>
      </c>
      <c r="Y51" s="49">
        <f t="shared" si="158"/>
        <v>16</v>
      </c>
      <c r="Z51" s="12" t="s">
        <v>53</v>
      </c>
      <c r="AA51" s="33">
        <f t="shared" si="159"/>
        <v>6</v>
      </c>
      <c r="AB51" s="49" t="s">
        <v>54</v>
      </c>
      <c r="AC51" s="12">
        <f t="shared" si="160"/>
        <v>0.7</v>
      </c>
      <c r="AD51" s="33" t="s">
        <v>52</v>
      </c>
      <c r="AE51" s="53">
        <f t="shared" si="161"/>
        <v>1</v>
      </c>
      <c r="AF51" s="12"/>
      <c r="AG51" s="43">
        <f t="shared" si="162"/>
        <v>11</v>
      </c>
      <c r="AH51" s="33" t="s">
        <v>52</v>
      </c>
      <c r="AI51" s="49">
        <f t="shared" si="163"/>
        <v>29</v>
      </c>
      <c r="AJ51" s="12" t="s">
        <v>53</v>
      </c>
      <c r="AK51" s="33">
        <f t="shared" si="164"/>
        <v>7</v>
      </c>
      <c r="AL51" s="49" t="s">
        <v>54</v>
      </c>
      <c r="AM51" s="12">
        <f t="shared" si="165"/>
        <v>4</v>
      </c>
      <c r="AN51" s="33" t="s">
        <v>52</v>
      </c>
      <c r="AO51" s="49">
        <f t="shared" si="166"/>
        <v>10</v>
      </c>
      <c r="AP51" s="12" t="s">
        <v>53</v>
      </c>
      <c r="AQ51" s="33">
        <f t="shared" si="167"/>
        <v>3</v>
      </c>
      <c r="AR51" s="49" t="s">
        <v>54</v>
      </c>
      <c r="AS51" s="12">
        <f t="shared" si="168"/>
        <v>2</v>
      </c>
      <c r="AT51" s="33" t="s">
        <v>52</v>
      </c>
      <c r="AU51" s="49">
        <f t="shared" si="169"/>
        <v>5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5</v>
      </c>
      <c r="AZ51" s="33" t="s">
        <v>52</v>
      </c>
      <c r="BA51" s="49">
        <f t="shared" si="172"/>
        <v>14</v>
      </c>
      <c r="BB51" s="12" t="s">
        <v>53</v>
      </c>
      <c r="BC51" s="33">
        <f t="shared" si="173"/>
        <v>4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3</v>
      </c>
      <c r="BJ51" s="12" t="str">
        <f t="shared" ref="BJ51:CI51" si="189">IFERROR(IF($B$15="W",BJ22,BJ23),"0")</f>
        <v>-</v>
      </c>
      <c r="BK51" s="49">
        <f t="shared" si="189"/>
        <v>3</v>
      </c>
      <c r="BL51" s="12" t="str">
        <f t="shared" si="189"/>
        <v>(</v>
      </c>
      <c r="BM51" s="33">
        <f t="shared" si="189"/>
        <v>3</v>
      </c>
      <c r="BN51" s="49" t="str">
        <f t="shared" si="189"/>
        <v>)</v>
      </c>
      <c r="BO51" s="12">
        <f t="shared" si="189"/>
        <v>1</v>
      </c>
      <c r="BP51" s="12" t="str">
        <f t="shared" si="189"/>
        <v>-</v>
      </c>
      <c r="BQ51" s="49">
        <f t="shared" si="189"/>
        <v>1</v>
      </c>
      <c r="BR51" s="12" t="str">
        <f t="shared" si="189"/>
        <v>(</v>
      </c>
      <c r="BS51" s="33">
        <f t="shared" si="189"/>
        <v>1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2</v>
      </c>
      <c r="CB51" s="12" t="str">
        <f t="shared" si="189"/>
        <v>-</v>
      </c>
      <c r="CC51" s="49">
        <f t="shared" si="189"/>
        <v>2</v>
      </c>
      <c r="CD51" s="12" t="str">
        <f t="shared" si="189"/>
        <v>(</v>
      </c>
      <c r="CE51" s="33">
        <f t="shared" si="189"/>
        <v>2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1</v>
      </c>
      <c r="CK51" s="33">
        <f t="shared" ref="CK51:CV51" si="190">IFERROR(IF($B$15="W",CK22,CK23),"0")</f>
        <v>13</v>
      </c>
      <c r="CL51" s="33">
        <f t="shared" si="190"/>
        <v>0</v>
      </c>
      <c r="CM51" s="33">
        <f t="shared" si="190"/>
        <v>0</v>
      </c>
      <c r="CN51" s="33">
        <f t="shared" si="190"/>
        <v>14</v>
      </c>
      <c r="CO51" s="33">
        <f t="shared" si="190"/>
        <v>10</v>
      </c>
      <c r="CP51" s="33">
        <f t="shared" si="190"/>
        <v>7</v>
      </c>
      <c r="CQ51" s="33">
        <f t="shared" si="190"/>
        <v>9</v>
      </c>
      <c r="CR51" s="33">
        <f t="shared" si="190"/>
        <v>1</v>
      </c>
      <c r="CS51" s="33">
        <f t="shared" si="190"/>
        <v>5</v>
      </c>
      <c r="CT51" s="33">
        <f t="shared" si="190"/>
        <v>7</v>
      </c>
      <c r="CU51" s="33">
        <f t="shared" si="190"/>
        <v>3</v>
      </c>
      <c r="CV51" s="33">
        <f t="shared" si="190"/>
        <v>35.700000000000003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37.907149399580199</v>
      </c>
      <c r="EW51" s="38" t="s">
        <v>229</v>
      </c>
      <c r="EX51" s="6">
        <f t="shared" si="147"/>
        <v>0.7</v>
      </c>
      <c r="EY51" s="6">
        <f t="shared" si="177"/>
        <v>1</v>
      </c>
      <c r="EZ51" s="6">
        <f t="shared" si="178"/>
        <v>14.364000000000001</v>
      </c>
    </row>
    <row r="52" spans="3:156" x14ac:dyDescent="0.2">
      <c r="C52" s="38" t="s">
        <v>113</v>
      </c>
      <c r="D52" s="28">
        <f t="shared" si="144"/>
        <v>65.34</v>
      </c>
      <c r="E52" s="86">
        <f t="shared" si="148"/>
        <v>17</v>
      </c>
      <c r="F52" s="33" t="s">
        <v>52</v>
      </c>
      <c r="G52" s="49">
        <f t="shared" si="149"/>
        <v>32</v>
      </c>
      <c r="H52" s="12" t="s">
        <v>53</v>
      </c>
      <c r="I52" s="33">
        <f t="shared" si="150"/>
        <v>13</v>
      </c>
      <c r="J52" s="49" t="s">
        <v>54</v>
      </c>
      <c r="K52" s="12">
        <f t="shared" si="151"/>
        <v>3</v>
      </c>
      <c r="L52" s="33" t="s">
        <v>52</v>
      </c>
      <c r="M52" s="49">
        <f t="shared" si="152"/>
        <v>8</v>
      </c>
      <c r="N52" s="12" t="s">
        <v>53</v>
      </c>
      <c r="O52" s="33">
        <f t="shared" si="153"/>
        <v>1</v>
      </c>
      <c r="P52" s="49" t="s">
        <v>54</v>
      </c>
      <c r="Q52" s="12">
        <f t="shared" si="154"/>
        <v>2</v>
      </c>
      <c r="R52" s="33" t="s">
        <v>52</v>
      </c>
      <c r="S52" s="49">
        <f t="shared" si="155"/>
        <v>5</v>
      </c>
      <c r="T52" s="12" t="s">
        <v>53</v>
      </c>
      <c r="U52" s="33">
        <f t="shared" si="156"/>
        <v>1</v>
      </c>
      <c r="V52" s="49" t="s">
        <v>54</v>
      </c>
      <c r="W52" s="12">
        <f t="shared" si="157"/>
        <v>12</v>
      </c>
      <c r="X52" s="33" t="s">
        <v>52</v>
      </c>
      <c r="Y52" s="49">
        <f t="shared" si="158"/>
        <v>19</v>
      </c>
      <c r="Z52" s="12" t="s">
        <v>53</v>
      </c>
      <c r="AA52" s="33">
        <f t="shared" si="159"/>
        <v>11</v>
      </c>
      <c r="AB52" s="49" t="s">
        <v>54</v>
      </c>
      <c r="AC52" s="12">
        <f t="shared" si="160"/>
        <v>6.6</v>
      </c>
      <c r="AD52" s="33" t="s">
        <v>52</v>
      </c>
      <c r="AE52" s="53">
        <f t="shared" si="161"/>
        <v>9</v>
      </c>
      <c r="AF52" s="12"/>
      <c r="AG52" s="43">
        <f t="shared" si="162"/>
        <v>16</v>
      </c>
      <c r="AH52" s="33" t="s">
        <v>52</v>
      </c>
      <c r="AI52" s="49">
        <f t="shared" si="163"/>
        <v>29</v>
      </c>
      <c r="AJ52" s="12" t="s">
        <v>53</v>
      </c>
      <c r="AK52" s="33">
        <f t="shared" si="164"/>
        <v>12</v>
      </c>
      <c r="AL52" s="49" t="s">
        <v>54</v>
      </c>
      <c r="AM52" s="12">
        <f t="shared" si="165"/>
        <v>3</v>
      </c>
      <c r="AN52" s="33" t="s">
        <v>52</v>
      </c>
      <c r="AO52" s="49">
        <f t="shared" si="166"/>
        <v>7</v>
      </c>
      <c r="AP52" s="12" t="s">
        <v>53</v>
      </c>
      <c r="AQ52" s="33">
        <f t="shared" si="167"/>
        <v>1</v>
      </c>
      <c r="AR52" s="49" t="s">
        <v>54</v>
      </c>
      <c r="AS52" s="12">
        <f t="shared" si="168"/>
        <v>2</v>
      </c>
      <c r="AT52" s="33" t="s">
        <v>52</v>
      </c>
      <c r="AU52" s="49">
        <f t="shared" si="169"/>
        <v>5</v>
      </c>
      <c r="AV52" s="12" t="s">
        <v>53</v>
      </c>
      <c r="AW52" s="33">
        <f t="shared" si="170"/>
        <v>1</v>
      </c>
      <c r="AX52" s="49" t="s">
        <v>54</v>
      </c>
      <c r="AY52" s="12">
        <f t="shared" si="171"/>
        <v>11</v>
      </c>
      <c r="AZ52" s="33" t="s">
        <v>52</v>
      </c>
      <c r="BA52" s="49">
        <f t="shared" si="172"/>
        <v>17</v>
      </c>
      <c r="BB52" s="12" t="s">
        <v>53</v>
      </c>
      <c r="BC52" s="33">
        <f t="shared" si="173"/>
        <v>10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1</v>
      </c>
      <c r="BJ52" s="12" t="str">
        <f t="shared" ref="BJ52:CI52" si="191">IFERROR(IF($B$16="W",BJ22,BJ23),"0")</f>
        <v>-</v>
      </c>
      <c r="BK52" s="49">
        <f t="shared" si="191"/>
        <v>3</v>
      </c>
      <c r="BL52" s="12" t="str">
        <f t="shared" si="191"/>
        <v>(</v>
      </c>
      <c r="BM52" s="33">
        <f t="shared" si="191"/>
        <v>1</v>
      </c>
      <c r="BN52" s="49" t="str">
        <f t="shared" si="191"/>
        <v>)</v>
      </c>
      <c r="BO52" s="12">
        <f t="shared" si="191"/>
        <v>0</v>
      </c>
      <c r="BP52" s="12" t="str">
        <f t="shared" si="191"/>
        <v>-</v>
      </c>
      <c r="BQ52" s="49">
        <f t="shared" si="191"/>
        <v>1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1</v>
      </c>
      <c r="CB52" s="12" t="str">
        <f t="shared" si="191"/>
        <v>-</v>
      </c>
      <c r="CC52" s="49">
        <f t="shared" si="191"/>
        <v>2</v>
      </c>
      <c r="CD52" s="12" t="str">
        <f t="shared" si="191"/>
        <v>(</v>
      </c>
      <c r="CE52" s="33">
        <f t="shared" si="191"/>
        <v>1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2</v>
      </c>
      <c r="CK52" s="33">
        <f t="shared" ref="CK52:CV52" si="192">IFERROR(IF($B$16="W",CK22,CK23),"0")</f>
        <v>17</v>
      </c>
      <c r="CL52" s="33">
        <f t="shared" si="192"/>
        <v>0</v>
      </c>
      <c r="CM52" s="33">
        <f t="shared" si="192"/>
        <v>0</v>
      </c>
      <c r="CN52" s="33">
        <f t="shared" si="192"/>
        <v>19</v>
      </c>
      <c r="CO52" s="33">
        <f t="shared" si="192"/>
        <v>13</v>
      </c>
      <c r="CP52" s="33">
        <f t="shared" si="192"/>
        <v>13</v>
      </c>
      <c r="CQ52" s="33">
        <f t="shared" si="192"/>
        <v>1</v>
      </c>
      <c r="CR52" s="33">
        <f t="shared" si="192"/>
        <v>9</v>
      </c>
      <c r="CS52" s="33">
        <f t="shared" si="192"/>
        <v>4</v>
      </c>
      <c r="CT52" s="33">
        <f t="shared" si="192"/>
        <v>8</v>
      </c>
      <c r="CU52" s="33">
        <f t="shared" si="192"/>
        <v>4</v>
      </c>
      <c r="CV52" s="33">
        <f t="shared" si="192"/>
        <v>52.6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39.424084176839401</v>
      </c>
      <c r="EW52" s="38" t="s">
        <v>113</v>
      </c>
      <c r="EX52" s="6">
        <f t="shared" si="147"/>
        <v>6.6</v>
      </c>
      <c r="EY52" s="6">
        <f t="shared" si="177"/>
        <v>9</v>
      </c>
      <c r="EZ52" s="6">
        <f t="shared" si="178"/>
        <v>20.344000000000001</v>
      </c>
    </row>
    <row r="53" spans="3:156" x14ac:dyDescent="0.2">
      <c r="C53" s="38" t="s">
        <v>49</v>
      </c>
      <c r="D53" s="28">
        <f t="shared" si="144"/>
        <v>65.34</v>
      </c>
      <c r="E53" s="86">
        <f t="shared" si="148"/>
        <v>14</v>
      </c>
      <c r="F53" s="33" t="s">
        <v>52</v>
      </c>
      <c r="G53" s="49">
        <f t="shared" si="149"/>
        <v>32</v>
      </c>
      <c r="H53" s="12" t="s">
        <v>53</v>
      </c>
      <c r="I53" s="33">
        <f t="shared" si="150"/>
        <v>10</v>
      </c>
      <c r="J53" s="49" t="s">
        <v>54</v>
      </c>
      <c r="K53" s="12">
        <f t="shared" si="151"/>
        <v>5</v>
      </c>
      <c r="L53" s="33" t="s">
        <v>52</v>
      </c>
      <c r="M53" s="49">
        <f t="shared" si="152"/>
        <v>11</v>
      </c>
      <c r="N53" s="12" t="s">
        <v>53</v>
      </c>
      <c r="O53" s="33">
        <f t="shared" si="153"/>
        <v>4</v>
      </c>
      <c r="P53" s="49" t="s">
        <v>54</v>
      </c>
      <c r="Q53" s="12">
        <f t="shared" si="154"/>
        <v>2</v>
      </c>
      <c r="R53" s="33" t="s">
        <v>52</v>
      </c>
      <c r="S53" s="49">
        <f t="shared" si="155"/>
        <v>5</v>
      </c>
      <c r="T53" s="12" t="s">
        <v>53</v>
      </c>
      <c r="U53" s="33">
        <f t="shared" si="156"/>
        <v>0</v>
      </c>
      <c r="V53" s="49" t="s">
        <v>54</v>
      </c>
      <c r="W53" s="12">
        <f t="shared" si="157"/>
        <v>7</v>
      </c>
      <c r="X53" s="33" t="s">
        <v>52</v>
      </c>
      <c r="Y53" s="49">
        <f t="shared" si="158"/>
        <v>16</v>
      </c>
      <c r="Z53" s="12" t="s">
        <v>53</v>
      </c>
      <c r="AA53" s="33">
        <f t="shared" si="159"/>
        <v>6</v>
      </c>
      <c r="AB53" s="49" t="s">
        <v>54</v>
      </c>
      <c r="AC53" s="12">
        <f t="shared" si="160"/>
        <v>0.7</v>
      </c>
      <c r="AD53" s="33" t="s">
        <v>52</v>
      </c>
      <c r="AE53" s="53">
        <f t="shared" si="161"/>
        <v>1</v>
      </c>
      <c r="AF53" s="12"/>
      <c r="AG53" s="43">
        <f t="shared" si="162"/>
        <v>11</v>
      </c>
      <c r="AH53" s="33" t="s">
        <v>52</v>
      </c>
      <c r="AI53" s="49">
        <f t="shared" si="163"/>
        <v>29</v>
      </c>
      <c r="AJ53" s="12" t="s">
        <v>53</v>
      </c>
      <c r="AK53" s="33">
        <f t="shared" si="164"/>
        <v>7</v>
      </c>
      <c r="AL53" s="49" t="s">
        <v>54</v>
      </c>
      <c r="AM53" s="12">
        <f t="shared" si="165"/>
        <v>4</v>
      </c>
      <c r="AN53" s="33" t="s">
        <v>52</v>
      </c>
      <c r="AO53" s="49">
        <f t="shared" si="166"/>
        <v>10</v>
      </c>
      <c r="AP53" s="12" t="s">
        <v>53</v>
      </c>
      <c r="AQ53" s="33">
        <f t="shared" si="167"/>
        <v>3</v>
      </c>
      <c r="AR53" s="49" t="s">
        <v>54</v>
      </c>
      <c r="AS53" s="12">
        <f t="shared" si="168"/>
        <v>2</v>
      </c>
      <c r="AT53" s="33" t="s">
        <v>52</v>
      </c>
      <c r="AU53" s="49">
        <f t="shared" si="169"/>
        <v>5</v>
      </c>
      <c r="AV53" s="12" t="s">
        <v>53</v>
      </c>
      <c r="AW53" s="33">
        <f t="shared" si="170"/>
        <v>0</v>
      </c>
      <c r="AX53" s="49" t="s">
        <v>54</v>
      </c>
      <c r="AY53" s="12">
        <f t="shared" si="171"/>
        <v>5</v>
      </c>
      <c r="AZ53" s="33" t="s">
        <v>52</v>
      </c>
      <c r="BA53" s="49">
        <f t="shared" si="172"/>
        <v>14</v>
      </c>
      <c r="BB53" s="12" t="s">
        <v>53</v>
      </c>
      <c r="BC53" s="33">
        <f t="shared" si="173"/>
        <v>4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3</v>
      </c>
      <c r="BJ53" s="12" t="str">
        <f t="shared" ref="BJ53:CI53" si="193">IFERROR(IF($B$17="W",BJ22,BJ23),"0")</f>
        <v>-</v>
      </c>
      <c r="BK53" s="49">
        <f t="shared" si="193"/>
        <v>3</v>
      </c>
      <c r="BL53" s="12" t="str">
        <f t="shared" si="193"/>
        <v>(</v>
      </c>
      <c r="BM53" s="33">
        <f t="shared" si="193"/>
        <v>3</v>
      </c>
      <c r="BN53" s="49" t="str">
        <f t="shared" si="193"/>
        <v>)</v>
      </c>
      <c r="BO53" s="12">
        <f t="shared" si="193"/>
        <v>1</v>
      </c>
      <c r="BP53" s="12" t="str">
        <f t="shared" si="193"/>
        <v>-</v>
      </c>
      <c r="BQ53" s="49">
        <f t="shared" si="193"/>
        <v>1</v>
      </c>
      <c r="BR53" s="12" t="str">
        <f t="shared" si="193"/>
        <v>(</v>
      </c>
      <c r="BS53" s="33">
        <f t="shared" si="193"/>
        <v>1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2</v>
      </c>
      <c r="CB53" s="12" t="str">
        <f t="shared" si="193"/>
        <v>-</v>
      </c>
      <c r="CC53" s="49">
        <f t="shared" si="193"/>
        <v>2</v>
      </c>
      <c r="CD53" s="12" t="str">
        <f t="shared" si="193"/>
        <v>(</v>
      </c>
      <c r="CE53" s="33">
        <f t="shared" si="193"/>
        <v>2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1</v>
      </c>
      <c r="CK53" s="33">
        <f t="shared" ref="CK53:CV53" si="194">IFERROR(IF($B$17="W",CK22,CK23),"0")</f>
        <v>13</v>
      </c>
      <c r="CL53" s="33">
        <f t="shared" si="194"/>
        <v>0</v>
      </c>
      <c r="CM53" s="33">
        <f t="shared" si="194"/>
        <v>0</v>
      </c>
      <c r="CN53" s="33">
        <f t="shared" si="194"/>
        <v>14</v>
      </c>
      <c r="CO53" s="33">
        <f t="shared" si="194"/>
        <v>10</v>
      </c>
      <c r="CP53" s="33">
        <f t="shared" si="194"/>
        <v>7</v>
      </c>
      <c r="CQ53" s="33">
        <f t="shared" si="194"/>
        <v>9</v>
      </c>
      <c r="CR53" s="33">
        <f t="shared" si="194"/>
        <v>1</v>
      </c>
      <c r="CS53" s="33">
        <f t="shared" si="194"/>
        <v>5</v>
      </c>
      <c r="CT53" s="33">
        <f t="shared" si="194"/>
        <v>7</v>
      </c>
      <c r="CU53" s="33">
        <f t="shared" si="194"/>
        <v>3</v>
      </c>
      <c r="CV53" s="33">
        <f t="shared" si="194"/>
        <v>35.700000000000003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37.907149399580199</v>
      </c>
      <c r="EW53" s="38" t="s">
        <v>49</v>
      </c>
      <c r="EX53" s="6">
        <f t="shared" si="147"/>
        <v>0.7</v>
      </c>
      <c r="EY53" s="6">
        <f t="shared" si="177"/>
        <v>1</v>
      </c>
      <c r="EZ53" s="6">
        <f t="shared" si="178"/>
        <v>14.364000000000001</v>
      </c>
    </row>
    <row r="54" spans="3:156" ht="17" thickBot="1" x14ac:dyDescent="0.25">
      <c r="C54" s="38" t="s">
        <v>230</v>
      </c>
      <c r="D54" s="28">
        <f t="shared" si="144"/>
        <v>65.34</v>
      </c>
      <c r="E54" s="87">
        <f t="shared" si="148"/>
        <v>17</v>
      </c>
      <c r="F54" s="55" t="s">
        <v>52</v>
      </c>
      <c r="G54" s="54">
        <f t="shared" si="149"/>
        <v>32</v>
      </c>
      <c r="H54" s="45" t="s">
        <v>53</v>
      </c>
      <c r="I54" s="55">
        <f t="shared" si="150"/>
        <v>13</v>
      </c>
      <c r="J54" s="54" t="s">
        <v>54</v>
      </c>
      <c r="K54" s="45">
        <f t="shared" si="151"/>
        <v>3</v>
      </c>
      <c r="L54" s="55" t="s">
        <v>52</v>
      </c>
      <c r="M54" s="54">
        <f t="shared" si="152"/>
        <v>8</v>
      </c>
      <c r="N54" s="45" t="s">
        <v>53</v>
      </c>
      <c r="O54" s="55">
        <f t="shared" si="153"/>
        <v>1</v>
      </c>
      <c r="P54" s="54" t="s">
        <v>54</v>
      </c>
      <c r="Q54" s="45">
        <f t="shared" si="154"/>
        <v>2</v>
      </c>
      <c r="R54" s="55" t="s">
        <v>52</v>
      </c>
      <c r="S54" s="54">
        <f t="shared" si="155"/>
        <v>5</v>
      </c>
      <c r="T54" s="45" t="s">
        <v>53</v>
      </c>
      <c r="U54" s="55">
        <f t="shared" si="156"/>
        <v>1</v>
      </c>
      <c r="V54" s="54" t="s">
        <v>54</v>
      </c>
      <c r="W54" s="45">
        <f t="shared" si="157"/>
        <v>12</v>
      </c>
      <c r="X54" s="55" t="s">
        <v>52</v>
      </c>
      <c r="Y54" s="54">
        <f t="shared" si="158"/>
        <v>19</v>
      </c>
      <c r="Z54" s="45" t="s">
        <v>53</v>
      </c>
      <c r="AA54" s="55">
        <f t="shared" si="159"/>
        <v>11</v>
      </c>
      <c r="AB54" s="54" t="s">
        <v>54</v>
      </c>
      <c r="AC54" s="45">
        <f t="shared" si="160"/>
        <v>6.6</v>
      </c>
      <c r="AD54" s="55" t="s">
        <v>52</v>
      </c>
      <c r="AE54" s="56">
        <f t="shared" si="161"/>
        <v>9</v>
      </c>
      <c r="AF54" s="1"/>
      <c r="AG54" s="44">
        <f t="shared" si="162"/>
        <v>16</v>
      </c>
      <c r="AH54" s="55" t="s">
        <v>52</v>
      </c>
      <c r="AI54" s="54">
        <f t="shared" si="163"/>
        <v>29</v>
      </c>
      <c r="AJ54" s="45" t="s">
        <v>53</v>
      </c>
      <c r="AK54" s="55">
        <f t="shared" si="164"/>
        <v>12</v>
      </c>
      <c r="AL54" s="54" t="s">
        <v>54</v>
      </c>
      <c r="AM54" s="45">
        <f t="shared" si="165"/>
        <v>3</v>
      </c>
      <c r="AN54" s="55" t="s">
        <v>52</v>
      </c>
      <c r="AO54" s="54">
        <f t="shared" si="166"/>
        <v>7</v>
      </c>
      <c r="AP54" s="45" t="s">
        <v>53</v>
      </c>
      <c r="AQ54" s="55">
        <f t="shared" si="167"/>
        <v>1</v>
      </c>
      <c r="AR54" s="54" t="s">
        <v>54</v>
      </c>
      <c r="AS54" s="45">
        <f t="shared" si="168"/>
        <v>2</v>
      </c>
      <c r="AT54" s="55" t="s">
        <v>52</v>
      </c>
      <c r="AU54" s="54">
        <f t="shared" si="169"/>
        <v>5</v>
      </c>
      <c r="AV54" s="45" t="s">
        <v>53</v>
      </c>
      <c r="AW54" s="55">
        <f t="shared" si="170"/>
        <v>1</v>
      </c>
      <c r="AX54" s="54" t="s">
        <v>54</v>
      </c>
      <c r="AY54" s="45">
        <f t="shared" si="171"/>
        <v>11</v>
      </c>
      <c r="AZ54" s="55" t="s">
        <v>52</v>
      </c>
      <c r="BA54" s="54">
        <f t="shared" si="172"/>
        <v>17</v>
      </c>
      <c r="BB54" s="45" t="s">
        <v>53</v>
      </c>
      <c r="BC54" s="55">
        <f t="shared" si="173"/>
        <v>10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1</v>
      </c>
      <c r="BJ54" s="45" t="str">
        <f t="shared" ref="BJ54:CV54" si="195">IFERROR(IF($B$18="W",BJ22,BJ23),"0")</f>
        <v>-</v>
      </c>
      <c r="BK54" s="54">
        <f t="shared" si="195"/>
        <v>3</v>
      </c>
      <c r="BL54" s="45" t="str">
        <f t="shared" si="195"/>
        <v>(</v>
      </c>
      <c r="BM54" s="55">
        <f t="shared" si="195"/>
        <v>1</v>
      </c>
      <c r="BN54" s="54" t="str">
        <f t="shared" si="195"/>
        <v>)</v>
      </c>
      <c r="BO54" s="45">
        <f t="shared" si="195"/>
        <v>0</v>
      </c>
      <c r="BP54" s="45" t="str">
        <f t="shared" si="195"/>
        <v>-</v>
      </c>
      <c r="BQ54" s="54">
        <f t="shared" si="195"/>
        <v>1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0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1</v>
      </c>
      <c r="CB54" s="45" t="str">
        <f t="shared" si="195"/>
        <v>-</v>
      </c>
      <c r="CC54" s="54">
        <f t="shared" si="195"/>
        <v>2</v>
      </c>
      <c r="CD54" s="45" t="str">
        <f t="shared" si="195"/>
        <v>(</v>
      </c>
      <c r="CE54" s="55">
        <f t="shared" si="195"/>
        <v>1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2</v>
      </c>
      <c r="CK54" s="33">
        <f t="shared" si="195"/>
        <v>17</v>
      </c>
      <c r="CL54" s="33">
        <f t="shared" si="195"/>
        <v>0</v>
      </c>
      <c r="CM54" s="33">
        <f>IFERROR(IF($B$18="W",CM22,CM23),"0")</f>
        <v>0</v>
      </c>
      <c r="CN54" s="33">
        <f t="shared" si="195"/>
        <v>19</v>
      </c>
      <c r="CO54" s="33">
        <f t="shared" si="195"/>
        <v>13</v>
      </c>
      <c r="CP54" s="33">
        <f t="shared" si="195"/>
        <v>13</v>
      </c>
      <c r="CQ54" s="33">
        <f t="shared" si="195"/>
        <v>1</v>
      </c>
      <c r="CR54" s="33">
        <f t="shared" si="195"/>
        <v>9</v>
      </c>
      <c r="CS54" s="33">
        <f t="shared" si="195"/>
        <v>4</v>
      </c>
      <c r="CT54" s="33">
        <f t="shared" si="195"/>
        <v>8</v>
      </c>
      <c r="CU54" s="33">
        <f t="shared" si="195"/>
        <v>4</v>
      </c>
      <c r="CV54" s="33">
        <f t="shared" si="195"/>
        <v>52.6</v>
      </c>
      <c r="CW54" s="33"/>
      <c r="CX54" s="1"/>
      <c r="CY54" s="1"/>
      <c r="CZ54" s="1"/>
      <c r="EF54" s="38" t="s">
        <v>230</v>
      </c>
      <c r="EG54" s="6">
        <f t="shared" si="146"/>
        <v>39.424084176839401</v>
      </c>
      <c r="EW54" s="38" t="s">
        <v>230</v>
      </c>
      <c r="EX54" s="6">
        <f t="shared" si="147"/>
        <v>6.6</v>
      </c>
      <c r="EY54" s="6">
        <f t="shared" si="177"/>
        <v>9</v>
      </c>
      <c r="EZ54" s="6">
        <f t="shared" si="178"/>
        <v>20.344000000000001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479"/>
      <c r="J57" s="51"/>
      <c r="K57" s="48"/>
      <c r="M57" s="51"/>
      <c r="N57" s="48"/>
      <c r="O57" s="479"/>
      <c r="P57" s="51"/>
      <c r="Q57" s="48"/>
      <c r="S57" s="51"/>
      <c r="T57" s="48"/>
      <c r="U57" s="479"/>
      <c r="V57" s="51"/>
      <c r="W57" s="48"/>
      <c r="Y57" s="51"/>
      <c r="Z57" s="48"/>
      <c r="AA57" s="479"/>
      <c r="AB57" s="51"/>
      <c r="AC57" s="48"/>
      <c r="AE57" s="51"/>
      <c r="AG57" s="48"/>
      <c r="AI57" s="51"/>
      <c r="AJ57" s="48"/>
      <c r="AK57" s="479"/>
      <c r="AL57" s="51"/>
      <c r="AM57" s="48"/>
      <c r="AO57" s="51"/>
      <c r="AP57" s="48"/>
      <c r="AQ57" s="479"/>
      <c r="AR57" s="51"/>
      <c r="AS57" s="48"/>
      <c r="AU57" s="51"/>
      <c r="AV57" s="48"/>
      <c r="AW57" s="479"/>
      <c r="AX57" s="51"/>
      <c r="AY57" s="48"/>
      <c r="BA57" s="51"/>
      <c r="BB57" s="48"/>
      <c r="BC57" s="479"/>
      <c r="BD57" s="51"/>
      <c r="BE57" s="48"/>
      <c r="BG57" s="51"/>
      <c r="BH57" s="51"/>
      <c r="BI57" s="48"/>
      <c r="BK57" s="51"/>
      <c r="BL57" s="48"/>
      <c r="BM57" s="479"/>
      <c r="BN57" s="51"/>
      <c r="BO57" s="48"/>
      <c r="BQ57" s="51"/>
      <c r="BR57" s="48"/>
      <c r="BS57" s="479"/>
      <c r="BT57" s="51"/>
      <c r="BU57" s="48"/>
      <c r="BW57" s="51"/>
      <c r="BX57" s="48"/>
      <c r="BY57" s="479"/>
      <c r="BZ57" s="51"/>
      <c r="CA57" s="48"/>
      <c r="CC57" s="51"/>
      <c r="CD57" s="48"/>
      <c r="CE57" s="479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479"/>
      <c r="J58" s="51"/>
      <c r="K58" s="48"/>
      <c r="M58" s="51"/>
      <c r="N58" s="48"/>
      <c r="O58" s="479"/>
      <c r="P58" s="51"/>
      <c r="Q58" s="48"/>
      <c r="S58" s="51"/>
      <c r="T58" s="48"/>
      <c r="U58" s="479"/>
      <c r="V58" s="51"/>
      <c r="W58" s="48"/>
      <c r="Y58" s="51"/>
      <c r="Z58" s="48"/>
      <c r="AA58" s="479"/>
      <c r="AB58" s="51"/>
      <c r="AC58" s="48"/>
      <c r="AE58" s="51"/>
      <c r="AG58" s="48"/>
      <c r="AI58" s="51"/>
      <c r="AJ58" s="48"/>
      <c r="AK58" s="479"/>
      <c r="AL58" s="51"/>
      <c r="AM58" s="48"/>
      <c r="AO58" s="51"/>
      <c r="AP58" s="48"/>
      <c r="AQ58" s="479"/>
      <c r="AR58" s="51"/>
      <c r="AS58" s="48"/>
      <c r="AU58" s="51"/>
      <c r="AV58" s="48"/>
      <c r="AW58" s="479"/>
      <c r="AX58" s="51"/>
      <c r="AY58" s="48"/>
      <c r="BA58" s="51"/>
      <c r="BB58" s="48"/>
      <c r="BC58" s="479"/>
      <c r="BD58" s="51"/>
      <c r="BE58" s="48"/>
      <c r="BG58" s="51"/>
      <c r="BH58" s="51"/>
      <c r="BI58" s="48"/>
      <c r="BK58" s="51"/>
      <c r="BL58" s="48"/>
      <c r="BM58" s="479"/>
      <c r="BN58" s="51"/>
      <c r="BO58" s="48"/>
      <c r="BQ58" s="51"/>
      <c r="BR58" s="48"/>
      <c r="BS58" s="479"/>
      <c r="BT58" s="51"/>
      <c r="BU58" s="48"/>
      <c r="BW58" s="51"/>
      <c r="BX58" s="48"/>
      <c r="BY58" s="479"/>
      <c r="BZ58" s="51"/>
      <c r="CA58" s="48"/>
      <c r="CC58" s="51"/>
      <c r="CD58" s="48"/>
      <c r="CE58" s="479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479"/>
      <c r="DE62" s="479"/>
      <c r="DF62" s="479"/>
      <c r="DG62" s="479"/>
      <c r="DH62" s="23"/>
      <c r="DI62" s="479"/>
      <c r="DJ62" s="479"/>
      <c r="DK62" s="479"/>
      <c r="DL62" s="479"/>
      <c r="DM62" s="479"/>
      <c r="DN62" s="479"/>
      <c r="DO62" s="479"/>
      <c r="DP62" s="479"/>
      <c r="DQ62" s="479"/>
      <c r="DR62" s="479"/>
      <c r="DS62" s="479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479"/>
      <c r="DE63" s="479"/>
      <c r="DF63" s="479"/>
      <c r="DG63" s="479"/>
      <c r="DH63" s="23"/>
      <c r="DI63" s="479"/>
      <c r="DJ63" s="479"/>
      <c r="DK63" s="479"/>
      <c r="DL63" s="479"/>
      <c r="DM63" s="479"/>
      <c r="DN63" s="479"/>
      <c r="DO63" s="479"/>
      <c r="DP63" s="479"/>
      <c r="DQ63" s="479"/>
      <c r="DR63" s="479"/>
      <c r="DS63" s="479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479"/>
      <c r="DE64" s="479"/>
      <c r="DF64" s="479"/>
      <c r="DG64" s="479"/>
      <c r="DH64" s="23"/>
      <c r="DI64" s="479"/>
      <c r="DJ64" s="479"/>
      <c r="DK64" s="479"/>
      <c r="DL64" s="479"/>
      <c r="DM64" s="479"/>
      <c r="DN64" s="479"/>
      <c r="DO64" s="479"/>
      <c r="DP64" s="479"/>
      <c r="DQ64" s="479"/>
      <c r="DR64" s="479"/>
      <c r="DS64" s="479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479"/>
      <c r="DE65" s="479"/>
      <c r="DF65" s="479"/>
      <c r="DG65" s="479"/>
      <c r="DH65" s="23"/>
      <c r="DI65" s="479"/>
      <c r="DJ65" s="479"/>
      <c r="DK65" s="479"/>
      <c r="DL65" s="479"/>
      <c r="DM65" s="479"/>
      <c r="DN65" s="479"/>
      <c r="DO65" s="479"/>
      <c r="DP65" s="479"/>
      <c r="DQ65" s="479"/>
      <c r="DR65" s="479"/>
      <c r="DS65" s="479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479"/>
      <c r="DE66" s="479"/>
      <c r="DF66" s="479"/>
      <c r="DG66" s="479"/>
      <c r="DH66" s="23"/>
      <c r="DI66" s="479"/>
      <c r="DJ66" s="479"/>
      <c r="DK66" s="479"/>
      <c r="DL66" s="479"/>
      <c r="DM66" s="479"/>
      <c r="DN66" s="479"/>
      <c r="DO66" s="479"/>
      <c r="DP66" s="479"/>
      <c r="DQ66" s="479"/>
      <c r="DR66" s="479"/>
      <c r="DS66" s="479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479"/>
      <c r="DE67" s="479"/>
      <c r="DF67" s="479"/>
      <c r="DG67" s="479"/>
      <c r="DH67" s="23"/>
      <c r="DI67" s="479"/>
      <c r="DJ67" s="479"/>
      <c r="DK67" s="479"/>
      <c r="DL67" s="479"/>
      <c r="DM67" s="479"/>
      <c r="DN67" s="479"/>
      <c r="DO67" s="479"/>
      <c r="DP67" s="479"/>
      <c r="DQ67" s="479"/>
      <c r="DR67" s="479"/>
      <c r="DS67" s="479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479"/>
      <c r="DE68" s="479"/>
      <c r="DF68" s="479"/>
      <c r="DG68" s="479"/>
      <c r="DH68" s="23"/>
      <c r="DI68" s="479"/>
      <c r="DJ68" s="479"/>
      <c r="DK68" s="479"/>
      <c r="DL68" s="479"/>
      <c r="DM68" s="479"/>
      <c r="DN68" s="479"/>
      <c r="DO68" s="479"/>
      <c r="DP68" s="479"/>
      <c r="DQ68" s="479"/>
      <c r="DR68" s="479"/>
      <c r="DS68" s="479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479"/>
      <c r="DE69" s="479"/>
      <c r="DF69" s="479"/>
      <c r="DG69" s="479"/>
      <c r="DH69" s="23"/>
      <c r="DI69" s="479"/>
      <c r="DJ69" s="479"/>
      <c r="DK69" s="479"/>
      <c r="DL69" s="479"/>
      <c r="DM69" s="479"/>
      <c r="DN69" s="479"/>
      <c r="DO69" s="479"/>
      <c r="DP69" s="479"/>
      <c r="DQ69" s="479"/>
      <c r="DR69" s="479"/>
      <c r="DS69" s="479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479"/>
      <c r="DE70" s="479"/>
      <c r="DF70" s="479"/>
      <c r="DG70" s="479"/>
      <c r="DH70" s="23"/>
      <c r="DI70" s="479"/>
      <c r="DJ70" s="479"/>
      <c r="DK70" s="479"/>
      <c r="DL70" s="479"/>
      <c r="DM70" s="479"/>
      <c r="DN70" s="479"/>
      <c r="DO70" s="479"/>
      <c r="DP70" s="479"/>
      <c r="DQ70" s="479"/>
      <c r="DR70" s="479"/>
      <c r="DS70" s="479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479"/>
      <c r="DE71" s="479"/>
      <c r="DF71" s="479"/>
      <c r="DG71" s="479"/>
      <c r="DH71" s="23"/>
      <c r="DI71" s="479"/>
      <c r="DJ71" s="479"/>
      <c r="DK71" s="479"/>
      <c r="DL71" s="479"/>
      <c r="DM71" s="479"/>
      <c r="DN71" s="479"/>
      <c r="DO71" s="479"/>
      <c r="DP71" s="479"/>
      <c r="DQ71" s="479"/>
      <c r="DR71" s="479"/>
      <c r="DS71" s="479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79"/>
      <c r="DE72" s="479"/>
      <c r="DF72" s="479"/>
      <c r="DG72" s="479"/>
      <c r="DH72" s="23"/>
      <c r="DI72" s="479"/>
      <c r="DJ72" s="479"/>
      <c r="DK72" s="479"/>
      <c r="DL72" s="479"/>
      <c r="DM72" s="479"/>
      <c r="DN72" s="479"/>
      <c r="DO72" s="479"/>
      <c r="DP72" s="479"/>
      <c r="DQ72" s="479"/>
      <c r="DR72" s="479"/>
      <c r="DS72" s="479"/>
    </row>
    <row r="73" spans="3:123" x14ac:dyDescent="0.2">
      <c r="CJ73" s="479"/>
      <c r="CK73" s="479"/>
      <c r="CL73" s="479"/>
      <c r="CM73" s="479"/>
      <c r="CN73" s="479"/>
      <c r="CO73" s="479"/>
      <c r="CP73" s="479"/>
      <c r="CQ73" s="479"/>
      <c r="CR73" s="479"/>
      <c r="CS73" s="22"/>
      <c r="CT73" s="479"/>
      <c r="CU73" s="479"/>
      <c r="CV73" s="479"/>
      <c r="CW73" s="479"/>
      <c r="CX73" s="479"/>
      <c r="CY73" s="479"/>
      <c r="CZ73" s="479"/>
      <c r="DA73" s="479"/>
      <c r="DB73" s="479"/>
      <c r="DC73" s="479"/>
      <c r="DD73" s="479"/>
      <c r="DE73" s="479"/>
      <c r="DF73" s="479"/>
      <c r="DG73" s="479"/>
      <c r="DH73" s="479"/>
      <c r="DI73" s="479"/>
      <c r="DJ73" s="479"/>
      <c r="DK73" s="479"/>
      <c r="DL73" s="479"/>
      <c r="DM73" s="479"/>
      <c r="DN73" s="479"/>
      <c r="DO73" s="479"/>
      <c r="DP73" s="479"/>
      <c r="DQ73" s="479"/>
      <c r="DR73" s="479"/>
      <c r="DS73" s="479"/>
    </row>
  </sheetData>
  <dataConsolidate/>
  <mergeCells count="26">
    <mergeCell ref="C2:D2"/>
    <mergeCell ref="E2:AE2"/>
    <mergeCell ref="AG2:BG2"/>
    <mergeCell ref="BI2:CI2"/>
    <mergeCell ref="CJ2:CN2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Y29:CZ29"/>
    <mergeCell ref="BE3:BG3"/>
    <mergeCell ref="BI3:BN3"/>
    <mergeCell ref="BO3:BT3"/>
    <mergeCell ref="BU3:BZ3"/>
    <mergeCell ref="CA3:CF3"/>
    <mergeCell ref="CG3:CI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50BBC-4CF0-5640-B4B6-82E247E3EB5C}">
  <sheetPr codeName="Sheet71"/>
  <dimension ref="A1:GO73"/>
  <sheetViews>
    <sheetView showRuler="0" zoomScale="136" zoomScaleNormal="136" workbookViewId="0">
      <pane xSplit="3" topLeftCell="D1" activePane="topRight" state="frozen"/>
      <selection pane="topRight" activeCell="CS19" sqref="CS19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2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hidden="1" customWidth="1" outlineLevel="1"/>
    <col min="33" max="33" width="3.33203125" hidden="1" customWidth="1" outlineLevel="1"/>
    <col min="34" max="34" width="1.33203125" hidden="1" customWidth="1" outlineLevel="1"/>
    <col min="35" max="35" width="3.33203125" hidden="1" customWidth="1" outlineLevel="1"/>
    <col min="36" max="36" width="1.6640625" hidden="1" customWidth="1" outlineLevel="1"/>
    <col min="37" max="37" width="2.1640625" hidden="1" customWidth="1" outlineLevel="1"/>
    <col min="38" max="38" width="3" hidden="1" customWidth="1" outlineLevel="1"/>
    <col min="39" max="39" width="3.33203125" hidden="1" customWidth="1" outlineLevel="1"/>
    <col min="40" max="40" width="1.33203125" hidden="1" customWidth="1" outlineLevel="1"/>
    <col min="41" max="41" width="2.6640625" hidden="1" customWidth="1" outlineLevel="1"/>
    <col min="42" max="42" width="1.6640625" hidden="1" customWidth="1" outlineLevel="1"/>
    <col min="43" max="43" width="2" hidden="1" customWidth="1" outlineLevel="1"/>
    <col min="44" max="45" width="3.33203125" hidden="1" customWidth="1" outlineLevel="1"/>
    <col min="46" max="46" width="1.33203125" hidden="1" customWidth="1" outlineLevel="1"/>
    <col min="47" max="47" width="2.6640625" hidden="1" customWidth="1" outlineLevel="1"/>
    <col min="48" max="48" width="1.6640625" hidden="1" customWidth="1" outlineLevel="1"/>
    <col min="49" max="49" width="2.33203125" hidden="1" customWidth="1" outlineLevel="1"/>
    <col min="50" max="50" width="3.83203125" hidden="1" customWidth="1" outlineLevel="1"/>
    <col min="51" max="51" width="3.33203125" hidden="1" customWidth="1" outlineLevel="1"/>
    <col min="52" max="52" width="1.33203125" hidden="1" customWidth="1" outlineLevel="1"/>
    <col min="53" max="53" width="3.33203125" hidden="1" customWidth="1" outlineLevel="1"/>
    <col min="54" max="54" width="1.6640625" hidden="1" customWidth="1" outlineLevel="1"/>
    <col min="55" max="55" width="2.1640625" hidden="1" customWidth="1" outlineLevel="1"/>
    <col min="56" max="56" width="3.83203125" hidden="1" customWidth="1" outlineLevel="1"/>
    <col min="57" max="57" width="3.33203125" hidden="1" customWidth="1" outlineLevel="1"/>
    <col min="58" max="58" width="1.33203125" hidden="1" customWidth="1" outlineLevel="1"/>
    <col min="59" max="59" width="3.6640625" hidden="1" customWidth="1" outlineLevel="1"/>
    <col min="60" max="60" width="2.5" hidden="1" customWidth="1" outlineLevel="1"/>
    <col min="61" max="61" width="3.33203125" hidden="1" customWidth="1" outlineLevel="1"/>
    <col min="62" max="62" width="1.33203125" hidden="1" customWidth="1" outlineLevel="1"/>
    <col min="63" max="63" width="2.83203125" hidden="1" customWidth="1" outlineLevel="1"/>
    <col min="64" max="64" width="1.6640625" hidden="1" customWidth="1" outlineLevel="1"/>
    <col min="65" max="65" width="2.1640625" hidden="1" customWidth="1" outlineLevel="1"/>
    <col min="66" max="66" width="2.33203125" hidden="1" customWidth="1" outlineLevel="1"/>
    <col min="67" max="67" width="3.33203125" hidden="1" customWidth="1" outlineLevel="1"/>
    <col min="68" max="68" width="1.33203125" hidden="1" customWidth="1" outlineLevel="1"/>
    <col min="69" max="69" width="2.6640625" hidden="1" customWidth="1" outlineLevel="1"/>
    <col min="70" max="70" width="1.6640625" hidden="1" customWidth="1" outlineLevel="1"/>
    <col min="71" max="71" width="2.1640625" hidden="1" customWidth="1" outlineLevel="1"/>
    <col min="72" max="72" width="2.83203125" hidden="1" customWidth="1" outlineLevel="1"/>
    <col min="73" max="73" width="3.33203125" hidden="1" customWidth="1" outlineLevel="1"/>
    <col min="74" max="74" width="1.33203125" hidden="1" customWidth="1" outlineLevel="1"/>
    <col min="75" max="75" width="2.6640625" hidden="1" customWidth="1" outlineLevel="1"/>
    <col min="76" max="76" width="1.6640625" hidden="1" customWidth="1" outlineLevel="1"/>
    <col min="77" max="77" width="2" hidden="1" customWidth="1" outlineLevel="1"/>
    <col min="78" max="78" width="3.83203125" hidden="1" customWidth="1" outlineLevel="1"/>
    <col min="79" max="79" width="3.33203125" hidden="1" customWidth="1" outlineLevel="1"/>
    <col min="80" max="80" width="1.33203125" hidden="1" customWidth="1" outlineLevel="1"/>
    <col min="81" max="81" width="2.6640625" hidden="1" customWidth="1" outlineLevel="1"/>
    <col min="82" max="82" width="1.6640625" hidden="1" customWidth="1" outlineLevel="1"/>
    <col min="83" max="83" width="2.5" hidden="1" customWidth="1" outlineLevel="1"/>
    <col min="84" max="84" width="3.83203125" hidden="1" customWidth="1" outlineLevel="1"/>
    <col min="85" max="85" width="3.33203125" hidden="1" customWidth="1" outlineLevel="1"/>
    <col min="86" max="86" width="1.33203125" hidden="1" customWidth="1" outlineLevel="1"/>
    <col min="87" max="87" width="3.6640625" hidden="1" customWidth="1" outlineLevel="1"/>
    <col min="88" max="88" width="4.6640625" customWidth="1" collapsed="1"/>
    <col min="89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84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85"/>
      <c r="CX2" s="139"/>
      <c r="CY2" s="139"/>
      <c r="CZ2" s="139"/>
      <c r="DA2" s="139"/>
      <c r="DB2" s="485" t="s">
        <v>68</v>
      </c>
      <c r="DC2" s="485"/>
      <c r="DD2" s="346"/>
      <c r="DE2" s="346"/>
      <c r="DH2" s="346"/>
      <c r="DI2" s="346"/>
      <c r="DT2" s="489"/>
      <c r="DU2" s="489"/>
      <c r="DV2" s="489"/>
      <c r="DW2" s="489"/>
      <c r="DX2" s="489"/>
      <c r="DY2" s="489"/>
      <c r="DZ2" s="489"/>
      <c r="EA2" s="489"/>
      <c r="EB2" s="489"/>
      <c r="EC2" s="489"/>
      <c r="ED2" s="489"/>
      <c r="EE2" s="489"/>
      <c r="EF2" s="489"/>
      <c r="EG2" s="489"/>
      <c r="EH2" s="489"/>
      <c r="EI2" s="489"/>
      <c r="EJ2" s="489"/>
      <c r="EK2" s="489"/>
      <c r="EV2" s="489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85"/>
      <c r="GO2" s="489"/>
    </row>
    <row r="3" spans="1:197" ht="20" thickBot="1" x14ac:dyDescent="0.3">
      <c r="A3" s="139"/>
      <c r="B3" s="139"/>
      <c r="C3" s="112" t="s">
        <v>0</v>
      </c>
      <c r="D3" s="486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86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86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86" t="s">
        <v>57</v>
      </c>
      <c r="CK3" s="486" t="s">
        <v>58</v>
      </c>
      <c r="CL3" s="486" t="s">
        <v>247</v>
      </c>
      <c r="CM3" s="486" t="s">
        <v>248</v>
      </c>
      <c r="CN3" s="486" t="s">
        <v>59</v>
      </c>
      <c r="CO3" s="174" t="s">
        <v>61</v>
      </c>
      <c r="CP3" s="486" t="s">
        <v>221</v>
      </c>
      <c r="CQ3" s="174" t="s">
        <v>62</v>
      </c>
      <c r="CR3" s="486" t="s">
        <v>63</v>
      </c>
      <c r="CS3" s="486" t="s">
        <v>64</v>
      </c>
      <c r="CT3" s="486" t="s">
        <v>1</v>
      </c>
      <c r="CU3" s="486" t="s">
        <v>65</v>
      </c>
      <c r="CV3" s="486" t="s">
        <v>66</v>
      </c>
      <c r="CW3" s="486" t="s">
        <v>180</v>
      </c>
      <c r="CX3" s="486" t="s">
        <v>105</v>
      </c>
      <c r="CY3" s="486" t="s">
        <v>28</v>
      </c>
      <c r="CZ3" s="486" t="s">
        <v>100</v>
      </c>
      <c r="DA3" s="486" t="s">
        <v>36</v>
      </c>
      <c r="DB3" s="486" t="s">
        <v>67</v>
      </c>
      <c r="DC3" s="486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86" t="s">
        <v>38</v>
      </c>
      <c r="FG3" s="548" t="s">
        <v>39</v>
      </c>
      <c r="FH3" s="549"/>
      <c r="FI3" s="549"/>
      <c r="FJ3" s="488" t="s">
        <v>102</v>
      </c>
      <c r="FK3" s="550" t="s">
        <v>103</v>
      </c>
      <c r="FL3" s="550"/>
      <c r="FM3" s="550"/>
      <c r="FN3" s="488" t="s">
        <v>102</v>
      </c>
      <c r="FO3" s="549" t="s">
        <v>41</v>
      </c>
      <c r="FP3" s="549"/>
      <c r="FQ3" s="549"/>
      <c r="FR3" s="189" t="s">
        <v>102</v>
      </c>
      <c r="FS3" s="486" t="s">
        <v>57</v>
      </c>
      <c r="FT3" s="486" t="s">
        <v>58</v>
      </c>
      <c r="FU3" s="486" t="s">
        <v>59</v>
      </c>
      <c r="FV3" s="174" t="s">
        <v>61</v>
      </c>
      <c r="FW3" s="486" t="s">
        <v>98</v>
      </c>
      <c r="FX3" s="486" t="s">
        <v>62</v>
      </c>
      <c r="FY3" s="486" t="s">
        <v>63</v>
      </c>
      <c r="FZ3" s="486" t="s">
        <v>64</v>
      </c>
      <c r="GA3" s="486" t="s">
        <v>1</v>
      </c>
      <c r="GB3" s="486" t="s">
        <v>65</v>
      </c>
      <c r="GC3" s="174" t="s">
        <v>66</v>
      </c>
      <c r="GD3" s="199" t="s">
        <v>105</v>
      </c>
      <c r="GE3" s="486" t="s">
        <v>28</v>
      </c>
      <c r="GF3" s="486" t="s">
        <v>100</v>
      </c>
      <c r="GG3" s="173" t="s">
        <v>36</v>
      </c>
      <c r="GH3" s="486"/>
      <c r="GJ3" s="487" t="s">
        <v>106</v>
      </c>
      <c r="GK3" s="488" t="s">
        <v>107</v>
      </c>
      <c r="GL3" s="16" t="s">
        <v>108</v>
      </c>
      <c r="GM3" s="16" t="s">
        <v>109</v>
      </c>
      <c r="GN3" s="488" t="s">
        <v>110</v>
      </c>
      <c r="GO3" s="214" t="s">
        <v>111</v>
      </c>
    </row>
    <row r="4" spans="1:197" x14ac:dyDescent="0.2">
      <c r="A4" s="139"/>
      <c r="B4" s="483" t="s">
        <v>82</v>
      </c>
      <c r="C4" s="492" t="s">
        <v>205</v>
      </c>
      <c r="D4" s="483">
        <v>2.4700000000000002</v>
      </c>
      <c r="E4" s="114">
        <f t="shared" ref="E4:E18" si="0">IFERROR(AG4+BI4,"0")</f>
        <v>0</v>
      </c>
      <c r="F4" s="484" t="s">
        <v>52</v>
      </c>
      <c r="G4" s="115">
        <f t="shared" ref="G4:G18" si="1">IFERROR(AI4+BK4,"0")</f>
        <v>1</v>
      </c>
      <c r="H4" s="116" t="s">
        <v>53</v>
      </c>
      <c r="I4" s="484">
        <f>IFERROR(AK4+BM4,"0")</f>
        <v>0</v>
      </c>
      <c r="J4" s="115" t="s">
        <v>54</v>
      </c>
      <c r="K4" s="116">
        <f t="shared" ref="K4:K18" si="2">IFERROR(AM4+BO4,"0")</f>
        <v>0</v>
      </c>
      <c r="L4" s="484" t="s">
        <v>52</v>
      </c>
      <c r="M4" s="115">
        <f t="shared" ref="M4:M18" si="3">IFERROR(AO4+BQ4,"0")</f>
        <v>0</v>
      </c>
      <c r="N4" s="116" t="s">
        <v>53</v>
      </c>
      <c r="O4" s="484">
        <f t="shared" ref="O4:O18" si="4">IFERROR(AQ4+BS4,"0")</f>
        <v>0</v>
      </c>
      <c r="P4" s="115" t="s">
        <v>54</v>
      </c>
      <c r="Q4" s="116">
        <f t="shared" ref="Q4:Q18" si="5">IFERROR(AS4+BU4,"0")</f>
        <v>0</v>
      </c>
      <c r="R4" s="484" t="s">
        <v>52</v>
      </c>
      <c r="S4" s="115">
        <f>IFERROR(AU4+BW4,"0")</f>
        <v>0</v>
      </c>
      <c r="T4" s="116" t="s">
        <v>53</v>
      </c>
      <c r="U4" s="484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484" t="s">
        <v>52</v>
      </c>
      <c r="Y4" s="115">
        <f t="shared" ref="Y4:Y18" si="8">IFERROR(BA4+CC4,"0")</f>
        <v>1</v>
      </c>
      <c r="Z4" s="116" t="s">
        <v>53</v>
      </c>
      <c r="AA4" s="484">
        <f t="shared" ref="AA4:AA18" si="9">IFERROR(BC4+CE4,"0")</f>
        <v>0</v>
      </c>
      <c r="AB4" s="115" t="s">
        <v>54</v>
      </c>
      <c r="AC4" s="116">
        <f>IFERROR((AE4*EZ4),"0")</f>
        <v>0</v>
      </c>
      <c r="AD4" s="484" t="s">
        <v>52</v>
      </c>
      <c r="AE4" s="117">
        <f>IFERROR((CR4*1),"0")</f>
        <v>0</v>
      </c>
      <c r="AF4" s="485"/>
      <c r="AG4" s="114">
        <f>IFERROR(AM4+AS4+AY4,"0")</f>
        <v>0</v>
      </c>
      <c r="AH4" s="484" t="s">
        <v>52</v>
      </c>
      <c r="AI4" s="115">
        <f t="shared" ref="AI4:AI18" si="10">IFERROR(AO4+AU4+BA4,"0")</f>
        <v>0</v>
      </c>
      <c r="AJ4" s="116" t="s">
        <v>53</v>
      </c>
      <c r="AK4" s="484">
        <f t="shared" ref="AK4:AK18" si="11">IFERROR(AQ4+AW4+BC4,"0")</f>
        <v>0</v>
      </c>
      <c r="AL4" s="115" t="s">
        <v>54</v>
      </c>
      <c r="AM4" s="246">
        <v>0</v>
      </c>
      <c r="AN4" s="244" t="s">
        <v>52</v>
      </c>
      <c r="AO4" s="245">
        <v>0</v>
      </c>
      <c r="AP4" s="246" t="s">
        <v>53</v>
      </c>
      <c r="AQ4" s="244">
        <v>0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0</v>
      </c>
      <c r="BB4" s="246" t="s">
        <v>53</v>
      </c>
      <c r="BC4" s="244">
        <v>0</v>
      </c>
      <c r="BD4" s="245" t="s">
        <v>54</v>
      </c>
      <c r="BE4" s="116">
        <v>0</v>
      </c>
      <c r="BF4" s="484" t="s">
        <v>52</v>
      </c>
      <c r="BG4" s="117">
        <v>0</v>
      </c>
      <c r="BH4" s="115"/>
      <c r="BI4" s="114">
        <f t="shared" ref="BI4:BI18" si="12">IFERROR(BO4+BU4+CA4,"0")</f>
        <v>0</v>
      </c>
      <c r="BJ4" s="484" t="s">
        <v>52</v>
      </c>
      <c r="BK4" s="115">
        <f>IFERROR(BQ4+BW4+CC4,"0")</f>
        <v>1</v>
      </c>
      <c r="BL4" s="116" t="s">
        <v>53</v>
      </c>
      <c r="BM4" s="484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1</v>
      </c>
      <c r="CD4" s="246" t="s">
        <v>53</v>
      </c>
      <c r="CE4" s="244">
        <v>0</v>
      </c>
      <c r="CF4" s="245" t="s">
        <v>54</v>
      </c>
      <c r="CG4" s="116">
        <v>0</v>
      </c>
      <c r="CH4" s="484" t="s">
        <v>52</v>
      </c>
      <c r="CI4" s="117">
        <v>0</v>
      </c>
      <c r="CJ4" s="140">
        <v>0</v>
      </c>
      <c r="CK4" s="148">
        <f>CL4+CM4</f>
        <v>0</v>
      </c>
      <c r="CL4" s="148">
        <v>0</v>
      </c>
      <c r="CM4" s="148">
        <v>0</v>
      </c>
      <c r="CN4" s="148">
        <f>IFERROR(CJ4+CK4,"0")</f>
        <v>0</v>
      </c>
      <c r="CO4" s="175">
        <v>0</v>
      </c>
      <c r="CP4" s="140">
        <v>0</v>
      </c>
      <c r="CQ4" s="175">
        <v>0</v>
      </c>
      <c r="CR4" s="148">
        <v>0</v>
      </c>
      <c r="CS4" s="148">
        <v>0</v>
      </c>
      <c r="CT4" s="140">
        <v>0</v>
      </c>
      <c r="CU4" s="140">
        <v>0</v>
      </c>
      <c r="CV4" s="148">
        <f>IFERROR((W4*3)+((E4-W4)*2)+EX4,"0")</f>
        <v>0</v>
      </c>
      <c r="CW4" s="140"/>
      <c r="CX4" s="140">
        <f>IFERROR(100*(EH4/EG4),"0")</f>
        <v>0</v>
      </c>
      <c r="CY4" s="140">
        <f t="shared" ref="CY4:CY18" si="14">IFERROR(DU4/EG4,"0")</f>
        <v>0</v>
      </c>
      <c r="CZ4" s="165">
        <f t="shared" ref="CZ4:CZ18" si="15">IFERROR((EG4/(EG25*DD4)),"0")</f>
        <v>0.16666666666666663</v>
      </c>
      <c r="DA4" s="164">
        <f t="shared" ref="DA4:DA18" si="16">IFERROR(ES4+0.2*(100*ET4*(1-ER4)-ES4),"0")</f>
        <v>106.66666666666666</v>
      </c>
      <c r="DB4" s="141"/>
      <c r="DC4" s="141"/>
      <c r="DD4" s="77">
        <f>IFERROR(D4/($D$21/10),"0")</f>
        <v>1.0000000000000002</v>
      </c>
      <c r="DE4" s="37">
        <f>IFERROR(E4/G4,"0")</f>
        <v>0</v>
      </c>
      <c r="DF4" s="37">
        <f>IFERROR(W4/Y4,"0")</f>
        <v>0</v>
      </c>
      <c r="DG4" s="37">
        <f>IFERROR(((E4-W4)+1.5*W4)/G4,"0")</f>
        <v>0</v>
      </c>
      <c r="DH4" s="37">
        <f t="shared" ref="DH4:DH18" si="17">IFERROR(CJ4/(DD4*(CJ25+CK40)),"0")</f>
        <v>0</v>
      </c>
      <c r="DI4" s="37">
        <f t="shared" ref="DI4:DI18" si="18">IFERROR(CK4/(DD4*(CK25+CJ40)),"0")</f>
        <v>0</v>
      </c>
      <c r="DJ4" s="37">
        <f t="shared" ref="DJ4:DJ18" si="19">IFERROR(CU4/(DD4*(M40)),"0")</f>
        <v>0</v>
      </c>
      <c r="DK4" s="37">
        <f t="shared" ref="DK4:DK18" si="20">IFERROR(CS4/(DD4*EG25),"0")</f>
        <v>0</v>
      </c>
      <c r="DL4" s="37">
        <f t="shared" ref="DL4:DL18" si="21">IFERROR(CO4/(DD4*(E25-E4)),"0")</f>
        <v>0</v>
      </c>
      <c r="DM4" s="37">
        <f t="shared" ref="DM4:DM18" si="22">IFERROR((CO4+CP4)/(DD4*EG25),"0")</f>
        <v>0</v>
      </c>
      <c r="DN4" s="37">
        <f>IFERROR(CT4/EG4,"0")</f>
        <v>0</v>
      </c>
      <c r="DO4" s="37" t="str">
        <f>IFERROR(CO4/CT4,"0")</f>
        <v>0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-15.866396761133602</v>
      </c>
      <c r="DU4" s="18" t="str">
        <f t="shared" ref="DU4:DU20" si="23">IFERROR((DV4+DX4+DY4)*(1-(CJ25/EZ25)*EA4*EC4)+ED4,"0")</f>
        <v>0</v>
      </c>
      <c r="DV4" s="13">
        <f>IFERROR(E4*(1-0.5*((CV4-EX4)/(2*G4))*DW4),"0")</f>
        <v>0</v>
      </c>
      <c r="DW4" s="14">
        <f t="shared" ref="DW4:DW20" si="24">IFERROR(((D4/(D25/5))*(1.14*((CO25-CO4)/E25)))+((((CO25/D25)*D4*5-CO4)/((E25/D25)*D4*5-E4))*(1-(D4/(D25/5)))),"0")</f>
        <v>0.56999999999999995</v>
      </c>
      <c r="DX4" s="14">
        <f t="shared" ref="DX4:DX20" si="25">IFERROR(0.5*(((CV25-EX25)-(CV4-EX4))/(2*(G25-G4)))*CO4,"0")</f>
        <v>0</v>
      </c>
      <c r="DY4" s="14" t="str">
        <f>IFERROR((1-(1-(EX4/EY4))^2)*0.4*EY4,"0")</f>
        <v>0</v>
      </c>
      <c r="DZ4" s="15" t="str">
        <f t="shared" ref="DZ4:DZ20" si="26">IFERROR(E25+(1-(1-(EX25/EY25))^2)*EY25*0.4,"0")</f>
        <v>0</v>
      </c>
      <c r="EA4" s="14" t="str">
        <f>IFERROR(((1-EB4)*EC4)/((1-EB4)*EC4+EB4*(1-EC4)),"0")</f>
        <v>0</v>
      </c>
      <c r="EB4" s="14">
        <f t="shared" ref="EB4:EB20" si="27">IFERROR(CJ25/(CJ25+(CN40-CJ40)),"0")</f>
        <v>0</v>
      </c>
      <c r="EC4" s="14">
        <f t="shared" ref="EC4:EC20" si="28">IFERROR(DZ4/((G25+(EY25*0.4))+CT25),"0")</f>
        <v>0</v>
      </c>
      <c r="ED4" s="14">
        <f>IFERROR(CJ4*EA4*EC4,"0")</f>
        <v>0</v>
      </c>
      <c r="EE4" s="19">
        <f>IFERROR((G4-E4)*(1-1.07*EB4),"0")</f>
        <v>1</v>
      </c>
      <c r="EF4" s="67" t="str">
        <f>IFERROR(((1-(EX4/EY4))^2)*0.4*EY4,"0")</f>
        <v>0</v>
      </c>
      <c r="EG4" s="74">
        <f>IFERROR(DU4+EE4+EF4+CT4,"0")</f>
        <v>1</v>
      </c>
      <c r="EH4" s="27" t="str">
        <f>IFERROR((EI4+EJ4+EX4)*(1-(CJ25/DZ4)*EA4*EC4)+EK4,"0")</f>
        <v>0</v>
      </c>
      <c r="EI4" s="25">
        <f>IFERROR(2*((E4)+(0.5*W4))*(1-0.5*((CV4-EX4)/(2*(G4)))*DW4),"0")</f>
        <v>0</v>
      </c>
      <c r="EJ4" s="25">
        <f>IFERROR(2*((E25-E4+0.5*(W25-W4))/(E25-E4))*0.5*(((CV25-EX25)-(CV4-EX4))/(2*(G25-G4)))*CO4,"0")</f>
        <v>0</v>
      </c>
      <c r="EK4" s="26" t="str">
        <f t="shared" ref="EK4:EK20" si="29">IFERROR(CJ4*EA4*EC4*(CV25/(E25+(1-(1-(EX25/EY25))^2)*0.4*EY25)),"0")</f>
        <v>0</v>
      </c>
      <c r="EL4" s="29">
        <f>IFERROR((EN4*(1-EM4))/(EN4*(1-EM4)+(1-EN4)*EM4),"0")</f>
        <v>1</v>
      </c>
      <c r="EM4" s="30">
        <f t="shared" ref="EM4:EM20" si="30">IFERROR(CJ40/(CJ40+CK25),"0")</f>
        <v>0</v>
      </c>
      <c r="EN4" s="30">
        <f t="shared" ref="EN4:EN20" si="31">IFERROR(E40/G40,"0")</f>
        <v>0.42857142857142855</v>
      </c>
      <c r="EO4" s="31">
        <f>IFERROR(CS4+CU4*EL4*(1-1.07*EM4)+CK4*(1-EL4),"0")</f>
        <v>0</v>
      </c>
      <c r="EP4" s="31" t="str">
        <f t="shared" ref="EP4:EP20" si="32">IFERROR((((G40-E40-CU25)/D25)*EL4*(1-1.07*EM4)+((CT40-CS25)/D25))*D4+(CQ4/CQ25)*0.4*EY40*(1-(EX40/EY40))^2,"0")</f>
        <v>0</v>
      </c>
      <c r="EQ4" s="31">
        <f>IFERROR(EO4+EP4,"0")</f>
        <v>0</v>
      </c>
      <c r="ER4" s="93">
        <f t="shared" ref="ER4:ER20" si="33">IFERROR((EQ4*D40)/(EG25*D4),"0")</f>
        <v>0</v>
      </c>
      <c r="ES4" s="109">
        <f t="shared" ref="ES4:ES20" si="34">IFERROR(100*(CV40/EG25),"0")</f>
        <v>133.33333333333331</v>
      </c>
      <c r="ET4" s="32" t="str">
        <f t="shared" ref="ET4:ET20" si="35">IFERROR(CV40/(E40+(1-(1-(EX40/EY40))^2)*EY40*0.4),"0")</f>
        <v>0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6">D4</f>
        <v>2.4700000000000002</v>
      </c>
      <c r="FG4" s="182">
        <f t="shared" si="36"/>
        <v>0</v>
      </c>
      <c r="FH4" s="183" t="s">
        <v>52</v>
      </c>
      <c r="FI4" s="184">
        <f>G4</f>
        <v>1</v>
      </c>
      <c r="FJ4" s="193">
        <f>IFERROR(FG4/FI4,"0")</f>
        <v>0</v>
      </c>
      <c r="FK4" s="185">
        <f t="shared" ref="FK4:FK18" si="37">W4</f>
        <v>0</v>
      </c>
      <c r="FL4" s="183" t="s">
        <v>52</v>
      </c>
      <c r="FM4" s="186">
        <f t="shared" ref="FM4:FM18" si="38">Y4</f>
        <v>1</v>
      </c>
      <c r="FN4" s="193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9">CJ4</f>
        <v>0</v>
      </c>
      <c r="FT4" s="179">
        <f t="shared" si="39"/>
        <v>0</v>
      </c>
      <c r="FU4" s="179">
        <f t="shared" ref="FU4:GC19" si="40">CN4</f>
        <v>0</v>
      </c>
      <c r="FV4" s="187">
        <f t="shared" si="40"/>
        <v>0</v>
      </c>
      <c r="FW4" s="179">
        <f t="shared" si="40"/>
        <v>0</v>
      </c>
      <c r="FX4" s="179">
        <f t="shared" si="40"/>
        <v>0</v>
      </c>
      <c r="FY4" s="179">
        <f t="shared" si="40"/>
        <v>0</v>
      </c>
      <c r="FZ4" s="179">
        <f t="shared" si="40"/>
        <v>0</v>
      </c>
      <c r="GA4" s="179">
        <f t="shared" si="40"/>
        <v>0</v>
      </c>
      <c r="GB4" s="179">
        <f t="shared" si="40"/>
        <v>0</v>
      </c>
      <c r="GC4" s="187">
        <f t="shared" si="40"/>
        <v>0</v>
      </c>
      <c r="GD4" s="203">
        <f>CX4</f>
        <v>0</v>
      </c>
      <c r="GE4" s="179">
        <f>CY4</f>
        <v>0</v>
      </c>
      <c r="GF4" s="179">
        <f>CZ4</f>
        <v>0.16666666666666663</v>
      </c>
      <c r="GG4" s="258">
        <f>DA4</f>
        <v>106.66666666666666</v>
      </c>
      <c r="GH4" s="179"/>
      <c r="GJ4" s="82"/>
      <c r="GK4" s="24"/>
      <c r="GL4" s="185" t="e">
        <f>(CQ4/CQ25)*(EY26-EX26)</f>
        <v>#DIV/0!</v>
      </c>
      <c r="GM4" s="185">
        <f>((E26/G26)*(1-(CJ26/(CJ26+CK25))))/((E26/G26)*(1-(CJ26/(CJ26+CK25)))+((1-(E26/G26)))*(CJ26/(CJ26+CK25)))</f>
        <v>1</v>
      </c>
      <c r="GN4" s="24" t="e">
        <f>GK4+(GL4/10)+(GJ4*GM4*(1-(CJ26/(CJ26+CK25))))+(CK4*(1-GM4))</f>
        <v>#DIV/0!</v>
      </c>
      <c r="GO4" s="213" t="e">
        <f>GN4/(DD4*EG26)</f>
        <v>#DIV/0!</v>
      </c>
    </row>
    <row r="5" spans="1:197" x14ac:dyDescent="0.2">
      <c r="A5" s="139"/>
      <c r="B5" s="483" t="s">
        <v>82</v>
      </c>
      <c r="C5" s="492" t="s">
        <v>206</v>
      </c>
      <c r="D5" s="483">
        <v>0</v>
      </c>
      <c r="E5" s="114">
        <f t="shared" si="0"/>
        <v>0</v>
      </c>
      <c r="F5" s="484" t="s">
        <v>52</v>
      </c>
      <c r="G5" s="115">
        <f t="shared" si="1"/>
        <v>0</v>
      </c>
      <c r="H5" s="116" t="s">
        <v>53</v>
      </c>
      <c r="I5" s="484">
        <f t="shared" ref="I5:I18" si="41">IFERROR(AK5+BM5,"0")</f>
        <v>0</v>
      </c>
      <c r="J5" s="115" t="s">
        <v>54</v>
      </c>
      <c r="K5" s="116">
        <f t="shared" si="2"/>
        <v>0</v>
      </c>
      <c r="L5" s="484" t="s">
        <v>52</v>
      </c>
      <c r="M5" s="115">
        <f t="shared" si="3"/>
        <v>0</v>
      </c>
      <c r="N5" s="116" t="s">
        <v>53</v>
      </c>
      <c r="O5" s="484">
        <f t="shared" si="4"/>
        <v>0</v>
      </c>
      <c r="P5" s="115" t="s">
        <v>54</v>
      </c>
      <c r="Q5" s="116">
        <f t="shared" si="5"/>
        <v>0</v>
      </c>
      <c r="R5" s="484" t="s">
        <v>52</v>
      </c>
      <c r="S5" s="115">
        <f t="shared" ref="S5:S18" si="42">IFERROR(AU5+BW5,"0")</f>
        <v>0</v>
      </c>
      <c r="T5" s="116" t="s">
        <v>53</v>
      </c>
      <c r="U5" s="484">
        <f t="shared" si="6"/>
        <v>0</v>
      </c>
      <c r="V5" s="115" t="s">
        <v>54</v>
      </c>
      <c r="W5" s="116">
        <f t="shared" si="7"/>
        <v>0</v>
      </c>
      <c r="X5" s="484" t="s">
        <v>52</v>
      </c>
      <c r="Y5" s="115">
        <f t="shared" si="8"/>
        <v>0</v>
      </c>
      <c r="Z5" s="116" t="s">
        <v>53</v>
      </c>
      <c r="AA5" s="484">
        <f t="shared" si="9"/>
        <v>0</v>
      </c>
      <c r="AB5" s="115" t="s">
        <v>54</v>
      </c>
      <c r="AC5" s="116">
        <f t="shared" ref="AC5:AC18" si="43">IFERROR((AE5*EZ5),"0")</f>
        <v>0</v>
      </c>
      <c r="AD5" s="484" t="s">
        <v>52</v>
      </c>
      <c r="AE5" s="117">
        <f t="shared" ref="AE5:AE18" si="44">IFERROR((CR5*1),"0")</f>
        <v>0</v>
      </c>
      <c r="AF5" s="485"/>
      <c r="AG5" s="114">
        <f t="shared" ref="AG5:AG17" si="45">IFERROR(AM5+AS5+AY5,"0")</f>
        <v>0</v>
      </c>
      <c r="AH5" s="484" t="s">
        <v>52</v>
      </c>
      <c r="AI5" s="115">
        <f t="shared" si="10"/>
        <v>0</v>
      </c>
      <c r="AJ5" s="116" t="s">
        <v>53</v>
      </c>
      <c r="AK5" s="484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0</v>
      </c>
      <c r="BB5" s="246" t="s">
        <v>53</v>
      </c>
      <c r="BC5" s="244">
        <v>0</v>
      </c>
      <c r="BD5" s="245" t="s">
        <v>54</v>
      </c>
      <c r="BE5" s="116">
        <v>0</v>
      </c>
      <c r="BF5" s="484" t="s">
        <v>52</v>
      </c>
      <c r="BG5" s="117">
        <v>0</v>
      </c>
      <c r="BH5" s="115"/>
      <c r="BI5" s="114">
        <f t="shared" si="12"/>
        <v>0</v>
      </c>
      <c r="BJ5" s="484" t="s">
        <v>52</v>
      </c>
      <c r="BK5" s="115">
        <f t="shared" ref="BK5:BK18" si="46">IFERROR(BQ5+BW5+CC5,"0")</f>
        <v>0</v>
      </c>
      <c r="BL5" s="116" t="s">
        <v>53</v>
      </c>
      <c r="BM5" s="484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84" t="s">
        <v>52</v>
      </c>
      <c r="CI5" s="117">
        <v>0</v>
      </c>
      <c r="CJ5" s="148">
        <v>0</v>
      </c>
      <c r="CK5" s="148">
        <f t="shared" ref="CK5:CK18" si="47">CL5+CM5</f>
        <v>0</v>
      </c>
      <c r="CL5" s="148">
        <v>0</v>
      </c>
      <c r="CM5" s="148">
        <v>0</v>
      </c>
      <c r="CN5" s="148">
        <f t="shared" ref="CN5:CN20" si="48">IFERROR(CJ5+CK5,"0")</f>
        <v>0</v>
      </c>
      <c r="CO5" s="175">
        <v>0</v>
      </c>
      <c r="CP5" s="140">
        <v>0</v>
      </c>
      <c r="CQ5" s="175">
        <v>0</v>
      </c>
      <c r="CR5" s="148">
        <v>0</v>
      </c>
      <c r="CS5" s="148">
        <v>0</v>
      </c>
      <c r="CT5" s="140">
        <v>0</v>
      </c>
      <c r="CU5" s="140">
        <v>0</v>
      </c>
      <c r="CV5" s="148">
        <f t="shared" ref="CV5:CV18" si="49">IFERROR((W5*3)+((E5-W5)*2)+EX5,"0")</f>
        <v>0</v>
      </c>
      <c r="CW5" s="140"/>
      <c r="CX5" s="140" t="str">
        <f t="shared" ref="CX5:CX18" si="50">IFERROR(100*(EH5/EG5),"0")</f>
        <v>0</v>
      </c>
      <c r="CY5" s="140" t="str">
        <f t="shared" si="14"/>
        <v>0</v>
      </c>
      <c r="CZ5" s="165" t="str">
        <f t="shared" si="15"/>
        <v>0</v>
      </c>
      <c r="DA5" s="164">
        <f t="shared" si="16"/>
        <v>106.66666666666666</v>
      </c>
      <c r="DB5" s="141"/>
      <c r="DC5" s="141"/>
      <c r="DD5" s="77">
        <f t="shared" ref="DD5:DD18" si="51">IFERROR(D5/($D$21/10),"0")</f>
        <v>0</v>
      </c>
      <c r="DE5" s="37" t="str">
        <f t="shared" ref="DE5:DE18" si="52">IFERROR(E5/G5,"0")</f>
        <v>0</v>
      </c>
      <c r="DF5" s="37" t="str">
        <f t="shared" ref="DF5:DF18" si="53">IFERROR(W5/Y5,"0")</f>
        <v>0</v>
      </c>
      <c r="DG5" s="37" t="str">
        <f t="shared" ref="DG5:DG18" si="54">IFERROR(((E5-W5)+1.5*W5)/G5,"0")</f>
        <v>0</v>
      </c>
      <c r="DH5" s="37" t="str">
        <f t="shared" si="17"/>
        <v>0</v>
      </c>
      <c r="DI5" s="37" t="str">
        <f t="shared" si="18"/>
        <v>0</v>
      </c>
      <c r="DJ5" s="37" t="str">
        <f t="shared" si="19"/>
        <v>0</v>
      </c>
      <c r="DK5" s="37" t="str">
        <f t="shared" si="20"/>
        <v>0</v>
      </c>
      <c r="DL5" s="37" t="str">
        <f t="shared" si="21"/>
        <v>0</v>
      </c>
      <c r="DM5" s="37" t="str">
        <f t="shared" si="22"/>
        <v>0</v>
      </c>
      <c r="DN5" s="37" t="str">
        <f t="shared" ref="DN5:DN18" si="55">IFERROR(CT5/EG5,"0")</f>
        <v>0</v>
      </c>
      <c r="DO5" s="37" t="str">
        <f t="shared" ref="DO5:DO18" si="56">IFERROR(CO5/CT5,"0")</f>
        <v>0</v>
      </c>
      <c r="DP5" s="66" t="str">
        <f t="shared" ref="DP5:DP18" si="57">IFERROR((40/D5)*CQ5,"0")</f>
        <v>0</v>
      </c>
      <c r="DQ5" s="78" t="str">
        <f t="shared" ref="DQ5:DQ18" si="58">IFERROR((40/D5)*CR5,"0")</f>
        <v>0</v>
      </c>
      <c r="DR5" s="6"/>
      <c r="DS5" s="36"/>
      <c r="DT5" s="75" t="str">
        <f t="shared" ref="DT5:DT18" si="59">IFERROR(((E5*85.91)+(CS5*53.897)+(W5*51.757)+(EX5*46.845)+(CU5*39.19)+(CJ5*39.19)+(CO5*34.677)+(CK5*14.707)-(CQ5*17.174)-((EY5-EX5)*20.091)-((G5-E5)*39.19)-(CT5*53.897))*(1/D5),"0")</f>
        <v>0</v>
      </c>
      <c r="DU5" s="18" t="str">
        <f t="shared" si="23"/>
        <v>0</v>
      </c>
      <c r="DV5" s="13" t="str">
        <f t="shared" ref="DV5:DV20" si="60">IFERROR(E5*(1-0.5*((CV5-EX5)/(2*G5))*DW5),"0")</f>
        <v>0</v>
      </c>
      <c r="DW5" s="14" t="str">
        <f t="shared" si="24"/>
        <v>0</v>
      </c>
      <c r="DX5" s="14">
        <f t="shared" si="25"/>
        <v>0</v>
      </c>
      <c r="DY5" s="14" t="str">
        <f t="shared" ref="DY5:DY20" si="61">IFERROR((1-(1-(EX5/EY5))^2)*0.4*EY5,"0")</f>
        <v>0</v>
      </c>
      <c r="DZ5" s="15" t="str">
        <f t="shared" si="26"/>
        <v>0</v>
      </c>
      <c r="EA5" s="14" t="str">
        <f t="shared" ref="EA5:EA20" si="62">IFERROR(((1-EB5)*EC5)/((1-EB5)*EC5+EB5*(1-EC5)),"0")</f>
        <v>0</v>
      </c>
      <c r="EB5" s="14">
        <f t="shared" si="27"/>
        <v>0</v>
      </c>
      <c r="EC5" s="14">
        <f t="shared" si="28"/>
        <v>0</v>
      </c>
      <c r="ED5" s="14">
        <f t="shared" ref="ED5:ED20" si="63">IFERROR(CJ5*EA5*EC5,"0")</f>
        <v>0</v>
      </c>
      <c r="EE5" s="19">
        <f t="shared" ref="EE5:EE20" si="64">IFERROR((G5-E5)*(1-1.07*EB5),"0")</f>
        <v>0</v>
      </c>
      <c r="EF5" s="67" t="str">
        <f t="shared" ref="EF5:EF20" si="65">IFERROR(((1-(EX5/EY5))^2)*0.4*EY5,"0")</f>
        <v>0</v>
      </c>
      <c r="EG5" s="74">
        <f t="shared" ref="EG5:EG20" si="66">IFERROR(DU5+EE5+EF5+CT5,"0")</f>
        <v>0</v>
      </c>
      <c r="EH5" s="27" t="str">
        <f t="shared" ref="EH5:EH20" si="67">IFERROR((EI5+EJ5+EX5)*(1-(CJ26/DZ5)*EA5*EC5)+EK5,"0")</f>
        <v>0</v>
      </c>
      <c r="EI5" s="25" t="str">
        <f t="shared" ref="EI5:EI20" si="68">IFERROR(2*((E5)+(0.5*W5))*(1-0.5*((CV5-EX5)/(2*(G5)))*DW5),"0")</f>
        <v>0</v>
      </c>
      <c r="EJ5" s="25">
        <f t="shared" ref="EJ5:EJ20" si="69">IFERROR(2*((E26-E5+0.5*(W26-W5))/(E26-E5))*0.5*(((CV26-EX26)-(CV5-EX5))/(2*(G26-G5)))*CO5,"0")</f>
        <v>0</v>
      </c>
      <c r="EK5" s="26" t="str">
        <f t="shared" si="29"/>
        <v>0</v>
      </c>
      <c r="EL5" s="29">
        <f t="shared" ref="EL5:EL20" si="70">IFERROR((EN5*(1-EM5))/(EN5*(1-EM5)+(1-EN5)*EM5),"0")</f>
        <v>1</v>
      </c>
      <c r="EM5" s="30">
        <f t="shared" si="30"/>
        <v>0</v>
      </c>
      <c r="EN5" s="30">
        <f t="shared" si="31"/>
        <v>0.42857142857142855</v>
      </c>
      <c r="EO5" s="31">
        <f t="shared" ref="EO5:EO20" si="71">IFERROR(CS5+CU5*EL5*(1-1.07*EM5)+CK5*(1-EL5),"0")</f>
        <v>0</v>
      </c>
      <c r="EP5" s="31" t="str">
        <f t="shared" si="32"/>
        <v>0</v>
      </c>
      <c r="EQ5" s="31">
        <f t="shared" ref="EQ5:EQ20" si="72">IFERROR(EO5+EP5,"0")</f>
        <v>0</v>
      </c>
      <c r="ER5" s="93" t="str">
        <f t="shared" si="33"/>
        <v>0</v>
      </c>
      <c r="ES5" s="109">
        <f t="shared" si="34"/>
        <v>133.33333333333331</v>
      </c>
      <c r="ET5" s="32" t="str">
        <f t="shared" si="35"/>
        <v>0</v>
      </c>
      <c r="EV5" s="277"/>
      <c r="EW5" s="278"/>
      <c r="EX5" s="37">
        <f>AC5</f>
        <v>0</v>
      </c>
      <c r="EY5" s="72">
        <f t="shared" ref="EY5:EY16" si="73">AE5</f>
        <v>0</v>
      </c>
      <c r="EZ5" s="7">
        <v>0.75</v>
      </c>
      <c r="FB5" s="41"/>
      <c r="FC5" s="139"/>
      <c r="FD5" s="489" t="s">
        <v>82</v>
      </c>
      <c r="FE5" s="41" t="s">
        <v>234</v>
      </c>
      <c r="FF5" s="147">
        <f t="shared" si="36"/>
        <v>0</v>
      </c>
      <c r="FG5" s="144">
        <f t="shared" si="36"/>
        <v>0</v>
      </c>
      <c r="FH5" s="484" t="s">
        <v>52</v>
      </c>
      <c r="FI5" s="145">
        <f t="shared" ref="FI5:FI23" si="74">G5</f>
        <v>0</v>
      </c>
      <c r="FJ5" s="194" t="str">
        <f t="shared" ref="FJ5:FJ23" si="75">IFERROR(FG5/FI5,"0")</f>
        <v>0</v>
      </c>
      <c r="FK5" s="110">
        <f t="shared" si="37"/>
        <v>0</v>
      </c>
      <c r="FL5" s="484" t="s">
        <v>52</v>
      </c>
      <c r="FM5" s="168">
        <f t="shared" si="38"/>
        <v>0</v>
      </c>
      <c r="FN5" s="194" t="str">
        <f t="shared" ref="FN5:FN23" si="76">IFERROR(FK5/FM5,"0")</f>
        <v>0</v>
      </c>
      <c r="FO5" s="262">
        <f t="shared" ref="FO5:FO18" si="77">EV5</f>
        <v>0</v>
      </c>
      <c r="FP5" s="484" t="s">
        <v>52</v>
      </c>
      <c r="FQ5" s="274">
        <f t="shared" ref="FQ5:FQ17" si="78">EW5</f>
        <v>0</v>
      </c>
      <c r="FR5" s="197" t="str">
        <f t="shared" ref="FR5:FR23" si="79">IFERROR(FO5/FQ5,"0")</f>
        <v>0</v>
      </c>
      <c r="FS5" s="140">
        <f t="shared" si="39"/>
        <v>0</v>
      </c>
      <c r="FT5" s="140">
        <f t="shared" si="39"/>
        <v>0</v>
      </c>
      <c r="FU5" s="140">
        <f t="shared" si="40"/>
        <v>0</v>
      </c>
      <c r="FV5" s="175">
        <f t="shared" si="40"/>
        <v>0</v>
      </c>
      <c r="FW5" s="140">
        <f t="shared" si="40"/>
        <v>0</v>
      </c>
      <c r="FX5" s="140">
        <f t="shared" si="40"/>
        <v>0</v>
      </c>
      <c r="FY5" s="140">
        <f t="shared" si="40"/>
        <v>0</v>
      </c>
      <c r="FZ5" s="140">
        <f t="shared" si="40"/>
        <v>0</v>
      </c>
      <c r="GA5" s="140">
        <f t="shared" si="40"/>
        <v>0</v>
      </c>
      <c r="GB5" s="140">
        <f t="shared" si="40"/>
        <v>0</v>
      </c>
      <c r="GC5" s="175">
        <f t="shared" si="40"/>
        <v>0</v>
      </c>
      <c r="GD5" s="202" t="str">
        <f t="shared" ref="GD5:GG18" si="80">CX5</f>
        <v>0</v>
      </c>
      <c r="GE5" s="140" t="str">
        <f t="shared" si="80"/>
        <v>0</v>
      </c>
      <c r="GF5" s="140" t="str">
        <f t="shared" si="80"/>
        <v>0</v>
      </c>
      <c r="GG5" s="259">
        <f t="shared" si="80"/>
        <v>106.66666666666666</v>
      </c>
      <c r="GH5" s="140"/>
      <c r="GJ5" s="82"/>
      <c r="GK5" s="24"/>
      <c r="GL5" s="185" t="e">
        <f>(CQ5/CQ27)*(EY28-EX28)</f>
        <v>#DIV/0!</v>
      </c>
      <c r="GM5" s="185">
        <f>((E28/G28)*(1-(CJ28/(CJ28+CK27))))/((E28/G28)*(1-(CJ28/(CJ28+CK27)))+((1-(E28/G28)))*(CJ28/(CJ28+CK27)))</f>
        <v>1</v>
      </c>
      <c r="GN5" s="24" t="e">
        <f>GK5+(GL5/10)+(GJ5*GM5*(1-(CJ28/(CJ28+CK27))))+(CK5*(1-GM5))</f>
        <v>#DIV/0!</v>
      </c>
      <c r="GO5" s="213" t="e">
        <f>GN5/(DD5*EG28)</f>
        <v>#DIV/0!</v>
      </c>
    </row>
    <row r="6" spans="1:197" x14ac:dyDescent="0.2">
      <c r="A6" s="139"/>
      <c r="B6" s="493" t="s">
        <v>117</v>
      </c>
      <c r="C6" s="494" t="s">
        <v>207</v>
      </c>
      <c r="D6" s="483">
        <v>0</v>
      </c>
      <c r="E6" s="114">
        <f t="shared" si="0"/>
        <v>0</v>
      </c>
      <c r="F6" s="484" t="s">
        <v>52</v>
      </c>
      <c r="G6" s="115">
        <f t="shared" si="1"/>
        <v>0</v>
      </c>
      <c r="H6" s="116" t="s">
        <v>53</v>
      </c>
      <c r="I6" s="484">
        <f t="shared" si="41"/>
        <v>0</v>
      </c>
      <c r="J6" s="115" t="s">
        <v>54</v>
      </c>
      <c r="K6" s="116">
        <f t="shared" si="2"/>
        <v>0</v>
      </c>
      <c r="L6" s="484" t="s">
        <v>52</v>
      </c>
      <c r="M6" s="115">
        <f t="shared" si="3"/>
        <v>0</v>
      </c>
      <c r="N6" s="116" t="s">
        <v>53</v>
      </c>
      <c r="O6" s="484">
        <f t="shared" si="4"/>
        <v>0</v>
      </c>
      <c r="P6" s="115" t="s">
        <v>54</v>
      </c>
      <c r="Q6" s="116">
        <f t="shared" si="5"/>
        <v>0</v>
      </c>
      <c r="R6" s="484" t="s">
        <v>52</v>
      </c>
      <c r="S6" s="115">
        <f t="shared" si="42"/>
        <v>0</v>
      </c>
      <c r="T6" s="116" t="s">
        <v>53</v>
      </c>
      <c r="U6" s="484">
        <f t="shared" si="6"/>
        <v>0</v>
      </c>
      <c r="V6" s="115" t="s">
        <v>54</v>
      </c>
      <c r="W6" s="116">
        <f t="shared" si="7"/>
        <v>0</v>
      </c>
      <c r="X6" s="484" t="s">
        <v>52</v>
      </c>
      <c r="Y6" s="115">
        <f t="shared" si="8"/>
        <v>0</v>
      </c>
      <c r="Z6" s="116" t="s">
        <v>53</v>
      </c>
      <c r="AA6" s="484">
        <f t="shared" si="9"/>
        <v>0</v>
      </c>
      <c r="AB6" s="115" t="s">
        <v>54</v>
      </c>
      <c r="AC6" s="116">
        <f t="shared" si="43"/>
        <v>0</v>
      </c>
      <c r="AD6" s="484" t="s">
        <v>52</v>
      </c>
      <c r="AE6" s="117">
        <f t="shared" si="44"/>
        <v>0</v>
      </c>
      <c r="AF6" s="485"/>
      <c r="AG6" s="114">
        <f t="shared" si="45"/>
        <v>0</v>
      </c>
      <c r="AH6" s="484" t="s">
        <v>52</v>
      </c>
      <c r="AI6" s="115">
        <f t="shared" si="10"/>
        <v>0</v>
      </c>
      <c r="AJ6" s="116" t="s">
        <v>53</v>
      </c>
      <c r="AK6" s="484">
        <f t="shared" si="11"/>
        <v>0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484" t="s">
        <v>52</v>
      </c>
      <c r="BG6" s="117">
        <v>0</v>
      </c>
      <c r="BH6" s="115"/>
      <c r="BI6" s="114">
        <f t="shared" si="12"/>
        <v>0</v>
      </c>
      <c r="BJ6" s="484" t="s">
        <v>52</v>
      </c>
      <c r="BK6" s="115">
        <f t="shared" si="46"/>
        <v>0</v>
      </c>
      <c r="BL6" s="116" t="s">
        <v>53</v>
      </c>
      <c r="BM6" s="484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84" t="s">
        <v>52</v>
      </c>
      <c r="CI6" s="117">
        <v>0</v>
      </c>
      <c r="CJ6" s="140">
        <v>0</v>
      </c>
      <c r="CK6" s="148">
        <f t="shared" si="47"/>
        <v>1</v>
      </c>
      <c r="CL6" s="148">
        <v>0</v>
      </c>
      <c r="CM6" s="148">
        <v>1</v>
      </c>
      <c r="CN6" s="148">
        <f t="shared" si="48"/>
        <v>1</v>
      </c>
      <c r="CO6" s="175">
        <v>0</v>
      </c>
      <c r="CP6" s="140">
        <v>0</v>
      </c>
      <c r="CQ6" s="175">
        <v>0</v>
      </c>
      <c r="CR6" s="148">
        <v>0</v>
      </c>
      <c r="CS6" s="148">
        <v>0</v>
      </c>
      <c r="CT6" s="140">
        <v>0</v>
      </c>
      <c r="CU6" s="140">
        <v>0</v>
      </c>
      <c r="CV6" s="148">
        <f t="shared" si="49"/>
        <v>0</v>
      </c>
      <c r="CW6" s="140"/>
      <c r="CX6" s="140" t="str">
        <f t="shared" si="50"/>
        <v>0</v>
      </c>
      <c r="CY6" s="140" t="str">
        <f t="shared" si="14"/>
        <v>0</v>
      </c>
      <c r="CZ6" s="165" t="str">
        <f t="shared" si="15"/>
        <v>0</v>
      </c>
      <c r="DA6" s="164">
        <f t="shared" si="16"/>
        <v>66.666666666666671</v>
      </c>
      <c r="DB6" s="141"/>
      <c r="DC6" s="141"/>
      <c r="DD6" s="77">
        <f t="shared" si="51"/>
        <v>0</v>
      </c>
      <c r="DE6" s="37" t="str">
        <f t="shared" si="52"/>
        <v>0</v>
      </c>
      <c r="DF6" s="37" t="str">
        <f t="shared" si="53"/>
        <v>0</v>
      </c>
      <c r="DG6" s="37" t="str">
        <f t="shared" si="54"/>
        <v>0</v>
      </c>
      <c r="DH6" s="37" t="str">
        <f t="shared" si="17"/>
        <v>0</v>
      </c>
      <c r="DI6" s="37" t="str">
        <f t="shared" si="18"/>
        <v>0</v>
      </c>
      <c r="DJ6" s="37" t="str">
        <f t="shared" si="19"/>
        <v>0</v>
      </c>
      <c r="DK6" s="37" t="str">
        <f t="shared" si="20"/>
        <v>0</v>
      </c>
      <c r="DL6" s="37" t="str">
        <f t="shared" si="21"/>
        <v>0</v>
      </c>
      <c r="DM6" s="37" t="str">
        <f t="shared" si="22"/>
        <v>0</v>
      </c>
      <c r="DN6" s="37" t="str">
        <f t="shared" si="55"/>
        <v>0</v>
      </c>
      <c r="DO6" s="37" t="str">
        <f t="shared" si="56"/>
        <v>0</v>
      </c>
      <c r="DP6" s="66" t="str">
        <f t="shared" si="57"/>
        <v>0</v>
      </c>
      <c r="DQ6" s="78" t="str">
        <f t="shared" si="58"/>
        <v>0</v>
      </c>
      <c r="DR6" s="6"/>
      <c r="DS6" s="36"/>
      <c r="DT6" s="75" t="str">
        <f t="shared" si="59"/>
        <v>0</v>
      </c>
      <c r="DU6" s="18" t="str">
        <f t="shared" si="23"/>
        <v>0</v>
      </c>
      <c r="DV6" s="13" t="str">
        <f t="shared" si="60"/>
        <v>0</v>
      </c>
      <c r="DW6" s="14" t="str">
        <f t="shared" si="24"/>
        <v>0</v>
      </c>
      <c r="DX6" s="14">
        <f t="shared" si="25"/>
        <v>0</v>
      </c>
      <c r="DY6" s="14" t="str">
        <f t="shared" si="61"/>
        <v>0</v>
      </c>
      <c r="DZ6" s="15" t="str">
        <f t="shared" si="26"/>
        <v>0</v>
      </c>
      <c r="EA6" s="14" t="str">
        <f t="shared" si="62"/>
        <v>0</v>
      </c>
      <c r="EB6" s="14">
        <f t="shared" si="27"/>
        <v>0</v>
      </c>
      <c r="EC6" s="14">
        <f t="shared" si="28"/>
        <v>0</v>
      </c>
      <c r="ED6" s="14">
        <f t="shared" si="63"/>
        <v>0</v>
      </c>
      <c r="EE6" s="19">
        <f t="shared" si="64"/>
        <v>0</v>
      </c>
      <c r="EF6" s="67" t="str">
        <f t="shared" si="65"/>
        <v>0</v>
      </c>
      <c r="EG6" s="74">
        <f t="shared" si="66"/>
        <v>0</v>
      </c>
      <c r="EH6" s="27" t="str">
        <f t="shared" si="67"/>
        <v>0</v>
      </c>
      <c r="EI6" s="25" t="str">
        <f t="shared" si="68"/>
        <v>0</v>
      </c>
      <c r="EJ6" s="25">
        <f t="shared" si="69"/>
        <v>0</v>
      </c>
      <c r="EK6" s="26" t="str">
        <f t="shared" si="29"/>
        <v>0</v>
      </c>
      <c r="EL6" s="29">
        <f t="shared" si="70"/>
        <v>1</v>
      </c>
      <c r="EM6" s="30">
        <f t="shared" si="30"/>
        <v>0</v>
      </c>
      <c r="EN6" s="30">
        <f t="shared" si="31"/>
        <v>0.33333333333333331</v>
      </c>
      <c r="EO6" s="31">
        <f t="shared" si="71"/>
        <v>0</v>
      </c>
      <c r="EP6" s="31" t="str">
        <f t="shared" si="32"/>
        <v>0</v>
      </c>
      <c r="EQ6" s="31">
        <f t="shared" si="72"/>
        <v>0</v>
      </c>
      <c r="ER6" s="93" t="str">
        <f t="shared" si="33"/>
        <v>0</v>
      </c>
      <c r="ES6" s="109">
        <f t="shared" si="34"/>
        <v>83.333333333333343</v>
      </c>
      <c r="ET6" s="32" t="str">
        <f t="shared" si="35"/>
        <v>0</v>
      </c>
      <c r="EV6" s="277"/>
      <c r="EW6" s="278"/>
      <c r="EX6" s="37">
        <f t="shared" ref="EX6:EX16" si="81">AC6</f>
        <v>0</v>
      </c>
      <c r="EY6" s="72">
        <f t="shared" si="73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0</v>
      </c>
      <c r="FG6" s="182">
        <f t="shared" si="36"/>
        <v>0</v>
      </c>
      <c r="FH6" s="183" t="s">
        <v>52</v>
      </c>
      <c r="FI6" s="184">
        <f t="shared" si="74"/>
        <v>0</v>
      </c>
      <c r="FJ6" s="193" t="str">
        <f t="shared" si="75"/>
        <v>0</v>
      </c>
      <c r="FK6" s="185">
        <f t="shared" si="37"/>
        <v>0</v>
      </c>
      <c r="FL6" s="183" t="s">
        <v>52</v>
      </c>
      <c r="FM6" s="186">
        <f t="shared" si="38"/>
        <v>0</v>
      </c>
      <c r="FN6" s="193" t="str">
        <f t="shared" si="76"/>
        <v>0</v>
      </c>
      <c r="FO6" s="261">
        <f t="shared" si="77"/>
        <v>0</v>
      </c>
      <c r="FP6" s="183" t="s">
        <v>52</v>
      </c>
      <c r="FQ6" s="268">
        <f t="shared" si="78"/>
        <v>0</v>
      </c>
      <c r="FR6" s="196" t="str">
        <f t="shared" si="79"/>
        <v>0</v>
      </c>
      <c r="FS6" s="179">
        <f t="shared" si="39"/>
        <v>0</v>
      </c>
      <c r="FT6" s="179">
        <f t="shared" si="39"/>
        <v>1</v>
      </c>
      <c r="FU6" s="179">
        <f t="shared" si="40"/>
        <v>1</v>
      </c>
      <c r="FV6" s="187">
        <f t="shared" si="40"/>
        <v>0</v>
      </c>
      <c r="FW6" s="179">
        <f t="shared" si="40"/>
        <v>0</v>
      </c>
      <c r="FX6" s="179">
        <f t="shared" si="40"/>
        <v>0</v>
      </c>
      <c r="FY6" s="179">
        <f t="shared" si="40"/>
        <v>0</v>
      </c>
      <c r="FZ6" s="179">
        <f t="shared" si="40"/>
        <v>0</v>
      </c>
      <c r="GA6" s="179">
        <f t="shared" si="40"/>
        <v>0</v>
      </c>
      <c r="GB6" s="179">
        <f t="shared" si="40"/>
        <v>0</v>
      </c>
      <c r="GC6" s="187">
        <f t="shared" si="40"/>
        <v>0</v>
      </c>
      <c r="GD6" s="203" t="str">
        <f t="shared" si="80"/>
        <v>0</v>
      </c>
      <c r="GE6" s="179" t="str">
        <f t="shared" si="80"/>
        <v>0</v>
      </c>
      <c r="GF6" s="179" t="str">
        <f t="shared" si="80"/>
        <v>0</v>
      </c>
      <c r="GG6" s="258">
        <f t="shared" si="80"/>
        <v>66.666666666666671</v>
      </c>
      <c r="GH6" s="179"/>
      <c r="GJ6" s="82"/>
      <c r="GK6" s="24"/>
      <c r="GL6" s="185" t="e">
        <f>(CQ6/CQ29)*(EY30-EX30)</f>
        <v>#DIV/0!</v>
      </c>
      <c r="GM6" s="185">
        <f>((E30/G30)*(1-(CJ30/(CJ30+CK29))))/((E30/G30)*(1-(CJ30/(CJ30+CK29)))+((1-(E30/G30)))*(CJ30/(CJ30+CK29)))</f>
        <v>1</v>
      </c>
      <c r="GN6" s="24" t="e">
        <f>GK6+(GL6/10)+(GJ6*GM6*(1-(CJ30/(CJ30+CK29))))+(CK6*(1-GM6))</f>
        <v>#DIV/0!</v>
      </c>
      <c r="GO6" s="213" t="e">
        <f>GN6/(DD6*EG30)</f>
        <v>#DIV/0!</v>
      </c>
    </row>
    <row r="7" spans="1:197" x14ac:dyDescent="0.2">
      <c r="A7" s="139"/>
      <c r="B7" s="483" t="s">
        <v>82</v>
      </c>
      <c r="C7" s="492" t="s">
        <v>175</v>
      </c>
      <c r="D7" s="483">
        <v>2.4700000000000002</v>
      </c>
      <c r="E7" s="114">
        <f t="shared" si="0"/>
        <v>1</v>
      </c>
      <c r="F7" s="484" t="s">
        <v>52</v>
      </c>
      <c r="G7" s="115">
        <f t="shared" si="1"/>
        <v>1</v>
      </c>
      <c r="H7" s="116" t="s">
        <v>53</v>
      </c>
      <c r="I7" s="484">
        <f t="shared" si="41"/>
        <v>1</v>
      </c>
      <c r="J7" s="115" t="s">
        <v>54</v>
      </c>
      <c r="K7" s="116">
        <f t="shared" si="2"/>
        <v>0</v>
      </c>
      <c r="L7" s="484" t="s">
        <v>52</v>
      </c>
      <c r="M7" s="115">
        <f t="shared" si="3"/>
        <v>0</v>
      </c>
      <c r="N7" s="116" t="s">
        <v>53</v>
      </c>
      <c r="O7" s="484">
        <f t="shared" si="4"/>
        <v>0</v>
      </c>
      <c r="P7" s="115" t="s">
        <v>54</v>
      </c>
      <c r="Q7" s="116">
        <f t="shared" si="5"/>
        <v>0</v>
      </c>
      <c r="R7" s="484" t="s">
        <v>52</v>
      </c>
      <c r="S7" s="115">
        <f t="shared" si="42"/>
        <v>0</v>
      </c>
      <c r="T7" s="116" t="s">
        <v>53</v>
      </c>
      <c r="U7" s="484">
        <f t="shared" si="6"/>
        <v>0</v>
      </c>
      <c r="V7" s="115" t="s">
        <v>54</v>
      </c>
      <c r="W7" s="116">
        <f t="shared" si="7"/>
        <v>1</v>
      </c>
      <c r="X7" s="484" t="s">
        <v>52</v>
      </c>
      <c r="Y7" s="115">
        <f t="shared" si="8"/>
        <v>1</v>
      </c>
      <c r="Z7" s="116" t="s">
        <v>53</v>
      </c>
      <c r="AA7" s="484">
        <f t="shared" si="9"/>
        <v>1</v>
      </c>
      <c r="AB7" s="115" t="s">
        <v>54</v>
      </c>
      <c r="AC7" s="116">
        <f t="shared" si="43"/>
        <v>0</v>
      </c>
      <c r="AD7" s="484" t="s">
        <v>52</v>
      </c>
      <c r="AE7" s="117">
        <f t="shared" si="44"/>
        <v>0</v>
      </c>
      <c r="AF7" s="485"/>
      <c r="AG7" s="114">
        <f>IFERROR(AM7+AS7+AY7,"0")</f>
        <v>1</v>
      </c>
      <c r="AH7" s="484" t="s">
        <v>52</v>
      </c>
      <c r="AI7" s="115">
        <f t="shared" si="10"/>
        <v>1</v>
      </c>
      <c r="AJ7" s="116" t="s">
        <v>53</v>
      </c>
      <c r="AK7" s="484">
        <f t="shared" si="11"/>
        <v>1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1</v>
      </c>
      <c r="AZ7" s="244" t="s">
        <v>52</v>
      </c>
      <c r="BA7" s="245">
        <v>1</v>
      </c>
      <c r="BB7" s="246" t="s">
        <v>53</v>
      </c>
      <c r="BC7" s="244">
        <v>1</v>
      </c>
      <c r="BD7" s="245" t="s">
        <v>54</v>
      </c>
      <c r="BE7" s="116">
        <v>0</v>
      </c>
      <c r="BF7" s="484" t="s">
        <v>52</v>
      </c>
      <c r="BG7" s="117">
        <v>0</v>
      </c>
      <c r="BH7" s="115"/>
      <c r="BI7" s="114">
        <f>IFERROR(BO7+BU7+CA7,"0")</f>
        <v>0</v>
      </c>
      <c r="BJ7" s="484" t="s">
        <v>52</v>
      </c>
      <c r="BK7" s="115">
        <f t="shared" si="46"/>
        <v>0</v>
      </c>
      <c r="BL7" s="116" t="s">
        <v>53</v>
      </c>
      <c r="BM7" s="484">
        <f t="shared" si="13"/>
        <v>0</v>
      </c>
      <c r="BN7" s="115" t="s">
        <v>54</v>
      </c>
      <c r="BO7" s="246">
        <v>0</v>
      </c>
      <c r="BP7" s="244" t="s">
        <v>52</v>
      </c>
      <c r="BQ7" s="245">
        <v>0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0</v>
      </c>
      <c r="CD7" s="246" t="s">
        <v>53</v>
      </c>
      <c r="CE7" s="244">
        <v>0</v>
      </c>
      <c r="CF7" s="245" t="s">
        <v>54</v>
      </c>
      <c r="CG7" s="116">
        <v>0</v>
      </c>
      <c r="CH7" s="484" t="s">
        <v>52</v>
      </c>
      <c r="CI7" s="117">
        <v>0</v>
      </c>
      <c r="CJ7" s="140">
        <v>0</v>
      </c>
      <c r="CK7" s="148">
        <f t="shared" si="47"/>
        <v>0</v>
      </c>
      <c r="CL7" s="148">
        <v>0</v>
      </c>
      <c r="CM7" s="148">
        <v>0</v>
      </c>
      <c r="CN7" s="148">
        <f t="shared" si="48"/>
        <v>0</v>
      </c>
      <c r="CO7" s="175">
        <v>0</v>
      </c>
      <c r="CP7" s="140">
        <v>1</v>
      </c>
      <c r="CQ7" s="175">
        <v>0</v>
      </c>
      <c r="CR7" s="148">
        <v>0</v>
      </c>
      <c r="CS7" s="148">
        <v>1</v>
      </c>
      <c r="CT7" s="140">
        <v>0</v>
      </c>
      <c r="CU7" s="140">
        <v>0</v>
      </c>
      <c r="CV7" s="148">
        <f t="shared" si="49"/>
        <v>3</v>
      </c>
      <c r="CW7" s="140"/>
      <c r="CX7" s="140" t="str">
        <f t="shared" si="50"/>
        <v>0</v>
      </c>
      <c r="CY7" s="140" t="str">
        <f t="shared" si="14"/>
        <v>0</v>
      </c>
      <c r="CZ7" s="165">
        <f t="shared" si="15"/>
        <v>0</v>
      </c>
      <c r="DA7" s="164">
        <f t="shared" si="16"/>
        <v>106.66666666666666</v>
      </c>
      <c r="DB7" s="141"/>
      <c r="DC7" s="141"/>
      <c r="DD7" s="77">
        <f t="shared" si="51"/>
        <v>1.0000000000000002</v>
      </c>
      <c r="DE7" s="37">
        <f t="shared" si="52"/>
        <v>1</v>
      </c>
      <c r="DF7" s="37">
        <f t="shared" si="53"/>
        <v>1</v>
      </c>
      <c r="DG7" s="37">
        <f t="shared" si="54"/>
        <v>1.5</v>
      </c>
      <c r="DH7" s="37">
        <f t="shared" si="17"/>
        <v>0</v>
      </c>
      <c r="DI7" s="37">
        <f t="shared" si="18"/>
        <v>0</v>
      </c>
      <c r="DJ7" s="37">
        <f t="shared" si="19"/>
        <v>0</v>
      </c>
      <c r="DK7" s="37">
        <f t="shared" si="20"/>
        <v>0.16666666666666663</v>
      </c>
      <c r="DL7" s="37">
        <f t="shared" si="21"/>
        <v>0</v>
      </c>
      <c r="DM7" s="37">
        <f t="shared" si="22"/>
        <v>0.16666666666666663</v>
      </c>
      <c r="DN7" s="37" t="str">
        <f t="shared" si="55"/>
        <v>0</v>
      </c>
      <c r="DO7" s="37" t="str">
        <f t="shared" si="56"/>
        <v>0</v>
      </c>
      <c r="DP7" s="66">
        <f t="shared" si="57"/>
        <v>0</v>
      </c>
      <c r="DQ7" s="78">
        <f t="shared" si="58"/>
        <v>0</v>
      </c>
      <c r="DR7" s="6"/>
      <c r="DS7" s="36"/>
      <c r="DT7" s="75">
        <f t="shared" si="59"/>
        <v>77.556275303643716</v>
      </c>
      <c r="DU7" s="18" t="str">
        <f t="shared" si="23"/>
        <v>0</v>
      </c>
      <c r="DV7" s="13">
        <f t="shared" si="60"/>
        <v>0.57250000000000001</v>
      </c>
      <c r="DW7" s="14">
        <f t="shared" si="24"/>
        <v>0.56999999999999995</v>
      </c>
      <c r="DX7" s="14">
        <f t="shared" si="25"/>
        <v>0</v>
      </c>
      <c r="DY7" s="14" t="str">
        <f t="shared" si="61"/>
        <v>0</v>
      </c>
      <c r="DZ7" s="15" t="str">
        <f t="shared" si="26"/>
        <v>0</v>
      </c>
      <c r="EA7" s="14" t="str">
        <f t="shared" si="62"/>
        <v>0</v>
      </c>
      <c r="EB7" s="14">
        <f t="shared" si="27"/>
        <v>0</v>
      </c>
      <c r="EC7" s="14">
        <f t="shared" si="28"/>
        <v>0</v>
      </c>
      <c r="ED7" s="14">
        <f t="shared" si="63"/>
        <v>0</v>
      </c>
      <c r="EE7" s="19">
        <f t="shared" si="64"/>
        <v>0</v>
      </c>
      <c r="EF7" s="67" t="str">
        <f t="shared" si="65"/>
        <v>0</v>
      </c>
      <c r="EG7" s="74">
        <f t="shared" si="66"/>
        <v>0</v>
      </c>
      <c r="EH7" s="27" t="str">
        <f t="shared" si="67"/>
        <v>0</v>
      </c>
      <c r="EI7" s="25">
        <f t="shared" si="68"/>
        <v>1.7175</v>
      </c>
      <c r="EJ7" s="25">
        <f t="shared" si="69"/>
        <v>0</v>
      </c>
      <c r="EK7" s="26" t="str">
        <f t="shared" si="29"/>
        <v>0</v>
      </c>
      <c r="EL7" s="29">
        <f t="shared" si="70"/>
        <v>1</v>
      </c>
      <c r="EM7" s="30">
        <f t="shared" si="30"/>
        <v>0</v>
      </c>
      <c r="EN7" s="30">
        <f t="shared" si="31"/>
        <v>0.42857142857142855</v>
      </c>
      <c r="EO7" s="31">
        <f t="shared" si="71"/>
        <v>1</v>
      </c>
      <c r="EP7" s="31" t="str">
        <f t="shared" si="32"/>
        <v>0</v>
      </c>
      <c r="EQ7" s="31">
        <f t="shared" si="72"/>
        <v>1</v>
      </c>
      <c r="ER7" s="93">
        <f t="shared" si="33"/>
        <v>0.83333333333333337</v>
      </c>
      <c r="ES7" s="109">
        <f t="shared" si="34"/>
        <v>133.33333333333331</v>
      </c>
      <c r="ET7" s="32" t="str">
        <f t="shared" si="35"/>
        <v>0</v>
      </c>
      <c r="EV7" s="277"/>
      <c r="EW7" s="278"/>
      <c r="EX7" s="37">
        <f t="shared" si="81"/>
        <v>0</v>
      </c>
      <c r="EY7" s="72">
        <f t="shared" si="73"/>
        <v>0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2.4700000000000002</v>
      </c>
      <c r="FG7" s="144">
        <f t="shared" si="36"/>
        <v>1</v>
      </c>
      <c r="FH7" s="484" t="s">
        <v>52</v>
      </c>
      <c r="FI7" s="145">
        <f t="shared" si="74"/>
        <v>1</v>
      </c>
      <c r="FJ7" s="194">
        <f t="shared" si="75"/>
        <v>1</v>
      </c>
      <c r="FK7" s="110">
        <f t="shared" si="37"/>
        <v>1</v>
      </c>
      <c r="FL7" s="484" t="s">
        <v>52</v>
      </c>
      <c r="FM7" s="168">
        <f t="shared" si="38"/>
        <v>1</v>
      </c>
      <c r="FN7" s="194">
        <f t="shared" si="76"/>
        <v>1</v>
      </c>
      <c r="FO7" s="262">
        <f t="shared" si="77"/>
        <v>0</v>
      </c>
      <c r="FP7" s="484" t="s">
        <v>52</v>
      </c>
      <c r="FQ7" s="274">
        <f t="shared" si="78"/>
        <v>0</v>
      </c>
      <c r="FR7" s="197" t="str">
        <f t="shared" si="79"/>
        <v>0</v>
      </c>
      <c r="FS7" s="140">
        <f t="shared" si="39"/>
        <v>0</v>
      </c>
      <c r="FT7" s="140">
        <f t="shared" si="39"/>
        <v>0</v>
      </c>
      <c r="FU7" s="140">
        <f t="shared" si="40"/>
        <v>0</v>
      </c>
      <c r="FV7" s="175">
        <f t="shared" si="40"/>
        <v>0</v>
      </c>
      <c r="FW7" s="140">
        <f t="shared" si="40"/>
        <v>1</v>
      </c>
      <c r="FX7" s="140">
        <f t="shared" si="40"/>
        <v>0</v>
      </c>
      <c r="FY7" s="140">
        <f t="shared" si="40"/>
        <v>0</v>
      </c>
      <c r="FZ7" s="140">
        <f t="shared" si="40"/>
        <v>1</v>
      </c>
      <c r="GA7" s="140">
        <f t="shared" si="40"/>
        <v>0</v>
      </c>
      <c r="GB7" s="140">
        <f t="shared" si="40"/>
        <v>0</v>
      </c>
      <c r="GC7" s="175">
        <f t="shared" si="40"/>
        <v>3</v>
      </c>
      <c r="GD7" s="202" t="str">
        <f t="shared" si="80"/>
        <v>0</v>
      </c>
      <c r="GE7" s="140" t="str">
        <f t="shared" si="80"/>
        <v>0</v>
      </c>
      <c r="GF7" s="140">
        <f t="shared" si="80"/>
        <v>0</v>
      </c>
      <c r="GG7" s="259">
        <f t="shared" si="80"/>
        <v>106.66666666666666</v>
      </c>
      <c r="GH7" s="140"/>
      <c r="GJ7" s="82"/>
      <c r="GK7" s="24"/>
      <c r="GL7" s="185" t="e">
        <f>(CQ7/CQ31)*(EY32-EX32)</f>
        <v>#DIV/0!</v>
      </c>
      <c r="GM7" s="185">
        <f>((E32/G32)*(1-(CJ32/(CJ32+CK31))))/((E32/G32)*(1-(CJ32/(CJ32+CK31)))+((1-(E32/G32)))*(CJ32/(CJ32+CK31)))</f>
        <v>1</v>
      </c>
      <c r="GN7" s="24" t="e">
        <f>GK7+(GL7/10)+(GJ7*GM7*(1-(CJ32/(CJ32+CK31))))+(CK7*(1-GM7))</f>
        <v>#DIV/0!</v>
      </c>
      <c r="GO7" s="213" t="e">
        <f>GN7/(DD7*EG32)</f>
        <v>#DIV/0!</v>
      </c>
    </row>
    <row r="8" spans="1:197" x14ac:dyDescent="0.2">
      <c r="A8" s="139"/>
      <c r="B8" s="493" t="s">
        <v>117</v>
      </c>
      <c r="C8" s="494" t="s">
        <v>208</v>
      </c>
      <c r="D8" s="483">
        <v>2.4700000000000002</v>
      </c>
      <c r="E8" s="114">
        <f t="shared" si="0"/>
        <v>1</v>
      </c>
      <c r="F8" s="484" t="s">
        <v>52</v>
      </c>
      <c r="G8" s="115">
        <f t="shared" si="1"/>
        <v>3</v>
      </c>
      <c r="H8" s="116" t="s">
        <v>53</v>
      </c>
      <c r="I8" s="484">
        <f t="shared" si="41"/>
        <v>0</v>
      </c>
      <c r="J8" s="115" t="s">
        <v>54</v>
      </c>
      <c r="K8" s="116">
        <f t="shared" si="2"/>
        <v>1</v>
      </c>
      <c r="L8" s="484" t="s">
        <v>52</v>
      </c>
      <c r="M8" s="115">
        <f t="shared" si="3"/>
        <v>1</v>
      </c>
      <c r="N8" s="116" t="s">
        <v>53</v>
      </c>
      <c r="O8" s="484">
        <f t="shared" si="4"/>
        <v>0</v>
      </c>
      <c r="P8" s="115" t="s">
        <v>54</v>
      </c>
      <c r="Q8" s="116">
        <f t="shared" si="5"/>
        <v>0</v>
      </c>
      <c r="R8" s="484" t="s">
        <v>52</v>
      </c>
      <c r="S8" s="115">
        <f t="shared" si="42"/>
        <v>0</v>
      </c>
      <c r="T8" s="116" t="s">
        <v>53</v>
      </c>
      <c r="U8" s="484">
        <f t="shared" si="6"/>
        <v>0</v>
      </c>
      <c r="V8" s="115" t="s">
        <v>54</v>
      </c>
      <c r="W8" s="116">
        <f t="shared" si="7"/>
        <v>0</v>
      </c>
      <c r="X8" s="484" t="s">
        <v>52</v>
      </c>
      <c r="Y8" s="115">
        <f t="shared" si="8"/>
        <v>2</v>
      </c>
      <c r="Z8" s="116" t="s">
        <v>53</v>
      </c>
      <c r="AA8" s="484">
        <f t="shared" si="9"/>
        <v>0</v>
      </c>
      <c r="AB8" s="115" t="s">
        <v>54</v>
      </c>
      <c r="AC8" s="116">
        <f t="shared" si="43"/>
        <v>0</v>
      </c>
      <c r="AD8" s="484" t="s">
        <v>52</v>
      </c>
      <c r="AE8" s="117">
        <f t="shared" si="44"/>
        <v>0</v>
      </c>
      <c r="AF8" s="485"/>
      <c r="AG8" s="114">
        <f t="shared" si="45"/>
        <v>0</v>
      </c>
      <c r="AH8" s="484" t="s">
        <v>52</v>
      </c>
      <c r="AI8" s="115">
        <f t="shared" si="10"/>
        <v>2</v>
      </c>
      <c r="AJ8" s="116" t="s">
        <v>53</v>
      </c>
      <c r="AK8" s="484">
        <f t="shared" si="11"/>
        <v>0</v>
      </c>
      <c r="AL8" s="115" t="s">
        <v>54</v>
      </c>
      <c r="AM8" s="246">
        <v>0</v>
      </c>
      <c r="AN8" s="244" t="s">
        <v>52</v>
      </c>
      <c r="AO8" s="245">
        <v>0</v>
      </c>
      <c r="AP8" s="246" t="s">
        <v>53</v>
      </c>
      <c r="AQ8" s="244">
        <v>0</v>
      </c>
      <c r="AR8" s="245" t="s">
        <v>54</v>
      </c>
      <c r="AS8" s="246">
        <v>0</v>
      </c>
      <c r="AT8" s="244" t="s">
        <v>52</v>
      </c>
      <c r="AU8" s="245">
        <v>0</v>
      </c>
      <c r="AV8" s="246" t="s">
        <v>53</v>
      </c>
      <c r="AW8" s="244">
        <v>0</v>
      </c>
      <c r="AX8" s="245" t="s">
        <v>54</v>
      </c>
      <c r="AY8" s="246">
        <v>0</v>
      </c>
      <c r="AZ8" s="244" t="s">
        <v>52</v>
      </c>
      <c r="BA8" s="245">
        <v>2</v>
      </c>
      <c r="BB8" s="246" t="s">
        <v>53</v>
      </c>
      <c r="BC8" s="244">
        <v>0</v>
      </c>
      <c r="BD8" s="245" t="s">
        <v>54</v>
      </c>
      <c r="BE8" s="116">
        <v>0</v>
      </c>
      <c r="BF8" s="484" t="s">
        <v>52</v>
      </c>
      <c r="BG8" s="117">
        <v>0</v>
      </c>
      <c r="BH8" s="115"/>
      <c r="BI8" s="114">
        <f t="shared" si="12"/>
        <v>1</v>
      </c>
      <c r="BJ8" s="484" t="s">
        <v>52</v>
      </c>
      <c r="BK8" s="115">
        <f t="shared" si="46"/>
        <v>1</v>
      </c>
      <c r="BL8" s="116" t="s">
        <v>53</v>
      </c>
      <c r="BM8" s="484">
        <f t="shared" si="13"/>
        <v>0</v>
      </c>
      <c r="BN8" s="115" t="s">
        <v>54</v>
      </c>
      <c r="BO8" s="246">
        <v>1</v>
      </c>
      <c r="BP8" s="244" t="s">
        <v>52</v>
      </c>
      <c r="BQ8" s="245">
        <v>1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84" t="s">
        <v>52</v>
      </c>
      <c r="CI8" s="117">
        <v>0</v>
      </c>
      <c r="CJ8" s="140">
        <v>0</v>
      </c>
      <c r="CK8" s="148">
        <f t="shared" si="47"/>
        <v>1</v>
      </c>
      <c r="CL8" s="148">
        <v>1</v>
      </c>
      <c r="CM8" s="148">
        <v>0</v>
      </c>
      <c r="CN8" s="148">
        <f t="shared" si="48"/>
        <v>1</v>
      </c>
      <c r="CO8" s="175">
        <v>0</v>
      </c>
      <c r="CP8" s="140">
        <v>0</v>
      </c>
      <c r="CQ8" s="175">
        <v>0</v>
      </c>
      <c r="CR8" s="148">
        <v>0</v>
      </c>
      <c r="CS8" s="148">
        <v>0</v>
      </c>
      <c r="CT8" s="140">
        <v>1</v>
      </c>
      <c r="CU8" s="140">
        <v>1</v>
      </c>
      <c r="CV8" s="148">
        <f t="shared" si="49"/>
        <v>2</v>
      </c>
      <c r="CW8" s="140"/>
      <c r="CX8" s="140">
        <f t="shared" si="50"/>
        <v>0</v>
      </c>
      <c r="CY8" s="140">
        <f t="shared" si="14"/>
        <v>0</v>
      </c>
      <c r="CZ8" s="165">
        <f t="shared" si="15"/>
        <v>0.49999999999999983</v>
      </c>
      <c r="DA8" s="164">
        <f t="shared" si="16"/>
        <v>66.666666666666671</v>
      </c>
      <c r="DB8" s="141"/>
      <c r="DC8" s="141"/>
      <c r="DD8" s="77">
        <f t="shared" si="51"/>
        <v>1.0000000000000002</v>
      </c>
      <c r="DE8" s="37">
        <f t="shared" si="52"/>
        <v>0.33333333333333331</v>
      </c>
      <c r="DF8" s="37">
        <f t="shared" si="53"/>
        <v>0</v>
      </c>
      <c r="DG8" s="37">
        <f t="shared" si="54"/>
        <v>0.33333333333333331</v>
      </c>
      <c r="DH8" s="37">
        <f t="shared" si="17"/>
        <v>0</v>
      </c>
      <c r="DI8" s="37">
        <f t="shared" si="18"/>
        <v>0.19999999999999996</v>
      </c>
      <c r="DJ8" s="37">
        <f t="shared" si="19"/>
        <v>0.49999999999999989</v>
      </c>
      <c r="DK8" s="37">
        <f t="shared" si="20"/>
        <v>0</v>
      </c>
      <c r="DL8" s="37">
        <f t="shared" si="21"/>
        <v>0</v>
      </c>
      <c r="DM8" s="37">
        <f t="shared" si="22"/>
        <v>0</v>
      </c>
      <c r="DN8" s="37">
        <f t="shared" si="55"/>
        <v>0.33333333333333331</v>
      </c>
      <c r="DO8" s="37">
        <f t="shared" si="56"/>
        <v>0</v>
      </c>
      <c r="DP8" s="66">
        <f t="shared" si="57"/>
        <v>0</v>
      </c>
      <c r="DQ8" s="78">
        <f t="shared" si="58"/>
        <v>0</v>
      </c>
      <c r="DR8" s="6"/>
      <c r="DS8" s="36"/>
      <c r="DT8" s="75">
        <f t="shared" si="59"/>
        <v>3.0485829959514144</v>
      </c>
      <c r="DU8" s="18" t="str">
        <f t="shared" si="23"/>
        <v>0</v>
      </c>
      <c r="DV8" s="13">
        <f t="shared" si="60"/>
        <v>0.87333333333333329</v>
      </c>
      <c r="DW8" s="14">
        <f t="shared" si="24"/>
        <v>0.7599999999999999</v>
      </c>
      <c r="DX8" s="14">
        <f t="shared" si="25"/>
        <v>0</v>
      </c>
      <c r="DY8" s="14" t="str">
        <f t="shared" si="61"/>
        <v>0</v>
      </c>
      <c r="DZ8" s="15" t="str">
        <f t="shared" si="26"/>
        <v>0</v>
      </c>
      <c r="EA8" s="14" t="str">
        <f t="shared" si="62"/>
        <v>0</v>
      </c>
      <c r="EB8" s="14">
        <f t="shared" si="27"/>
        <v>0</v>
      </c>
      <c r="EC8" s="14">
        <f t="shared" si="28"/>
        <v>0</v>
      </c>
      <c r="ED8" s="14">
        <f t="shared" si="63"/>
        <v>0</v>
      </c>
      <c r="EE8" s="19">
        <f t="shared" si="64"/>
        <v>2</v>
      </c>
      <c r="EF8" s="67" t="str">
        <f t="shared" si="65"/>
        <v>0</v>
      </c>
      <c r="EG8" s="74">
        <f t="shared" si="66"/>
        <v>3</v>
      </c>
      <c r="EH8" s="27" t="str">
        <f t="shared" si="67"/>
        <v>0</v>
      </c>
      <c r="EI8" s="25">
        <f t="shared" si="68"/>
        <v>1.7466666666666666</v>
      </c>
      <c r="EJ8" s="25">
        <f t="shared" si="69"/>
        <v>0</v>
      </c>
      <c r="EK8" s="26" t="str">
        <f t="shared" si="29"/>
        <v>0</v>
      </c>
      <c r="EL8" s="29">
        <f t="shared" si="70"/>
        <v>1</v>
      </c>
      <c r="EM8" s="30">
        <f t="shared" si="30"/>
        <v>0</v>
      </c>
      <c r="EN8" s="30">
        <f t="shared" si="31"/>
        <v>0.33333333333333331</v>
      </c>
      <c r="EO8" s="31">
        <f t="shared" si="71"/>
        <v>1</v>
      </c>
      <c r="EP8" s="31" t="str">
        <f t="shared" si="32"/>
        <v>0</v>
      </c>
      <c r="EQ8" s="31">
        <f t="shared" si="72"/>
        <v>1</v>
      </c>
      <c r="ER8" s="93">
        <f t="shared" si="33"/>
        <v>0.83333333333333337</v>
      </c>
      <c r="ES8" s="109">
        <f t="shared" si="34"/>
        <v>83.333333333333343</v>
      </c>
      <c r="ET8" s="32" t="str">
        <f t="shared" si="35"/>
        <v>0</v>
      </c>
      <c r="EV8" s="277"/>
      <c r="EW8" s="278"/>
      <c r="EX8" s="37">
        <f t="shared" si="81"/>
        <v>0</v>
      </c>
      <c r="EY8" s="72">
        <f t="shared" si="73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2.4700000000000002</v>
      </c>
      <c r="FG8" s="182">
        <f t="shared" si="36"/>
        <v>1</v>
      </c>
      <c r="FH8" s="183" t="s">
        <v>52</v>
      </c>
      <c r="FI8" s="184">
        <f t="shared" si="74"/>
        <v>3</v>
      </c>
      <c r="FJ8" s="193">
        <f t="shared" si="75"/>
        <v>0.33333333333333331</v>
      </c>
      <c r="FK8" s="185">
        <f t="shared" si="37"/>
        <v>0</v>
      </c>
      <c r="FL8" s="183" t="s">
        <v>52</v>
      </c>
      <c r="FM8" s="186">
        <f t="shared" si="38"/>
        <v>2</v>
      </c>
      <c r="FN8" s="193">
        <f t="shared" si="76"/>
        <v>0</v>
      </c>
      <c r="FO8" s="261">
        <f t="shared" si="77"/>
        <v>0</v>
      </c>
      <c r="FP8" s="183" t="s">
        <v>52</v>
      </c>
      <c r="FQ8" s="268">
        <f t="shared" si="78"/>
        <v>0</v>
      </c>
      <c r="FR8" s="196" t="str">
        <f t="shared" si="79"/>
        <v>0</v>
      </c>
      <c r="FS8" s="179">
        <f t="shared" si="39"/>
        <v>0</v>
      </c>
      <c r="FT8" s="179">
        <f t="shared" si="39"/>
        <v>1</v>
      </c>
      <c r="FU8" s="179">
        <f t="shared" si="40"/>
        <v>1</v>
      </c>
      <c r="FV8" s="187">
        <f t="shared" si="40"/>
        <v>0</v>
      </c>
      <c r="FW8" s="179">
        <f t="shared" si="40"/>
        <v>0</v>
      </c>
      <c r="FX8" s="179">
        <f t="shared" si="40"/>
        <v>0</v>
      </c>
      <c r="FY8" s="179">
        <f t="shared" si="40"/>
        <v>0</v>
      </c>
      <c r="FZ8" s="179">
        <f t="shared" si="40"/>
        <v>0</v>
      </c>
      <c r="GA8" s="179">
        <f t="shared" si="40"/>
        <v>1</v>
      </c>
      <c r="GB8" s="179">
        <f t="shared" si="40"/>
        <v>1</v>
      </c>
      <c r="GC8" s="187">
        <f t="shared" si="40"/>
        <v>2</v>
      </c>
      <c r="GD8" s="203">
        <f t="shared" si="80"/>
        <v>0</v>
      </c>
      <c r="GE8" s="179">
        <f t="shared" si="80"/>
        <v>0</v>
      </c>
      <c r="GF8" s="179">
        <f t="shared" si="80"/>
        <v>0.49999999999999983</v>
      </c>
      <c r="GG8" s="258">
        <f t="shared" si="80"/>
        <v>66.666666666666671</v>
      </c>
      <c r="GH8" s="179"/>
      <c r="GJ8" s="82"/>
      <c r="GK8" s="24"/>
      <c r="GL8" s="185" t="e">
        <f>(CQ8/CQ33)*(EY34-EX34)</f>
        <v>#DIV/0!</v>
      </c>
      <c r="GM8" s="185">
        <f>((E34/G34)*(1-(CJ34/(CJ34+CK33))))/((E34/G34)*(1-(CJ34/(CJ34+CK33)))+((1-(E34/G34)))*(CJ34/(CJ34+CK33)))</f>
        <v>1</v>
      </c>
      <c r="GN8" s="24" t="e">
        <f>GK8+(GL8/10)+(GJ8*GM8*(1-(CJ34/(CJ34+CK33))))+(CK8*(1-GM8))</f>
        <v>#DIV/0!</v>
      </c>
      <c r="GO8" s="213" t="e">
        <f>GN8/(DD8*EG34)</f>
        <v>#DIV/0!</v>
      </c>
    </row>
    <row r="9" spans="1:197" x14ac:dyDescent="0.2">
      <c r="A9" s="139"/>
      <c r="B9" s="493" t="s">
        <v>117</v>
      </c>
      <c r="C9" s="494" t="s">
        <v>209</v>
      </c>
      <c r="D9" s="483">
        <v>2.4700000000000002</v>
      </c>
      <c r="E9" s="114">
        <f t="shared" si="0"/>
        <v>1</v>
      </c>
      <c r="F9" s="484" t="s">
        <v>52</v>
      </c>
      <c r="G9" s="115">
        <f t="shared" si="1"/>
        <v>2</v>
      </c>
      <c r="H9" s="116" t="s">
        <v>53</v>
      </c>
      <c r="I9" s="484">
        <f t="shared" si="41"/>
        <v>1</v>
      </c>
      <c r="J9" s="115" t="s">
        <v>54</v>
      </c>
      <c r="K9" s="116">
        <f t="shared" si="2"/>
        <v>0</v>
      </c>
      <c r="L9" s="484" t="s">
        <v>52</v>
      </c>
      <c r="M9" s="115">
        <f t="shared" si="3"/>
        <v>0</v>
      </c>
      <c r="N9" s="116" t="s">
        <v>53</v>
      </c>
      <c r="O9" s="484">
        <f t="shared" si="4"/>
        <v>0</v>
      </c>
      <c r="P9" s="115" t="s">
        <v>54</v>
      </c>
      <c r="Q9" s="116">
        <f t="shared" si="5"/>
        <v>0</v>
      </c>
      <c r="R9" s="484" t="s">
        <v>52</v>
      </c>
      <c r="S9" s="115">
        <f t="shared" si="42"/>
        <v>0</v>
      </c>
      <c r="T9" s="116" t="s">
        <v>53</v>
      </c>
      <c r="U9" s="484">
        <f t="shared" si="6"/>
        <v>0</v>
      </c>
      <c r="V9" s="115" t="s">
        <v>54</v>
      </c>
      <c r="W9" s="116">
        <f t="shared" si="7"/>
        <v>1</v>
      </c>
      <c r="X9" s="484" t="s">
        <v>52</v>
      </c>
      <c r="Y9" s="115">
        <f t="shared" si="8"/>
        <v>2</v>
      </c>
      <c r="Z9" s="116" t="s">
        <v>53</v>
      </c>
      <c r="AA9" s="484">
        <f t="shared" si="9"/>
        <v>1</v>
      </c>
      <c r="AB9" s="115" t="s">
        <v>54</v>
      </c>
      <c r="AC9" s="116">
        <f t="shared" si="43"/>
        <v>0</v>
      </c>
      <c r="AD9" s="484" t="s">
        <v>52</v>
      </c>
      <c r="AE9" s="117">
        <f t="shared" si="44"/>
        <v>0</v>
      </c>
      <c r="AF9" s="485"/>
      <c r="AG9" s="114">
        <f t="shared" si="45"/>
        <v>1</v>
      </c>
      <c r="AH9" s="484" t="s">
        <v>52</v>
      </c>
      <c r="AI9" s="115">
        <f t="shared" si="10"/>
        <v>2</v>
      </c>
      <c r="AJ9" s="116" t="s">
        <v>53</v>
      </c>
      <c r="AK9" s="484">
        <f t="shared" si="11"/>
        <v>1</v>
      </c>
      <c r="AL9" s="115" t="s">
        <v>54</v>
      </c>
      <c r="AM9" s="246">
        <v>0</v>
      </c>
      <c r="AN9" s="244" t="s">
        <v>52</v>
      </c>
      <c r="AO9" s="245">
        <v>0</v>
      </c>
      <c r="AP9" s="246" t="s">
        <v>53</v>
      </c>
      <c r="AQ9" s="244">
        <v>0</v>
      </c>
      <c r="AR9" s="245" t="s">
        <v>54</v>
      </c>
      <c r="AS9" s="246">
        <v>0</v>
      </c>
      <c r="AT9" s="244" t="s">
        <v>52</v>
      </c>
      <c r="AU9" s="245">
        <v>0</v>
      </c>
      <c r="AV9" s="246" t="s">
        <v>53</v>
      </c>
      <c r="AW9" s="244">
        <v>0</v>
      </c>
      <c r="AX9" s="245" t="s">
        <v>54</v>
      </c>
      <c r="AY9" s="246">
        <v>1</v>
      </c>
      <c r="AZ9" s="244" t="s">
        <v>52</v>
      </c>
      <c r="BA9" s="245">
        <v>2</v>
      </c>
      <c r="BB9" s="246" t="s">
        <v>53</v>
      </c>
      <c r="BC9" s="244">
        <v>1</v>
      </c>
      <c r="BD9" s="245" t="s">
        <v>54</v>
      </c>
      <c r="BE9" s="116">
        <v>0</v>
      </c>
      <c r="BF9" s="484" t="s">
        <v>52</v>
      </c>
      <c r="BG9" s="117">
        <v>0</v>
      </c>
      <c r="BH9" s="115"/>
      <c r="BI9" s="114">
        <f t="shared" si="12"/>
        <v>0</v>
      </c>
      <c r="BJ9" s="484" t="s">
        <v>52</v>
      </c>
      <c r="BK9" s="115">
        <f t="shared" si="46"/>
        <v>0</v>
      </c>
      <c r="BL9" s="116" t="s">
        <v>53</v>
      </c>
      <c r="BM9" s="484">
        <f t="shared" si="13"/>
        <v>0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484" t="s">
        <v>52</v>
      </c>
      <c r="CI9" s="117">
        <v>0</v>
      </c>
      <c r="CJ9" s="140">
        <v>0</v>
      </c>
      <c r="CK9" s="148">
        <f t="shared" si="47"/>
        <v>0</v>
      </c>
      <c r="CL9" s="148">
        <v>0</v>
      </c>
      <c r="CM9" s="148">
        <v>0</v>
      </c>
      <c r="CN9" s="148">
        <f t="shared" si="48"/>
        <v>0</v>
      </c>
      <c r="CO9" s="175">
        <v>1</v>
      </c>
      <c r="CP9" s="140">
        <v>0</v>
      </c>
      <c r="CQ9" s="175">
        <v>0</v>
      </c>
      <c r="CR9" s="148">
        <v>0</v>
      </c>
      <c r="CS9" s="148">
        <v>1</v>
      </c>
      <c r="CT9" s="140">
        <v>0</v>
      </c>
      <c r="CU9" s="140">
        <v>0</v>
      </c>
      <c r="CV9" s="148">
        <f t="shared" si="49"/>
        <v>3</v>
      </c>
      <c r="CW9" s="140"/>
      <c r="CX9" s="140">
        <f t="shared" si="50"/>
        <v>0</v>
      </c>
      <c r="CY9" s="140">
        <f t="shared" si="14"/>
        <v>0</v>
      </c>
      <c r="CZ9" s="165">
        <f t="shared" si="15"/>
        <v>0.16666666666666663</v>
      </c>
      <c r="DA9" s="164">
        <f t="shared" si="16"/>
        <v>66.666666666666671</v>
      </c>
      <c r="DB9" s="141"/>
      <c r="DC9" s="141"/>
      <c r="DD9" s="77">
        <f t="shared" si="51"/>
        <v>1.0000000000000002</v>
      </c>
      <c r="DE9" s="37">
        <f t="shared" si="52"/>
        <v>0.5</v>
      </c>
      <c r="DF9" s="37">
        <f t="shared" si="53"/>
        <v>0.5</v>
      </c>
      <c r="DG9" s="37">
        <f t="shared" si="54"/>
        <v>0.75</v>
      </c>
      <c r="DH9" s="37">
        <f t="shared" si="17"/>
        <v>0</v>
      </c>
      <c r="DI9" s="37">
        <f t="shared" si="18"/>
        <v>0</v>
      </c>
      <c r="DJ9" s="37">
        <f t="shared" si="19"/>
        <v>0</v>
      </c>
      <c r="DK9" s="37">
        <f t="shared" si="20"/>
        <v>0.16666666666666663</v>
      </c>
      <c r="DL9" s="37">
        <f t="shared" si="21"/>
        <v>0.49999999999999989</v>
      </c>
      <c r="DM9" s="37">
        <f t="shared" si="22"/>
        <v>0.16666666666666663</v>
      </c>
      <c r="DN9" s="37">
        <f t="shared" si="55"/>
        <v>0</v>
      </c>
      <c r="DO9" s="37" t="str">
        <f t="shared" si="56"/>
        <v>0</v>
      </c>
      <c r="DP9" s="66">
        <f t="shared" si="57"/>
        <v>0</v>
      </c>
      <c r="DQ9" s="78">
        <f t="shared" si="58"/>
        <v>0</v>
      </c>
      <c r="DR9" s="6"/>
      <c r="DS9" s="36"/>
      <c r="DT9" s="75">
        <f t="shared" si="59"/>
        <v>75.729149797570841</v>
      </c>
      <c r="DU9" s="18" t="str">
        <f t="shared" si="23"/>
        <v>0</v>
      </c>
      <c r="DV9" s="13">
        <f t="shared" si="60"/>
        <v>0.85750000000000004</v>
      </c>
      <c r="DW9" s="14">
        <f t="shared" si="24"/>
        <v>0.37999999999999995</v>
      </c>
      <c r="DX9" s="14">
        <f t="shared" si="25"/>
        <v>0.25</v>
      </c>
      <c r="DY9" s="14" t="str">
        <f t="shared" si="61"/>
        <v>0</v>
      </c>
      <c r="DZ9" s="15" t="str">
        <f t="shared" si="26"/>
        <v>0</v>
      </c>
      <c r="EA9" s="14" t="str">
        <f t="shared" si="62"/>
        <v>0</v>
      </c>
      <c r="EB9" s="14">
        <f t="shared" si="27"/>
        <v>0</v>
      </c>
      <c r="EC9" s="14">
        <f t="shared" si="28"/>
        <v>0</v>
      </c>
      <c r="ED9" s="14">
        <f t="shared" si="63"/>
        <v>0</v>
      </c>
      <c r="EE9" s="19">
        <f t="shared" si="64"/>
        <v>1</v>
      </c>
      <c r="EF9" s="67" t="str">
        <f t="shared" si="65"/>
        <v>0</v>
      </c>
      <c r="EG9" s="74">
        <f t="shared" si="66"/>
        <v>1</v>
      </c>
      <c r="EH9" s="27" t="str">
        <f t="shared" si="67"/>
        <v>0</v>
      </c>
      <c r="EI9" s="25">
        <f t="shared" si="68"/>
        <v>2.5725000000000002</v>
      </c>
      <c r="EJ9" s="25">
        <f t="shared" si="69"/>
        <v>0.625</v>
      </c>
      <c r="EK9" s="26" t="str">
        <f t="shared" si="29"/>
        <v>0</v>
      </c>
      <c r="EL9" s="29">
        <f t="shared" si="70"/>
        <v>1</v>
      </c>
      <c r="EM9" s="30">
        <f t="shared" si="30"/>
        <v>0</v>
      </c>
      <c r="EN9" s="30">
        <f t="shared" si="31"/>
        <v>0.33333333333333331</v>
      </c>
      <c r="EO9" s="31">
        <f t="shared" si="71"/>
        <v>1</v>
      </c>
      <c r="EP9" s="31" t="str">
        <f t="shared" si="32"/>
        <v>0</v>
      </c>
      <c r="EQ9" s="31">
        <f t="shared" si="72"/>
        <v>1</v>
      </c>
      <c r="ER9" s="93">
        <f t="shared" si="33"/>
        <v>0.83333333333333337</v>
      </c>
      <c r="ES9" s="109">
        <f t="shared" si="34"/>
        <v>83.333333333333343</v>
      </c>
      <c r="ET9" s="32" t="str">
        <f t="shared" si="35"/>
        <v>0</v>
      </c>
      <c r="EV9" s="277"/>
      <c r="EW9" s="278"/>
      <c r="EX9" s="37">
        <f t="shared" si="81"/>
        <v>0</v>
      </c>
      <c r="EY9" s="72">
        <f t="shared" si="73"/>
        <v>0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2.4700000000000002</v>
      </c>
      <c r="FG9" s="144">
        <f t="shared" si="36"/>
        <v>1</v>
      </c>
      <c r="FH9" s="484" t="s">
        <v>52</v>
      </c>
      <c r="FI9" s="145">
        <f t="shared" si="74"/>
        <v>2</v>
      </c>
      <c r="FJ9" s="194">
        <f t="shared" si="75"/>
        <v>0.5</v>
      </c>
      <c r="FK9" s="110">
        <f t="shared" si="37"/>
        <v>1</v>
      </c>
      <c r="FL9" s="484" t="s">
        <v>52</v>
      </c>
      <c r="FM9" s="168">
        <f t="shared" si="38"/>
        <v>2</v>
      </c>
      <c r="FN9" s="194">
        <f t="shared" si="76"/>
        <v>0.5</v>
      </c>
      <c r="FO9" s="262">
        <f t="shared" si="77"/>
        <v>0</v>
      </c>
      <c r="FP9" s="484" t="s">
        <v>52</v>
      </c>
      <c r="FQ9" s="274">
        <f t="shared" si="78"/>
        <v>0</v>
      </c>
      <c r="FR9" s="197" t="str">
        <f t="shared" si="79"/>
        <v>0</v>
      </c>
      <c r="FS9" s="140">
        <f t="shared" si="39"/>
        <v>0</v>
      </c>
      <c r="FT9" s="140">
        <f t="shared" si="39"/>
        <v>0</v>
      </c>
      <c r="FU9" s="140">
        <f t="shared" si="40"/>
        <v>0</v>
      </c>
      <c r="FV9" s="175">
        <f t="shared" si="40"/>
        <v>1</v>
      </c>
      <c r="FW9" s="140">
        <f t="shared" si="40"/>
        <v>0</v>
      </c>
      <c r="FX9" s="140">
        <f t="shared" si="40"/>
        <v>0</v>
      </c>
      <c r="FY9" s="140">
        <f t="shared" si="40"/>
        <v>0</v>
      </c>
      <c r="FZ9" s="140">
        <f t="shared" si="40"/>
        <v>1</v>
      </c>
      <c r="GA9" s="140">
        <f t="shared" si="40"/>
        <v>0</v>
      </c>
      <c r="GB9" s="140">
        <f t="shared" si="40"/>
        <v>0</v>
      </c>
      <c r="GC9" s="175">
        <f t="shared" si="40"/>
        <v>3</v>
      </c>
      <c r="GD9" s="202">
        <f t="shared" si="80"/>
        <v>0</v>
      </c>
      <c r="GE9" s="140">
        <f t="shared" si="80"/>
        <v>0</v>
      </c>
      <c r="GF9" s="140">
        <f t="shared" si="80"/>
        <v>0.16666666666666663</v>
      </c>
      <c r="GG9" s="259">
        <f t="shared" si="80"/>
        <v>66.666666666666671</v>
      </c>
      <c r="GH9" s="140"/>
      <c r="GJ9" s="82"/>
      <c r="GK9" s="24"/>
      <c r="GL9" s="185" t="e">
        <f>(CQ9/CQ35)*(EY36-EX36)</f>
        <v>#DIV/0!</v>
      </c>
      <c r="GM9" s="185">
        <f>((E36/G36)*(1-(CJ36/(CJ36+CK35))))/((E36/G36)*(1-(CJ36/(CJ36+CK35)))+((1-(E36/G36)))*(CJ36/(CJ36+CK35)))</f>
        <v>1</v>
      </c>
      <c r="GN9" s="24" t="e">
        <f>GK9+(GL9/10)+(GJ9*GM9*(1-(CJ36/(CJ36+CK35))))+(CK9*(1-GM9))</f>
        <v>#DIV/0!</v>
      </c>
      <c r="GO9" s="213" t="e">
        <f>GN9/(DD9*EG36)</f>
        <v>#DIV/0!</v>
      </c>
    </row>
    <row r="10" spans="1:197" x14ac:dyDescent="0.2">
      <c r="A10" s="139"/>
      <c r="B10" s="493" t="s">
        <v>117</v>
      </c>
      <c r="C10" s="494" t="s">
        <v>210</v>
      </c>
      <c r="D10" s="483">
        <v>2.4700000000000002</v>
      </c>
      <c r="E10" s="114">
        <f t="shared" si="0"/>
        <v>0</v>
      </c>
      <c r="F10" s="484" t="s">
        <v>52</v>
      </c>
      <c r="G10" s="115">
        <f t="shared" si="1"/>
        <v>0</v>
      </c>
      <c r="H10" s="116" t="s">
        <v>53</v>
      </c>
      <c r="I10" s="484">
        <f t="shared" si="41"/>
        <v>0</v>
      </c>
      <c r="J10" s="115" t="s">
        <v>54</v>
      </c>
      <c r="K10" s="116">
        <f t="shared" si="2"/>
        <v>0</v>
      </c>
      <c r="L10" s="484" t="s">
        <v>52</v>
      </c>
      <c r="M10" s="115">
        <f t="shared" si="3"/>
        <v>0</v>
      </c>
      <c r="N10" s="116" t="s">
        <v>53</v>
      </c>
      <c r="O10" s="484">
        <f t="shared" si="4"/>
        <v>0</v>
      </c>
      <c r="P10" s="115" t="s">
        <v>54</v>
      </c>
      <c r="Q10" s="116">
        <f t="shared" si="5"/>
        <v>0</v>
      </c>
      <c r="R10" s="484" t="s">
        <v>52</v>
      </c>
      <c r="S10" s="115">
        <f t="shared" si="42"/>
        <v>0</v>
      </c>
      <c r="T10" s="116" t="s">
        <v>53</v>
      </c>
      <c r="U10" s="484">
        <f t="shared" si="6"/>
        <v>0</v>
      </c>
      <c r="V10" s="115" t="s">
        <v>54</v>
      </c>
      <c r="W10" s="116">
        <f t="shared" si="7"/>
        <v>0</v>
      </c>
      <c r="X10" s="484" t="s">
        <v>52</v>
      </c>
      <c r="Y10" s="115">
        <f t="shared" si="8"/>
        <v>0</v>
      </c>
      <c r="Z10" s="116" t="s">
        <v>53</v>
      </c>
      <c r="AA10" s="484">
        <f t="shared" si="9"/>
        <v>0</v>
      </c>
      <c r="AB10" s="115" t="s">
        <v>54</v>
      </c>
      <c r="AC10" s="116">
        <f t="shared" si="43"/>
        <v>0</v>
      </c>
      <c r="AD10" s="484" t="s">
        <v>52</v>
      </c>
      <c r="AE10" s="117">
        <f t="shared" si="44"/>
        <v>0</v>
      </c>
      <c r="AF10" s="485"/>
      <c r="AG10" s="114">
        <f t="shared" si="45"/>
        <v>0</v>
      </c>
      <c r="AH10" s="484" t="s">
        <v>52</v>
      </c>
      <c r="AI10" s="115">
        <f t="shared" si="10"/>
        <v>0</v>
      </c>
      <c r="AJ10" s="116" t="s">
        <v>53</v>
      </c>
      <c r="AK10" s="484">
        <f t="shared" si="11"/>
        <v>0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0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0</v>
      </c>
      <c r="BB10" s="246" t="s">
        <v>53</v>
      </c>
      <c r="BC10" s="244">
        <v>0</v>
      </c>
      <c r="BD10" s="245" t="s">
        <v>54</v>
      </c>
      <c r="BE10" s="116">
        <v>0</v>
      </c>
      <c r="BF10" s="484" t="s">
        <v>52</v>
      </c>
      <c r="BG10" s="117">
        <v>0</v>
      </c>
      <c r="BH10" s="115"/>
      <c r="BI10" s="114">
        <f t="shared" si="12"/>
        <v>0</v>
      </c>
      <c r="BJ10" s="484" t="s">
        <v>52</v>
      </c>
      <c r="BK10" s="115">
        <f t="shared" si="46"/>
        <v>0</v>
      </c>
      <c r="BL10" s="116" t="s">
        <v>53</v>
      </c>
      <c r="BM10" s="484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84" t="s">
        <v>52</v>
      </c>
      <c r="CI10" s="117">
        <v>0</v>
      </c>
      <c r="CJ10" s="140">
        <v>0</v>
      </c>
      <c r="CK10" s="148">
        <f t="shared" si="47"/>
        <v>1</v>
      </c>
      <c r="CL10" s="148">
        <v>0</v>
      </c>
      <c r="CM10" s="148">
        <v>1</v>
      </c>
      <c r="CN10" s="148">
        <f t="shared" si="48"/>
        <v>1</v>
      </c>
      <c r="CO10" s="175">
        <v>0</v>
      </c>
      <c r="CP10" s="140">
        <v>1</v>
      </c>
      <c r="CQ10" s="175">
        <v>0</v>
      </c>
      <c r="CR10" s="148">
        <v>0</v>
      </c>
      <c r="CS10" s="148">
        <v>0</v>
      </c>
      <c r="CT10" s="140">
        <v>0</v>
      </c>
      <c r="CU10" s="140">
        <v>0</v>
      </c>
      <c r="CV10" s="148">
        <f t="shared" si="49"/>
        <v>0</v>
      </c>
      <c r="CW10" s="140"/>
      <c r="CX10" s="140" t="str">
        <f t="shared" si="50"/>
        <v>0</v>
      </c>
      <c r="CY10" s="140" t="str">
        <f t="shared" si="14"/>
        <v>0</v>
      </c>
      <c r="CZ10" s="165">
        <f t="shared" si="15"/>
        <v>0</v>
      </c>
      <c r="DA10" s="164">
        <f t="shared" si="16"/>
        <v>66.666666666666671</v>
      </c>
      <c r="DB10" s="141"/>
      <c r="DC10" s="141"/>
      <c r="DD10" s="77">
        <f t="shared" si="51"/>
        <v>1.0000000000000002</v>
      </c>
      <c r="DE10" s="37" t="str">
        <f t="shared" si="52"/>
        <v>0</v>
      </c>
      <c r="DF10" s="37" t="str">
        <f t="shared" si="53"/>
        <v>0</v>
      </c>
      <c r="DG10" s="37" t="str">
        <f t="shared" si="54"/>
        <v>0</v>
      </c>
      <c r="DH10" s="37">
        <f t="shared" si="17"/>
        <v>0</v>
      </c>
      <c r="DI10" s="37">
        <f t="shared" si="18"/>
        <v>0.19999999999999996</v>
      </c>
      <c r="DJ10" s="37">
        <f t="shared" si="19"/>
        <v>0</v>
      </c>
      <c r="DK10" s="37">
        <f t="shared" si="20"/>
        <v>0</v>
      </c>
      <c r="DL10" s="37">
        <f t="shared" si="21"/>
        <v>0</v>
      </c>
      <c r="DM10" s="37">
        <f t="shared" si="22"/>
        <v>0.16666666666666663</v>
      </c>
      <c r="DN10" s="37" t="str">
        <f t="shared" si="55"/>
        <v>0</v>
      </c>
      <c r="DO10" s="37" t="str">
        <f t="shared" si="56"/>
        <v>0</v>
      </c>
      <c r="DP10" s="66">
        <f t="shared" si="57"/>
        <v>0</v>
      </c>
      <c r="DQ10" s="78">
        <f t="shared" si="58"/>
        <v>0</v>
      </c>
      <c r="DR10" s="6"/>
      <c r="DS10" s="36"/>
      <c r="DT10" s="75">
        <f t="shared" si="59"/>
        <v>5.9542510121457495</v>
      </c>
      <c r="DU10" s="18" t="str">
        <f t="shared" si="23"/>
        <v>0</v>
      </c>
      <c r="DV10" s="13" t="str">
        <f t="shared" si="60"/>
        <v>0</v>
      </c>
      <c r="DW10" s="14">
        <f t="shared" si="24"/>
        <v>0.7599999999999999</v>
      </c>
      <c r="DX10" s="14">
        <f t="shared" si="25"/>
        <v>0</v>
      </c>
      <c r="DY10" s="14" t="str">
        <f t="shared" si="61"/>
        <v>0</v>
      </c>
      <c r="DZ10" s="15" t="str">
        <f t="shared" si="26"/>
        <v>0</v>
      </c>
      <c r="EA10" s="14" t="str">
        <f t="shared" si="62"/>
        <v>0</v>
      </c>
      <c r="EB10" s="14">
        <f t="shared" si="27"/>
        <v>0</v>
      </c>
      <c r="EC10" s="14">
        <f t="shared" si="28"/>
        <v>0</v>
      </c>
      <c r="ED10" s="14">
        <f t="shared" si="63"/>
        <v>0</v>
      </c>
      <c r="EE10" s="19">
        <f t="shared" si="64"/>
        <v>0</v>
      </c>
      <c r="EF10" s="67" t="str">
        <f t="shared" si="65"/>
        <v>0</v>
      </c>
      <c r="EG10" s="74">
        <f t="shared" si="66"/>
        <v>0</v>
      </c>
      <c r="EH10" s="27" t="str">
        <f t="shared" si="67"/>
        <v>0</v>
      </c>
      <c r="EI10" s="25" t="str">
        <f t="shared" si="68"/>
        <v>0</v>
      </c>
      <c r="EJ10" s="25">
        <f t="shared" si="69"/>
        <v>0</v>
      </c>
      <c r="EK10" s="26" t="str">
        <f t="shared" si="29"/>
        <v>0</v>
      </c>
      <c r="EL10" s="29">
        <f t="shared" si="70"/>
        <v>1</v>
      </c>
      <c r="EM10" s="30">
        <f t="shared" si="30"/>
        <v>0</v>
      </c>
      <c r="EN10" s="30">
        <f t="shared" si="31"/>
        <v>0.33333333333333331</v>
      </c>
      <c r="EO10" s="31">
        <f t="shared" si="71"/>
        <v>0</v>
      </c>
      <c r="EP10" s="31" t="str">
        <f t="shared" si="32"/>
        <v>0</v>
      </c>
      <c r="EQ10" s="31">
        <f t="shared" si="72"/>
        <v>0</v>
      </c>
      <c r="ER10" s="93">
        <f t="shared" si="33"/>
        <v>0</v>
      </c>
      <c r="ES10" s="109">
        <f t="shared" si="34"/>
        <v>83.333333333333343</v>
      </c>
      <c r="ET10" s="32" t="str">
        <f t="shared" si="35"/>
        <v>0</v>
      </c>
      <c r="EV10" s="277"/>
      <c r="EW10" s="278"/>
      <c r="EX10" s="37">
        <f t="shared" si="81"/>
        <v>0</v>
      </c>
      <c r="EY10" s="72">
        <f t="shared" si="73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2.4700000000000002</v>
      </c>
      <c r="FG10" s="182">
        <f t="shared" si="36"/>
        <v>0</v>
      </c>
      <c r="FH10" s="183" t="s">
        <v>52</v>
      </c>
      <c r="FI10" s="184">
        <f t="shared" si="74"/>
        <v>0</v>
      </c>
      <c r="FJ10" s="193" t="str">
        <f t="shared" si="75"/>
        <v>0</v>
      </c>
      <c r="FK10" s="185">
        <f t="shared" si="37"/>
        <v>0</v>
      </c>
      <c r="FL10" s="183" t="s">
        <v>52</v>
      </c>
      <c r="FM10" s="186">
        <f t="shared" si="38"/>
        <v>0</v>
      </c>
      <c r="FN10" s="193" t="str">
        <f t="shared" si="76"/>
        <v>0</v>
      </c>
      <c r="FO10" s="261">
        <f t="shared" si="77"/>
        <v>0</v>
      </c>
      <c r="FP10" s="183" t="s">
        <v>52</v>
      </c>
      <c r="FQ10" s="268">
        <f t="shared" si="78"/>
        <v>0</v>
      </c>
      <c r="FR10" s="196" t="str">
        <f t="shared" si="79"/>
        <v>0</v>
      </c>
      <c r="FS10" s="179">
        <f t="shared" si="39"/>
        <v>0</v>
      </c>
      <c r="FT10" s="179">
        <f t="shared" si="39"/>
        <v>1</v>
      </c>
      <c r="FU10" s="179">
        <f t="shared" si="40"/>
        <v>1</v>
      </c>
      <c r="FV10" s="187">
        <f t="shared" si="40"/>
        <v>0</v>
      </c>
      <c r="FW10" s="179">
        <f t="shared" si="40"/>
        <v>1</v>
      </c>
      <c r="FX10" s="179">
        <f t="shared" si="40"/>
        <v>0</v>
      </c>
      <c r="FY10" s="179">
        <f t="shared" si="40"/>
        <v>0</v>
      </c>
      <c r="FZ10" s="179">
        <f t="shared" si="40"/>
        <v>0</v>
      </c>
      <c r="GA10" s="179">
        <f t="shared" si="40"/>
        <v>0</v>
      </c>
      <c r="GB10" s="179">
        <f t="shared" si="40"/>
        <v>0</v>
      </c>
      <c r="GC10" s="187">
        <f t="shared" si="40"/>
        <v>0</v>
      </c>
      <c r="GD10" s="203" t="str">
        <f t="shared" si="80"/>
        <v>0</v>
      </c>
      <c r="GE10" s="179" t="str">
        <f t="shared" si="80"/>
        <v>0</v>
      </c>
      <c r="GF10" s="179">
        <f t="shared" si="80"/>
        <v>0</v>
      </c>
      <c r="GG10" s="258">
        <f t="shared" si="80"/>
        <v>66.666666666666671</v>
      </c>
      <c r="GH10" s="179"/>
      <c r="GJ10" s="82"/>
      <c r="GK10" s="24"/>
      <c r="GL10" s="185" t="e">
        <f>(CQ10/CQ37)*(EY38-EX38)</f>
        <v>#DIV/0!</v>
      </c>
      <c r="GM10" s="185">
        <f>((E38/G38)*(1-(CJ38/(CJ38+CK37))))/((E38/G38)*(1-(CJ38/(CJ38+CK37)))+((1-(E38/G38)))*(CJ38/(CJ38+CK37)))</f>
        <v>1</v>
      </c>
      <c r="GN10" s="24" t="e">
        <f>GK10+(GL10/10)+(GJ10*GM10*(1-(CJ38/(CJ38+CK37))))+(CK10*(1-GM10))</f>
        <v>#DIV/0!</v>
      </c>
      <c r="GO10" s="213" t="e">
        <f>GN10/(DD10*EG38)</f>
        <v>#DIV/0!</v>
      </c>
    </row>
    <row r="11" spans="1:197" x14ac:dyDescent="0.2">
      <c r="A11" s="139"/>
      <c r="B11" s="483" t="s">
        <v>82</v>
      </c>
      <c r="C11" s="492" t="s">
        <v>211</v>
      </c>
      <c r="D11" s="483">
        <v>0</v>
      </c>
      <c r="E11" s="114">
        <f t="shared" si="0"/>
        <v>0</v>
      </c>
      <c r="F11" s="484" t="s">
        <v>52</v>
      </c>
      <c r="G11" s="115">
        <f t="shared" si="1"/>
        <v>0</v>
      </c>
      <c r="H11" s="116" t="s">
        <v>53</v>
      </c>
      <c r="I11" s="484">
        <f t="shared" si="41"/>
        <v>0</v>
      </c>
      <c r="J11" s="115" t="s">
        <v>54</v>
      </c>
      <c r="K11" s="116">
        <f t="shared" si="2"/>
        <v>0</v>
      </c>
      <c r="L11" s="484" t="s">
        <v>52</v>
      </c>
      <c r="M11" s="115">
        <f t="shared" si="3"/>
        <v>0</v>
      </c>
      <c r="N11" s="116" t="s">
        <v>53</v>
      </c>
      <c r="O11" s="484">
        <f t="shared" si="4"/>
        <v>0</v>
      </c>
      <c r="P11" s="115" t="s">
        <v>54</v>
      </c>
      <c r="Q11" s="116">
        <f t="shared" si="5"/>
        <v>0</v>
      </c>
      <c r="R11" s="484" t="s">
        <v>52</v>
      </c>
      <c r="S11" s="115">
        <f t="shared" si="42"/>
        <v>0</v>
      </c>
      <c r="T11" s="116" t="s">
        <v>53</v>
      </c>
      <c r="U11" s="484">
        <f t="shared" si="6"/>
        <v>0</v>
      </c>
      <c r="V11" s="115" t="s">
        <v>54</v>
      </c>
      <c r="W11" s="116">
        <f t="shared" si="7"/>
        <v>0</v>
      </c>
      <c r="X11" s="484" t="s">
        <v>52</v>
      </c>
      <c r="Y11" s="115">
        <f t="shared" si="8"/>
        <v>0</v>
      </c>
      <c r="Z11" s="116" t="s">
        <v>53</v>
      </c>
      <c r="AA11" s="484">
        <f t="shared" si="9"/>
        <v>0</v>
      </c>
      <c r="AB11" s="115" t="s">
        <v>54</v>
      </c>
      <c r="AC11" s="116">
        <f t="shared" si="43"/>
        <v>0</v>
      </c>
      <c r="AD11" s="484" t="s">
        <v>52</v>
      </c>
      <c r="AE11" s="117">
        <f t="shared" si="44"/>
        <v>0</v>
      </c>
      <c r="AF11" s="485"/>
      <c r="AG11" s="114">
        <f t="shared" si="45"/>
        <v>0</v>
      </c>
      <c r="AH11" s="484" t="s">
        <v>52</v>
      </c>
      <c r="AI11" s="115">
        <f t="shared" si="10"/>
        <v>0</v>
      </c>
      <c r="AJ11" s="116" t="s">
        <v>53</v>
      </c>
      <c r="AK11" s="484">
        <f t="shared" si="11"/>
        <v>0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0</v>
      </c>
      <c r="BB11" s="246" t="s">
        <v>53</v>
      </c>
      <c r="BC11" s="244">
        <v>0</v>
      </c>
      <c r="BD11" s="245" t="s">
        <v>54</v>
      </c>
      <c r="BE11" s="116">
        <v>0</v>
      </c>
      <c r="BF11" s="484" t="s">
        <v>52</v>
      </c>
      <c r="BG11" s="117">
        <v>0</v>
      </c>
      <c r="BH11" s="115"/>
      <c r="BI11" s="114">
        <f t="shared" si="12"/>
        <v>0</v>
      </c>
      <c r="BJ11" s="484" t="s">
        <v>52</v>
      </c>
      <c r="BK11" s="115">
        <f t="shared" si="46"/>
        <v>0</v>
      </c>
      <c r="BL11" s="116" t="s">
        <v>53</v>
      </c>
      <c r="BM11" s="484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0</v>
      </c>
      <c r="CB11" s="244" t="s">
        <v>52</v>
      </c>
      <c r="CC11" s="245">
        <v>0</v>
      </c>
      <c r="CD11" s="246" t="s">
        <v>53</v>
      </c>
      <c r="CE11" s="244">
        <v>0</v>
      </c>
      <c r="CF11" s="245" t="s">
        <v>54</v>
      </c>
      <c r="CG11" s="116">
        <v>0</v>
      </c>
      <c r="CH11" s="484" t="s">
        <v>52</v>
      </c>
      <c r="CI11" s="117">
        <v>0</v>
      </c>
      <c r="CJ11" s="140">
        <v>0</v>
      </c>
      <c r="CK11" s="148">
        <f t="shared" si="47"/>
        <v>0</v>
      </c>
      <c r="CL11" s="148">
        <v>0</v>
      </c>
      <c r="CM11" s="148">
        <v>0</v>
      </c>
      <c r="CN11" s="148">
        <f t="shared" si="48"/>
        <v>0</v>
      </c>
      <c r="CO11" s="175">
        <v>0</v>
      </c>
      <c r="CP11" s="140">
        <v>0</v>
      </c>
      <c r="CQ11" s="175">
        <v>0</v>
      </c>
      <c r="CR11" s="148">
        <v>0</v>
      </c>
      <c r="CS11" s="148">
        <v>0</v>
      </c>
      <c r="CT11" s="140">
        <v>0</v>
      </c>
      <c r="CU11" s="140">
        <v>0</v>
      </c>
      <c r="CV11" s="148">
        <f t="shared" si="49"/>
        <v>0</v>
      </c>
      <c r="CW11" s="140"/>
      <c r="CX11" s="140" t="str">
        <f t="shared" si="50"/>
        <v>0</v>
      </c>
      <c r="CY11" s="140" t="str">
        <f t="shared" si="14"/>
        <v>0</v>
      </c>
      <c r="CZ11" s="165" t="str">
        <f t="shared" si="15"/>
        <v>0</v>
      </c>
      <c r="DA11" s="164">
        <f t="shared" si="16"/>
        <v>106.66666666666666</v>
      </c>
      <c r="DB11" s="141"/>
      <c r="DC11" s="141"/>
      <c r="DD11" s="77">
        <f t="shared" si="51"/>
        <v>0</v>
      </c>
      <c r="DE11" s="37" t="str">
        <f t="shared" si="52"/>
        <v>0</v>
      </c>
      <c r="DF11" s="37" t="str">
        <f t="shared" si="53"/>
        <v>0</v>
      </c>
      <c r="DG11" s="37" t="str">
        <f t="shared" si="54"/>
        <v>0</v>
      </c>
      <c r="DH11" s="37" t="str">
        <f t="shared" si="17"/>
        <v>0</v>
      </c>
      <c r="DI11" s="37" t="str">
        <f t="shared" si="18"/>
        <v>0</v>
      </c>
      <c r="DJ11" s="37" t="str">
        <f t="shared" si="19"/>
        <v>0</v>
      </c>
      <c r="DK11" s="37" t="str">
        <f t="shared" si="20"/>
        <v>0</v>
      </c>
      <c r="DL11" s="37" t="str">
        <f t="shared" si="21"/>
        <v>0</v>
      </c>
      <c r="DM11" s="37" t="str">
        <f t="shared" si="22"/>
        <v>0</v>
      </c>
      <c r="DN11" s="37" t="str">
        <f t="shared" si="55"/>
        <v>0</v>
      </c>
      <c r="DO11" s="37" t="str">
        <f t="shared" si="56"/>
        <v>0</v>
      </c>
      <c r="DP11" s="66" t="str">
        <f t="shared" si="57"/>
        <v>0</v>
      </c>
      <c r="DQ11" s="78" t="str">
        <f t="shared" si="58"/>
        <v>0</v>
      </c>
      <c r="DR11" s="6"/>
      <c r="DS11" s="36"/>
      <c r="DT11" s="75" t="str">
        <f t="shared" si="59"/>
        <v>0</v>
      </c>
      <c r="DU11" s="18" t="str">
        <f t="shared" si="23"/>
        <v>0</v>
      </c>
      <c r="DV11" s="13" t="str">
        <f t="shared" si="60"/>
        <v>0</v>
      </c>
      <c r="DW11" s="14" t="str">
        <f t="shared" si="24"/>
        <v>0</v>
      </c>
      <c r="DX11" s="14">
        <f t="shared" si="25"/>
        <v>0</v>
      </c>
      <c r="DY11" s="14" t="str">
        <f t="shared" si="61"/>
        <v>0</v>
      </c>
      <c r="DZ11" s="15" t="str">
        <f t="shared" si="26"/>
        <v>0</v>
      </c>
      <c r="EA11" s="14" t="str">
        <f t="shared" si="62"/>
        <v>0</v>
      </c>
      <c r="EB11" s="14">
        <f t="shared" si="27"/>
        <v>0</v>
      </c>
      <c r="EC11" s="14">
        <f t="shared" si="28"/>
        <v>0</v>
      </c>
      <c r="ED11" s="14">
        <f t="shared" si="63"/>
        <v>0</v>
      </c>
      <c r="EE11" s="19">
        <f t="shared" si="64"/>
        <v>0</v>
      </c>
      <c r="EF11" s="67" t="str">
        <f t="shared" si="65"/>
        <v>0</v>
      </c>
      <c r="EG11" s="74">
        <f t="shared" si="66"/>
        <v>0</v>
      </c>
      <c r="EH11" s="27" t="str">
        <f t="shared" si="67"/>
        <v>0</v>
      </c>
      <c r="EI11" s="25" t="str">
        <f t="shared" si="68"/>
        <v>0</v>
      </c>
      <c r="EJ11" s="25">
        <f t="shared" si="69"/>
        <v>0</v>
      </c>
      <c r="EK11" s="26" t="str">
        <f t="shared" si="29"/>
        <v>0</v>
      </c>
      <c r="EL11" s="29">
        <f t="shared" si="70"/>
        <v>1</v>
      </c>
      <c r="EM11" s="30">
        <f t="shared" si="30"/>
        <v>0</v>
      </c>
      <c r="EN11" s="30">
        <f t="shared" si="31"/>
        <v>0.42857142857142855</v>
      </c>
      <c r="EO11" s="31">
        <f t="shared" si="71"/>
        <v>0</v>
      </c>
      <c r="EP11" s="31" t="str">
        <f t="shared" si="32"/>
        <v>0</v>
      </c>
      <c r="EQ11" s="31">
        <f t="shared" si="72"/>
        <v>0</v>
      </c>
      <c r="ER11" s="93" t="str">
        <f t="shared" si="33"/>
        <v>0</v>
      </c>
      <c r="ES11" s="109">
        <f t="shared" si="34"/>
        <v>133.33333333333331</v>
      </c>
      <c r="ET11" s="32" t="str">
        <f t="shared" si="35"/>
        <v>0</v>
      </c>
      <c r="EV11" s="277"/>
      <c r="EW11" s="278"/>
      <c r="EX11" s="37">
        <f t="shared" si="81"/>
        <v>0</v>
      </c>
      <c r="EY11" s="72">
        <f t="shared" si="73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0</v>
      </c>
      <c r="FG11" s="144">
        <f t="shared" si="36"/>
        <v>0</v>
      </c>
      <c r="FH11" s="484" t="s">
        <v>52</v>
      </c>
      <c r="FI11" s="145">
        <f t="shared" si="74"/>
        <v>0</v>
      </c>
      <c r="FJ11" s="194" t="str">
        <f t="shared" si="75"/>
        <v>0</v>
      </c>
      <c r="FK11" s="110">
        <f t="shared" si="37"/>
        <v>0</v>
      </c>
      <c r="FL11" s="484" t="s">
        <v>52</v>
      </c>
      <c r="FM11" s="168">
        <f t="shared" si="38"/>
        <v>0</v>
      </c>
      <c r="FN11" s="194" t="str">
        <f t="shared" si="76"/>
        <v>0</v>
      </c>
      <c r="FO11" s="262">
        <f t="shared" si="77"/>
        <v>0</v>
      </c>
      <c r="FP11" s="484" t="s">
        <v>52</v>
      </c>
      <c r="FQ11" s="274">
        <f t="shared" si="78"/>
        <v>0</v>
      </c>
      <c r="FR11" s="197" t="str">
        <f t="shared" si="79"/>
        <v>0</v>
      </c>
      <c r="FS11" s="140">
        <f t="shared" si="39"/>
        <v>0</v>
      </c>
      <c r="FT11" s="140">
        <f t="shared" si="39"/>
        <v>0</v>
      </c>
      <c r="FU11" s="140">
        <f t="shared" si="40"/>
        <v>0</v>
      </c>
      <c r="FV11" s="175">
        <f t="shared" si="40"/>
        <v>0</v>
      </c>
      <c r="FW11" s="140">
        <f t="shared" si="40"/>
        <v>0</v>
      </c>
      <c r="FX11" s="140">
        <f t="shared" si="40"/>
        <v>0</v>
      </c>
      <c r="FY11" s="140">
        <f t="shared" si="40"/>
        <v>0</v>
      </c>
      <c r="FZ11" s="140">
        <f t="shared" si="40"/>
        <v>0</v>
      </c>
      <c r="GA11" s="140">
        <f t="shared" si="40"/>
        <v>0</v>
      </c>
      <c r="GB11" s="140">
        <f t="shared" si="40"/>
        <v>0</v>
      </c>
      <c r="GC11" s="175">
        <f t="shared" si="40"/>
        <v>0</v>
      </c>
      <c r="GD11" s="202" t="str">
        <f t="shared" si="80"/>
        <v>0</v>
      </c>
      <c r="GE11" s="140" t="str">
        <f t="shared" si="80"/>
        <v>0</v>
      </c>
      <c r="GF11" s="140" t="str">
        <f t="shared" si="80"/>
        <v>0</v>
      </c>
      <c r="GG11" s="259">
        <f t="shared" si="80"/>
        <v>106.66666666666666</v>
      </c>
      <c r="GH11" s="140"/>
      <c r="GJ11" s="82"/>
      <c r="GK11" s="24"/>
      <c r="GL11" s="185" t="e">
        <f>(CQ11/CQ39)*(#REF!-#REF!)</f>
        <v>#DIV/0!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#DIV/0!</v>
      </c>
      <c r="GO11" s="213" t="e">
        <f>GN11/(DD11*#REF!)</f>
        <v>#DIV/0!</v>
      </c>
    </row>
    <row r="12" spans="1:197" x14ac:dyDescent="0.2">
      <c r="A12" s="139"/>
      <c r="B12" s="483" t="s">
        <v>82</v>
      </c>
      <c r="C12" s="492" t="s">
        <v>212</v>
      </c>
      <c r="D12" s="483">
        <v>0</v>
      </c>
      <c r="E12" s="114">
        <f t="shared" si="0"/>
        <v>0</v>
      </c>
      <c r="F12" s="484" t="s">
        <v>52</v>
      </c>
      <c r="G12" s="115">
        <f t="shared" si="1"/>
        <v>0</v>
      </c>
      <c r="H12" s="116" t="s">
        <v>53</v>
      </c>
      <c r="I12" s="484">
        <f t="shared" si="41"/>
        <v>0</v>
      </c>
      <c r="J12" s="115" t="s">
        <v>54</v>
      </c>
      <c r="K12" s="116">
        <f t="shared" si="2"/>
        <v>0</v>
      </c>
      <c r="L12" s="484" t="s">
        <v>52</v>
      </c>
      <c r="M12" s="115">
        <f t="shared" si="3"/>
        <v>0</v>
      </c>
      <c r="N12" s="116" t="s">
        <v>53</v>
      </c>
      <c r="O12" s="484">
        <f t="shared" si="4"/>
        <v>0</v>
      </c>
      <c r="P12" s="115" t="s">
        <v>54</v>
      </c>
      <c r="Q12" s="116">
        <f t="shared" si="5"/>
        <v>0</v>
      </c>
      <c r="R12" s="484" t="s">
        <v>52</v>
      </c>
      <c r="S12" s="115">
        <f t="shared" si="42"/>
        <v>0</v>
      </c>
      <c r="T12" s="116" t="s">
        <v>53</v>
      </c>
      <c r="U12" s="484">
        <f t="shared" si="6"/>
        <v>0</v>
      </c>
      <c r="V12" s="115" t="s">
        <v>54</v>
      </c>
      <c r="W12" s="116">
        <f t="shared" si="7"/>
        <v>0</v>
      </c>
      <c r="X12" s="484" t="s">
        <v>52</v>
      </c>
      <c r="Y12" s="115">
        <f t="shared" si="8"/>
        <v>0</v>
      </c>
      <c r="Z12" s="116" t="s">
        <v>53</v>
      </c>
      <c r="AA12" s="484">
        <f t="shared" si="9"/>
        <v>0</v>
      </c>
      <c r="AB12" s="115" t="s">
        <v>54</v>
      </c>
      <c r="AC12" s="116">
        <f t="shared" si="43"/>
        <v>0</v>
      </c>
      <c r="AD12" s="484" t="s">
        <v>52</v>
      </c>
      <c r="AE12" s="117">
        <f t="shared" si="44"/>
        <v>0</v>
      </c>
      <c r="AF12" s="485"/>
      <c r="AG12" s="114">
        <f t="shared" si="45"/>
        <v>0</v>
      </c>
      <c r="AH12" s="484" t="s">
        <v>52</v>
      </c>
      <c r="AI12" s="115">
        <f t="shared" si="10"/>
        <v>0</v>
      </c>
      <c r="AJ12" s="116" t="s">
        <v>53</v>
      </c>
      <c r="AK12" s="484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0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484" t="s">
        <v>52</v>
      </c>
      <c r="BG12" s="117">
        <v>0</v>
      </c>
      <c r="BH12" s="115"/>
      <c r="BI12" s="114">
        <f t="shared" si="12"/>
        <v>0</v>
      </c>
      <c r="BJ12" s="484" t="s">
        <v>52</v>
      </c>
      <c r="BK12" s="115">
        <f t="shared" si="46"/>
        <v>0</v>
      </c>
      <c r="BL12" s="116" t="s">
        <v>53</v>
      </c>
      <c r="BM12" s="484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0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484" t="s">
        <v>52</v>
      </c>
      <c r="CI12" s="117">
        <v>0</v>
      </c>
      <c r="CJ12" s="140">
        <v>0</v>
      </c>
      <c r="CK12" s="148">
        <f t="shared" si="47"/>
        <v>0</v>
      </c>
      <c r="CL12" s="148">
        <v>0</v>
      </c>
      <c r="CM12" s="148">
        <v>0</v>
      </c>
      <c r="CN12" s="148">
        <f t="shared" si="48"/>
        <v>0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49"/>
        <v>0</v>
      </c>
      <c r="CW12" s="140"/>
      <c r="CX12" s="140" t="str">
        <f t="shared" si="50"/>
        <v>0</v>
      </c>
      <c r="CY12" s="140" t="str">
        <f t="shared" si="14"/>
        <v>0</v>
      </c>
      <c r="CZ12" s="165" t="str">
        <f t="shared" si="15"/>
        <v>0</v>
      </c>
      <c r="DA12" s="164">
        <f t="shared" si="16"/>
        <v>106.66666666666666</v>
      </c>
      <c r="DB12" s="141"/>
      <c r="DC12" s="141"/>
      <c r="DD12" s="77">
        <f t="shared" si="51"/>
        <v>0</v>
      </c>
      <c r="DE12" s="37" t="str">
        <f t="shared" si="52"/>
        <v>0</v>
      </c>
      <c r="DF12" s="37" t="str">
        <f t="shared" si="53"/>
        <v>0</v>
      </c>
      <c r="DG12" s="37" t="str">
        <f t="shared" si="54"/>
        <v>0</v>
      </c>
      <c r="DH12" s="37" t="str">
        <f t="shared" si="17"/>
        <v>0</v>
      </c>
      <c r="DI12" s="37" t="str">
        <f t="shared" si="18"/>
        <v>0</v>
      </c>
      <c r="DJ12" s="37" t="str">
        <f t="shared" si="19"/>
        <v>0</v>
      </c>
      <c r="DK12" s="37" t="str">
        <f t="shared" si="20"/>
        <v>0</v>
      </c>
      <c r="DL12" s="37" t="str">
        <f t="shared" si="21"/>
        <v>0</v>
      </c>
      <c r="DM12" s="37" t="str">
        <f t="shared" si="22"/>
        <v>0</v>
      </c>
      <c r="DN12" s="37" t="str">
        <f t="shared" si="55"/>
        <v>0</v>
      </c>
      <c r="DO12" s="37" t="str">
        <f t="shared" si="56"/>
        <v>0</v>
      </c>
      <c r="DP12" s="66" t="str">
        <f t="shared" si="57"/>
        <v>0</v>
      </c>
      <c r="DQ12" s="78" t="str">
        <f t="shared" si="58"/>
        <v>0</v>
      </c>
      <c r="DR12" s="6"/>
      <c r="DS12" s="36"/>
      <c r="DT12" s="75" t="str">
        <f t="shared" si="59"/>
        <v>0</v>
      </c>
      <c r="DU12" s="18" t="str">
        <f t="shared" si="23"/>
        <v>0</v>
      </c>
      <c r="DV12" s="13" t="str">
        <f t="shared" si="60"/>
        <v>0</v>
      </c>
      <c r="DW12" s="14" t="str">
        <f t="shared" si="24"/>
        <v>0</v>
      </c>
      <c r="DX12" s="14">
        <f t="shared" si="25"/>
        <v>0</v>
      </c>
      <c r="DY12" s="14" t="str">
        <f t="shared" si="61"/>
        <v>0</v>
      </c>
      <c r="DZ12" s="15" t="str">
        <f t="shared" si="26"/>
        <v>0</v>
      </c>
      <c r="EA12" s="14" t="str">
        <f t="shared" si="62"/>
        <v>0</v>
      </c>
      <c r="EB12" s="14">
        <f t="shared" si="27"/>
        <v>0</v>
      </c>
      <c r="EC12" s="14">
        <f t="shared" si="28"/>
        <v>0</v>
      </c>
      <c r="ED12" s="14">
        <f t="shared" si="63"/>
        <v>0</v>
      </c>
      <c r="EE12" s="19">
        <f t="shared" si="64"/>
        <v>0</v>
      </c>
      <c r="EF12" s="67" t="str">
        <f t="shared" si="65"/>
        <v>0</v>
      </c>
      <c r="EG12" s="74">
        <f t="shared" si="66"/>
        <v>0</v>
      </c>
      <c r="EH12" s="27" t="str">
        <f t="shared" si="67"/>
        <v>0</v>
      </c>
      <c r="EI12" s="25" t="str">
        <f t="shared" si="68"/>
        <v>0</v>
      </c>
      <c r="EJ12" s="25">
        <f t="shared" si="69"/>
        <v>0</v>
      </c>
      <c r="EK12" s="26" t="str">
        <f t="shared" si="29"/>
        <v>0</v>
      </c>
      <c r="EL12" s="29">
        <f t="shared" si="70"/>
        <v>1</v>
      </c>
      <c r="EM12" s="30">
        <f t="shared" si="30"/>
        <v>0</v>
      </c>
      <c r="EN12" s="30">
        <f t="shared" si="31"/>
        <v>0.42857142857142855</v>
      </c>
      <c r="EO12" s="31">
        <f t="shared" si="71"/>
        <v>0</v>
      </c>
      <c r="EP12" s="31" t="str">
        <f t="shared" si="32"/>
        <v>0</v>
      </c>
      <c r="EQ12" s="31">
        <f t="shared" si="72"/>
        <v>0</v>
      </c>
      <c r="ER12" s="93" t="str">
        <f t="shared" si="33"/>
        <v>0</v>
      </c>
      <c r="ES12" s="109">
        <f t="shared" si="34"/>
        <v>133.33333333333331</v>
      </c>
      <c r="ET12" s="32" t="str">
        <f t="shared" si="35"/>
        <v>0</v>
      </c>
      <c r="EV12" s="277"/>
      <c r="EW12" s="278"/>
      <c r="EX12" s="37">
        <f t="shared" si="81"/>
        <v>0</v>
      </c>
      <c r="EY12" s="72">
        <f t="shared" si="73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0</v>
      </c>
      <c r="FG12" s="182">
        <f t="shared" si="36"/>
        <v>0</v>
      </c>
      <c r="FH12" s="183" t="s">
        <v>52</v>
      </c>
      <c r="FI12" s="184">
        <f t="shared" si="74"/>
        <v>0</v>
      </c>
      <c r="FJ12" s="193" t="str">
        <f t="shared" si="75"/>
        <v>0</v>
      </c>
      <c r="FK12" s="185">
        <f t="shared" si="37"/>
        <v>0</v>
      </c>
      <c r="FL12" s="183" t="s">
        <v>52</v>
      </c>
      <c r="FM12" s="186">
        <f t="shared" si="38"/>
        <v>0</v>
      </c>
      <c r="FN12" s="193" t="str">
        <f t="shared" si="76"/>
        <v>0</v>
      </c>
      <c r="FO12" s="261">
        <f t="shared" si="77"/>
        <v>0</v>
      </c>
      <c r="FP12" s="183" t="s">
        <v>52</v>
      </c>
      <c r="FQ12" s="268">
        <f t="shared" si="78"/>
        <v>0</v>
      </c>
      <c r="FR12" s="196" t="str">
        <f t="shared" si="79"/>
        <v>0</v>
      </c>
      <c r="FS12" s="179">
        <f t="shared" si="39"/>
        <v>0</v>
      </c>
      <c r="FT12" s="179">
        <f t="shared" si="39"/>
        <v>0</v>
      </c>
      <c r="FU12" s="179">
        <f t="shared" si="40"/>
        <v>0</v>
      </c>
      <c r="FV12" s="187">
        <f t="shared" si="40"/>
        <v>0</v>
      </c>
      <c r="FW12" s="179">
        <f t="shared" si="40"/>
        <v>0</v>
      </c>
      <c r="FX12" s="179">
        <f t="shared" si="40"/>
        <v>0</v>
      </c>
      <c r="FY12" s="179">
        <f t="shared" si="40"/>
        <v>0</v>
      </c>
      <c r="FZ12" s="179">
        <f t="shared" si="40"/>
        <v>0</v>
      </c>
      <c r="GA12" s="179">
        <f t="shared" si="40"/>
        <v>0</v>
      </c>
      <c r="GB12" s="179">
        <f t="shared" si="40"/>
        <v>0</v>
      </c>
      <c r="GC12" s="187">
        <f t="shared" si="40"/>
        <v>0</v>
      </c>
      <c r="GD12" s="203" t="str">
        <f t="shared" si="80"/>
        <v>0</v>
      </c>
      <c r="GE12" s="179" t="str">
        <f t="shared" si="80"/>
        <v>0</v>
      </c>
      <c r="GF12" s="179" t="str">
        <f t="shared" si="80"/>
        <v>0</v>
      </c>
      <c r="GG12" s="258">
        <f t="shared" si="80"/>
        <v>106.66666666666666</v>
      </c>
      <c r="GH12" s="179"/>
      <c r="GJ12" s="82"/>
      <c r="GK12" s="24"/>
      <c r="GL12" s="185" t="e">
        <f>(CQ12/CQ40)*(EY41-EX41)</f>
        <v>#DIV/0!</v>
      </c>
      <c r="GM12" s="185">
        <f>((E41/G41)*(1-(CJ41/(CJ41+CK40))))/((E41/G41)*(1-(CJ41/(CJ41+CK40)))+((1-(E41/G41)))*(CJ41/(CJ41+CK40)))</f>
        <v>1</v>
      </c>
      <c r="GN12" s="24" t="e">
        <f>GK12+(GL12/10)+(GJ12*GM12*(1-(CJ41/(CJ41+CK40))))+(CK12*(1-GM12))</f>
        <v>#DIV/0!</v>
      </c>
      <c r="GO12" s="213" t="e">
        <f>GN12/(DD12*EG41)</f>
        <v>#DIV/0!</v>
      </c>
    </row>
    <row r="13" spans="1:197" x14ac:dyDescent="0.2">
      <c r="A13" s="139"/>
      <c r="B13" s="483" t="s">
        <v>82</v>
      </c>
      <c r="C13" s="492" t="s">
        <v>213</v>
      </c>
      <c r="D13" s="483">
        <v>2.4700000000000002</v>
      </c>
      <c r="E13" s="114">
        <f t="shared" si="0"/>
        <v>1</v>
      </c>
      <c r="F13" s="484" t="s">
        <v>52</v>
      </c>
      <c r="G13" s="115">
        <f t="shared" si="1"/>
        <v>2</v>
      </c>
      <c r="H13" s="116" t="s">
        <v>53</v>
      </c>
      <c r="I13" s="484">
        <f t="shared" si="41"/>
        <v>0</v>
      </c>
      <c r="J13" s="115" t="s">
        <v>54</v>
      </c>
      <c r="K13" s="116">
        <f t="shared" si="2"/>
        <v>1</v>
      </c>
      <c r="L13" s="484" t="s">
        <v>52</v>
      </c>
      <c r="M13" s="115">
        <f t="shared" si="3"/>
        <v>2</v>
      </c>
      <c r="N13" s="116" t="s">
        <v>53</v>
      </c>
      <c r="O13" s="484">
        <f t="shared" si="4"/>
        <v>0</v>
      </c>
      <c r="P13" s="115" t="s">
        <v>54</v>
      </c>
      <c r="Q13" s="116">
        <f t="shared" si="5"/>
        <v>0</v>
      </c>
      <c r="R13" s="484" t="s">
        <v>52</v>
      </c>
      <c r="S13" s="115">
        <f t="shared" si="42"/>
        <v>0</v>
      </c>
      <c r="T13" s="116" t="s">
        <v>53</v>
      </c>
      <c r="U13" s="484">
        <f t="shared" si="6"/>
        <v>0</v>
      </c>
      <c r="V13" s="115" t="s">
        <v>54</v>
      </c>
      <c r="W13" s="116">
        <f t="shared" si="7"/>
        <v>0</v>
      </c>
      <c r="X13" s="484" t="s">
        <v>52</v>
      </c>
      <c r="Y13" s="115">
        <f t="shared" si="8"/>
        <v>0</v>
      </c>
      <c r="Z13" s="116" t="s">
        <v>53</v>
      </c>
      <c r="AA13" s="484">
        <f t="shared" si="9"/>
        <v>0</v>
      </c>
      <c r="AB13" s="115" t="s">
        <v>54</v>
      </c>
      <c r="AC13" s="116">
        <f t="shared" si="43"/>
        <v>0</v>
      </c>
      <c r="AD13" s="484" t="s">
        <v>52</v>
      </c>
      <c r="AE13" s="117">
        <f t="shared" si="44"/>
        <v>0</v>
      </c>
      <c r="AF13" s="485"/>
      <c r="AG13" s="114">
        <f t="shared" si="45"/>
        <v>1</v>
      </c>
      <c r="AH13" s="484" t="s">
        <v>52</v>
      </c>
      <c r="AI13" s="115">
        <f t="shared" si="10"/>
        <v>2</v>
      </c>
      <c r="AJ13" s="116" t="s">
        <v>53</v>
      </c>
      <c r="AK13" s="484">
        <f t="shared" si="11"/>
        <v>0</v>
      </c>
      <c r="AL13" s="115" t="s">
        <v>54</v>
      </c>
      <c r="AM13" s="246">
        <v>1</v>
      </c>
      <c r="AN13" s="244" t="s">
        <v>52</v>
      </c>
      <c r="AO13" s="245">
        <v>2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0</v>
      </c>
      <c r="AZ13" s="244" t="s">
        <v>52</v>
      </c>
      <c r="BA13" s="245">
        <v>0</v>
      </c>
      <c r="BB13" s="246" t="s">
        <v>53</v>
      </c>
      <c r="BC13" s="244">
        <v>0</v>
      </c>
      <c r="BD13" s="245" t="s">
        <v>54</v>
      </c>
      <c r="BE13" s="116">
        <v>0</v>
      </c>
      <c r="BF13" s="484" t="s">
        <v>52</v>
      </c>
      <c r="BG13" s="117">
        <v>0</v>
      </c>
      <c r="BH13" s="115"/>
      <c r="BI13" s="114">
        <f t="shared" si="12"/>
        <v>0</v>
      </c>
      <c r="BJ13" s="484" t="s">
        <v>52</v>
      </c>
      <c r="BK13" s="115">
        <f t="shared" si="46"/>
        <v>0</v>
      </c>
      <c r="BL13" s="116" t="s">
        <v>53</v>
      </c>
      <c r="BM13" s="484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0</v>
      </c>
      <c r="CD13" s="246" t="s">
        <v>53</v>
      </c>
      <c r="CE13" s="244">
        <v>0</v>
      </c>
      <c r="CF13" s="245" t="s">
        <v>54</v>
      </c>
      <c r="CG13" s="116">
        <v>0</v>
      </c>
      <c r="CH13" s="484" t="s">
        <v>52</v>
      </c>
      <c r="CI13" s="117">
        <v>0</v>
      </c>
      <c r="CJ13" s="148">
        <v>0</v>
      </c>
      <c r="CK13" s="148">
        <f t="shared" si="47"/>
        <v>0</v>
      </c>
      <c r="CL13" s="148">
        <v>0</v>
      </c>
      <c r="CM13" s="148">
        <v>0</v>
      </c>
      <c r="CN13" s="148">
        <f t="shared" si="48"/>
        <v>0</v>
      </c>
      <c r="CO13" s="175">
        <v>0</v>
      </c>
      <c r="CP13" s="140">
        <v>0</v>
      </c>
      <c r="CQ13" s="175">
        <v>0</v>
      </c>
      <c r="CR13" s="148">
        <v>0</v>
      </c>
      <c r="CS13" s="148">
        <v>0</v>
      </c>
      <c r="CT13" s="140">
        <v>1</v>
      </c>
      <c r="CU13" s="140">
        <v>0</v>
      </c>
      <c r="CV13" s="148">
        <f t="shared" si="49"/>
        <v>2</v>
      </c>
      <c r="CW13" s="140"/>
      <c r="CX13" s="140">
        <f t="shared" si="50"/>
        <v>0</v>
      </c>
      <c r="CY13" s="140">
        <f t="shared" si="14"/>
        <v>0</v>
      </c>
      <c r="CZ13" s="165">
        <f t="shared" si="15"/>
        <v>0.33333333333333326</v>
      </c>
      <c r="DA13" s="164">
        <f t="shared" si="16"/>
        <v>106.66666666666666</v>
      </c>
      <c r="DB13" s="141"/>
      <c r="DC13" s="141"/>
      <c r="DD13" s="77">
        <f t="shared" si="51"/>
        <v>1.0000000000000002</v>
      </c>
      <c r="DE13" s="37">
        <f t="shared" si="52"/>
        <v>0.5</v>
      </c>
      <c r="DF13" s="37" t="str">
        <f t="shared" si="53"/>
        <v>0</v>
      </c>
      <c r="DG13" s="37">
        <f t="shared" si="54"/>
        <v>0.5</v>
      </c>
      <c r="DH13" s="37">
        <f t="shared" si="17"/>
        <v>0</v>
      </c>
      <c r="DI13" s="37">
        <f t="shared" si="18"/>
        <v>0</v>
      </c>
      <c r="DJ13" s="37">
        <f t="shared" si="19"/>
        <v>0</v>
      </c>
      <c r="DK13" s="37">
        <f t="shared" si="20"/>
        <v>0</v>
      </c>
      <c r="DL13" s="37">
        <f t="shared" si="21"/>
        <v>0</v>
      </c>
      <c r="DM13" s="37">
        <f t="shared" si="22"/>
        <v>0</v>
      </c>
      <c r="DN13" s="37">
        <f t="shared" si="55"/>
        <v>0.5</v>
      </c>
      <c r="DO13" s="37">
        <f t="shared" si="56"/>
        <v>0</v>
      </c>
      <c r="DP13" s="66">
        <f t="shared" si="57"/>
        <v>0</v>
      </c>
      <c r="DQ13" s="78">
        <f t="shared" si="58"/>
        <v>0</v>
      </c>
      <c r="DR13" s="6"/>
      <c r="DS13" s="36"/>
      <c r="DT13" s="75">
        <f t="shared" si="59"/>
        <v>-2.9056680161943316</v>
      </c>
      <c r="DU13" s="18" t="str">
        <f t="shared" si="23"/>
        <v>0</v>
      </c>
      <c r="DV13" s="13">
        <f t="shared" si="60"/>
        <v>0.85750000000000004</v>
      </c>
      <c r="DW13" s="14">
        <f t="shared" si="24"/>
        <v>0.56999999999999995</v>
      </c>
      <c r="DX13" s="14">
        <f t="shared" si="25"/>
        <v>0</v>
      </c>
      <c r="DY13" s="14" t="str">
        <f t="shared" si="61"/>
        <v>0</v>
      </c>
      <c r="DZ13" s="15" t="str">
        <f t="shared" si="26"/>
        <v>0</v>
      </c>
      <c r="EA13" s="14" t="str">
        <f t="shared" si="62"/>
        <v>0</v>
      </c>
      <c r="EB13" s="14">
        <f t="shared" si="27"/>
        <v>0</v>
      </c>
      <c r="EC13" s="14">
        <f t="shared" si="28"/>
        <v>0</v>
      </c>
      <c r="ED13" s="14">
        <f t="shared" si="63"/>
        <v>0</v>
      </c>
      <c r="EE13" s="19">
        <f t="shared" si="64"/>
        <v>1</v>
      </c>
      <c r="EF13" s="67" t="str">
        <f t="shared" si="65"/>
        <v>0</v>
      </c>
      <c r="EG13" s="74">
        <f t="shared" si="66"/>
        <v>2</v>
      </c>
      <c r="EH13" s="27" t="str">
        <f t="shared" si="67"/>
        <v>0</v>
      </c>
      <c r="EI13" s="25">
        <f t="shared" si="68"/>
        <v>1.7150000000000001</v>
      </c>
      <c r="EJ13" s="25">
        <f t="shared" si="69"/>
        <v>0</v>
      </c>
      <c r="EK13" s="26" t="str">
        <f t="shared" si="29"/>
        <v>0</v>
      </c>
      <c r="EL13" s="29">
        <f t="shared" si="70"/>
        <v>1</v>
      </c>
      <c r="EM13" s="30">
        <f t="shared" si="30"/>
        <v>0</v>
      </c>
      <c r="EN13" s="30">
        <f t="shared" si="31"/>
        <v>0.42857142857142855</v>
      </c>
      <c r="EO13" s="31">
        <f t="shared" si="71"/>
        <v>0</v>
      </c>
      <c r="EP13" s="31" t="str">
        <f t="shared" si="32"/>
        <v>0</v>
      </c>
      <c r="EQ13" s="31">
        <f t="shared" si="72"/>
        <v>0</v>
      </c>
      <c r="ER13" s="93">
        <f t="shared" si="33"/>
        <v>0</v>
      </c>
      <c r="ES13" s="109">
        <f t="shared" si="34"/>
        <v>133.33333333333331</v>
      </c>
      <c r="ET13" s="32" t="str">
        <f t="shared" si="35"/>
        <v>0</v>
      </c>
      <c r="EV13" s="277"/>
      <c r="EW13" s="278"/>
      <c r="EX13" s="37">
        <f t="shared" si="81"/>
        <v>0</v>
      </c>
      <c r="EY13" s="72">
        <f t="shared" si="73"/>
        <v>0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2.4700000000000002</v>
      </c>
      <c r="FG13" s="144">
        <f t="shared" si="36"/>
        <v>1</v>
      </c>
      <c r="FH13" s="484" t="s">
        <v>52</v>
      </c>
      <c r="FI13" s="145">
        <f t="shared" si="74"/>
        <v>2</v>
      </c>
      <c r="FJ13" s="194">
        <f t="shared" si="75"/>
        <v>0.5</v>
      </c>
      <c r="FK13" s="110">
        <f t="shared" si="37"/>
        <v>0</v>
      </c>
      <c r="FL13" s="484" t="s">
        <v>52</v>
      </c>
      <c r="FM13" s="168">
        <f t="shared" si="38"/>
        <v>0</v>
      </c>
      <c r="FN13" s="194" t="str">
        <f t="shared" si="76"/>
        <v>0</v>
      </c>
      <c r="FO13" s="262">
        <f t="shared" si="77"/>
        <v>0</v>
      </c>
      <c r="FP13" s="484" t="s">
        <v>52</v>
      </c>
      <c r="FQ13" s="274">
        <f t="shared" si="78"/>
        <v>0</v>
      </c>
      <c r="FR13" s="197" t="str">
        <f t="shared" si="79"/>
        <v>0</v>
      </c>
      <c r="FS13" s="140">
        <f t="shared" si="39"/>
        <v>0</v>
      </c>
      <c r="FT13" s="140">
        <f t="shared" si="39"/>
        <v>0</v>
      </c>
      <c r="FU13" s="140">
        <f t="shared" si="40"/>
        <v>0</v>
      </c>
      <c r="FV13" s="175">
        <f t="shared" si="40"/>
        <v>0</v>
      </c>
      <c r="FW13" s="140">
        <f t="shared" si="40"/>
        <v>0</v>
      </c>
      <c r="FX13" s="140">
        <f t="shared" si="40"/>
        <v>0</v>
      </c>
      <c r="FY13" s="140">
        <f t="shared" si="40"/>
        <v>0</v>
      </c>
      <c r="FZ13" s="140">
        <f t="shared" si="40"/>
        <v>0</v>
      </c>
      <c r="GA13" s="140">
        <f t="shared" si="40"/>
        <v>1</v>
      </c>
      <c r="GB13" s="140">
        <f t="shared" si="40"/>
        <v>0</v>
      </c>
      <c r="GC13" s="175">
        <f t="shared" si="40"/>
        <v>2</v>
      </c>
      <c r="GD13" s="202">
        <f t="shared" si="80"/>
        <v>0</v>
      </c>
      <c r="GE13" s="140">
        <f t="shared" si="80"/>
        <v>0</v>
      </c>
      <c r="GF13" s="140">
        <f t="shared" si="80"/>
        <v>0.33333333333333326</v>
      </c>
      <c r="GG13" s="259">
        <f t="shared" si="80"/>
        <v>106.66666666666666</v>
      </c>
      <c r="GH13" s="140"/>
      <c r="GJ13" s="82"/>
      <c r="GK13" s="24"/>
      <c r="GL13" s="185" t="e">
        <f>(CQ13/CQ42)*(EY43-EX43)</f>
        <v>#DIV/0!</v>
      </c>
      <c r="GM13" s="185">
        <f>((E43/G43)*(1-(CJ43/(CJ43+CK42))))/((E43/G43)*(1-(CJ43/(CJ43+CK42)))+((1-(E43/G43)))*(CJ43/(CJ43+CK42)))</f>
        <v>1</v>
      </c>
      <c r="GN13" s="24" t="e">
        <f>GK13+(GL13/10)+(GJ13*GM13*(1-(CJ43/(CJ43+CK42))))+(CK13*(1-GM13))</f>
        <v>#DIV/0!</v>
      </c>
      <c r="GO13" s="213" t="e">
        <f>GN13/(DD13*EG43)</f>
        <v>#DIV/0!</v>
      </c>
    </row>
    <row r="14" spans="1:197" x14ac:dyDescent="0.2">
      <c r="A14" s="139"/>
      <c r="B14" s="493" t="s">
        <v>117</v>
      </c>
      <c r="C14" s="494" t="s">
        <v>214</v>
      </c>
      <c r="D14" s="483">
        <v>2.4700000000000002</v>
      </c>
      <c r="E14" s="114">
        <f t="shared" si="0"/>
        <v>1</v>
      </c>
      <c r="F14" s="484" t="s">
        <v>52</v>
      </c>
      <c r="G14" s="115">
        <f t="shared" si="1"/>
        <v>1</v>
      </c>
      <c r="H14" s="116" t="s">
        <v>53</v>
      </c>
      <c r="I14" s="484">
        <f t="shared" si="41"/>
        <v>1</v>
      </c>
      <c r="J14" s="115" t="s">
        <v>54</v>
      </c>
      <c r="K14" s="116">
        <f t="shared" si="2"/>
        <v>0</v>
      </c>
      <c r="L14" s="484" t="s">
        <v>52</v>
      </c>
      <c r="M14" s="115">
        <f t="shared" si="3"/>
        <v>0</v>
      </c>
      <c r="N14" s="116" t="s">
        <v>53</v>
      </c>
      <c r="O14" s="484">
        <f t="shared" si="4"/>
        <v>0</v>
      </c>
      <c r="P14" s="115" t="s">
        <v>54</v>
      </c>
      <c r="Q14" s="116">
        <f t="shared" si="5"/>
        <v>0</v>
      </c>
      <c r="R14" s="484" t="s">
        <v>52</v>
      </c>
      <c r="S14" s="115">
        <f t="shared" si="42"/>
        <v>0</v>
      </c>
      <c r="T14" s="116" t="s">
        <v>53</v>
      </c>
      <c r="U14" s="484">
        <f t="shared" si="6"/>
        <v>0</v>
      </c>
      <c r="V14" s="115" t="s">
        <v>54</v>
      </c>
      <c r="W14" s="116">
        <f t="shared" si="7"/>
        <v>1</v>
      </c>
      <c r="X14" s="484" t="s">
        <v>52</v>
      </c>
      <c r="Y14" s="115">
        <f t="shared" si="8"/>
        <v>1</v>
      </c>
      <c r="Z14" s="116" t="s">
        <v>53</v>
      </c>
      <c r="AA14" s="484">
        <f t="shared" si="9"/>
        <v>1</v>
      </c>
      <c r="AB14" s="115" t="s">
        <v>54</v>
      </c>
      <c r="AC14" s="116">
        <f t="shared" si="43"/>
        <v>0</v>
      </c>
      <c r="AD14" s="484" t="s">
        <v>52</v>
      </c>
      <c r="AE14" s="117">
        <f t="shared" si="44"/>
        <v>0</v>
      </c>
      <c r="AF14" s="485"/>
      <c r="AG14" s="114">
        <f t="shared" si="45"/>
        <v>1</v>
      </c>
      <c r="AH14" s="484" t="s">
        <v>52</v>
      </c>
      <c r="AI14" s="115">
        <f t="shared" si="10"/>
        <v>1</v>
      </c>
      <c r="AJ14" s="116" t="s">
        <v>53</v>
      </c>
      <c r="AK14" s="484">
        <f t="shared" si="11"/>
        <v>1</v>
      </c>
      <c r="AL14" s="115" t="s">
        <v>54</v>
      </c>
      <c r="AM14" s="246">
        <v>0</v>
      </c>
      <c r="AN14" s="244" t="s">
        <v>52</v>
      </c>
      <c r="AO14" s="245">
        <v>0</v>
      </c>
      <c r="AP14" s="246" t="s">
        <v>53</v>
      </c>
      <c r="AQ14" s="244">
        <v>0</v>
      </c>
      <c r="AR14" s="245" t="s">
        <v>54</v>
      </c>
      <c r="AS14" s="246">
        <v>0</v>
      </c>
      <c r="AT14" s="244" t="s">
        <v>52</v>
      </c>
      <c r="AU14" s="245">
        <v>0</v>
      </c>
      <c r="AV14" s="246" t="s">
        <v>53</v>
      </c>
      <c r="AW14" s="244">
        <v>0</v>
      </c>
      <c r="AX14" s="245" t="s">
        <v>54</v>
      </c>
      <c r="AY14" s="246">
        <v>1</v>
      </c>
      <c r="AZ14" s="244" t="s">
        <v>52</v>
      </c>
      <c r="BA14" s="245">
        <v>1</v>
      </c>
      <c r="BB14" s="246" t="s">
        <v>53</v>
      </c>
      <c r="BC14" s="244">
        <v>1</v>
      </c>
      <c r="BD14" s="245" t="s">
        <v>54</v>
      </c>
      <c r="BE14" s="116">
        <v>0</v>
      </c>
      <c r="BF14" s="484" t="s">
        <v>52</v>
      </c>
      <c r="BG14" s="117">
        <v>0</v>
      </c>
      <c r="BH14" s="115"/>
      <c r="BI14" s="114">
        <f t="shared" si="12"/>
        <v>0</v>
      </c>
      <c r="BJ14" s="484" t="s">
        <v>52</v>
      </c>
      <c r="BK14" s="115">
        <f t="shared" si="46"/>
        <v>0</v>
      </c>
      <c r="BL14" s="116" t="s">
        <v>53</v>
      </c>
      <c r="BM14" s="484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0</v>
      </c>
      <c r="CB14" s="244" t="s">
        <v>52</v>
      </c>
      <c r="CC14" s="245">
        <v>0</v>
      </c>
      <c r="CD14" s="246" t="s">
        <v>53</v>
      </c>
      <c r="CE14" s="244">
        <v>0</v>
      </c>
      <c r="CF14" s="245" t="s">
        <v>54</v>
      </c>
      <c r="CG14" s="116">
        <v>0</v>
      </c>
      <c r="CH14" s="484" t="s">
        <v>52</v>
      </c>
      <c r="CI14" s="117">
        <v>0</v>
      </c>
      <c r="CJ14" s="140">
        <v>0</v>
      </c>
      <c r="CK14" s="148">
        <f t="shared" si="47"/>
        <v>1</v>
      </c>
      <c r="CL14" s="148">
        <v>1</v>
      </c>
      <c r="CM14" s="148">
        <v>0</v>
      </c>
      <c r="CN14" s="148">
        <f t="shared" si="48"/>
        <v>1</v>
      </c>
      <c r="CO14" s="175">
        <v>0</v>
      </c>
      <c r="CP14" s="140">
        <v>1</v>
      </c>
      <c r="CQ14" s="175">
        <v>0</v>
      </c>
      <c r="CR14" s="148">
        <v>0</v>
      </c>
      <c r="CS14" s="148">
        <v>1</v>
      </c>
      <c r="CT14" s="140">
        <v>0</v>
      </c>
      <c r="CU14" s="140">
        <v>0</v>
      </c>
      <c r="CV14" s="148">
        <f t="shared" si="49"/>
        <v>3</v>
      </c>
      <c r="CW14" s="140"/>
      <c r="CX14" s="140" t="str">
        <f t="shared" si="50"/>
        <v>0</v>
      </c>
      <c r="CY14" s="140" t="str">
        <f t="shared" si="14"/>
        <v>0</v>
      </c>
      <c r="CZ14" s="165">
        <f t="shared" si="15"/>
        <v>0</v>
      </c>
      <c r="DA14" s="164">
        <f t="shared" si="16"/>
        <v>66.666666666666671</v>
      </c>
      <c r="DB14" s="141"/>
      <c r="DC14" s="141"/>
      <c r="DD14" s="77">
        <f t="shared" si="51"/>
        <v>1.0000000000000002</v>
      </c>
      <c r="DE14" s="37">
        <f t="shared" si="52"/>
        <v>1</v>
      </c>
      <c r="DF14" s="37">
        <f t="shared" si="53"/>
        <v>1</v>
      </c>
      <c r="DG14" s="37">
        <f t="shared" si="54"/>
        <v>1.5</v>
      </c>
      <c r="DH14" s="37">
        <f t="shared" si="17"/>
        <v>0</v>
      </c>
      <c r="DI14" s="37">
        <f t="shared" si="18"/>
        <v>0.19999999999999996</v>
      </c>
      <c r="DJ14" s="37">
        <f t="shared" si="19"/>
        <v>0</v>
      </c>
      <c r="DK14" s="37">
        <f t="shared" si="20"/>
        <v>0.16666666666666663</v>
      </c>
      <c r="DL14" s="37">
        <f t="shared" si="21"/>
        <v>0</v>
      </c>
      <c r="DM14" s="37">
        <f t="shared" si="22"/>
        <v>0.16666666666666663</v>
      </c>
      <c r="DN14" s="37" t="str">
        <f t="shared" si="55"/>
        <v>0</v>
      </c>
      <c r="DO14" s="37" t="str">
        <f t="shared" si="56"/>
        <v>0</v>
      </c>
      <c r="DP14" s="66">
        <f t="shared" si="57"/>
        <v>0</v>
      </c>
      <c r="DQ14" s="78">
        <f t="shared" si="58"/>
        <v>0</v>
      </c>
      <c r="DR14" s="6"/>
      <c r="DS14" s="36"/>
      <c r="DT14" s="75">
        <f t="shared" si="59"/>
        <v>83.510526315789463</v>
      </c>
      <c r="DU14" s="18" t="str">
        <f t="shared" si="23"/>
        <v>0</v>
      </c>
      <c r="DV14" s="13">
        <f t="shared" si="60"/>
        <v>0.43000000000000005</v>
      </c>
      <c r="DW14" s="14">
        <f t="shared" si="24"/>
        <v>0.7599999999999999</v>
      </c>
      <c r="DX14" s="14">
        <f t="shared" si="25"/>
        <v>0</v>
      </c>
      <c r="DY14" s="14" t="str">
        <f t="shared" si="61"/>
        <v>0</v>
      </c>
      <c r="DZ14" s="15" t="str">
        <f t="shared" si="26"/>
        <v>0</v>
      </c>
      <c r="EA14" s="14" t="str">
        <f t="shared" si="62"/>
        <v>0</v>
      </c>
      <c r="EB14" s="14">
        <f t="shared" si="27"/>
        <v>0</v>
      </c>
      <c r="EC14" s="14">
        <f t="shared" si="28"/>
        <v>0</v>
      </c>
      <c r="ED14" s="14">
        <f t="shared" si="63"/>
        <v>0</v>
      </c>
      <c r="EE14" s="19">
        <f t="shared" si="64"/>
        <v>0</v>
      </c>
      <c r="EF14" s="67" t="str">
        <f t="shared" si="65"/>
        <v>0</v>
      </c>
      <c r="EG14" s="74">
        <f t="shared" si="66"/>
        <v>0</v>
      </c>
      <c r="EH14" s="27" t="str">
        <f t="shared" si="67"/>
        <v>0</v>
      </c>
      <c r="EI14" s="25">
        <f t="shared" si="68"/>
        <v>1.29</v>
      </c>
      <c r="EJ14" s="25">
        <f t="shared" si="69"/>
        <v>0</v>
      </c>
      <c r="EK14" s="26" t="str">
        <f t="shared" si="29"/>
        <v>0</v>
      </c>
      <c r="EL14" s="29">
        <f t="shared" si="70"/>
        <v>1</v>
      </c>
      <c r="EM14" s="30">
        <f t="shared" si="30"/>
        <v>0</v>
      </c>
      <c r="EN14" s="30">
        <f t="shared" si="31"/>
        <v>0.33333333333333331</v>
      </c>
      <c r="EO14" s="31">
        <f t="shared" si="71"/>
        <v>1</v>
      </c>
      <c r="EP14" s="31" t="str">
        <f t="shared" si="32"/>
        <v>0</v>
      </c>
      <c r="EQ14" s="31">
        <f t="shared" si="72"/>
        <v>1</v>
      </c>
      <c r="ER14" s="93">
        <f t="shared" si="33"/>
        <v>0.83333333333333337</v>
      </c>
      <c r="ES14" s="109">
        <f t="shared" si="34"/>
        <v>83.333333333333343</v>
      </c>
      <c r="ET14" s="32" t="str">
        <f t="shared" si="35"/>
        <v>0</v>
      </c>
      <c r="EV14" s="277"/>
      <c r="EW14" s="278"/>
      <c r="EX14" s="37">
        <f t="shared" si="81"/>
        <v>0</v>
      </c>
      <c r="EY14" s="72">
        <f t="shared" si="73"/>
        <v>0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2.4700000000000002</v>
      </c>
      <c r="FG14" s="182">
        <f t="shared" si="36"/>
        <v>1</v>
      </c>
      <c r="FH14" s="183" t="s">
        <v>52</v>
      </c>
      <c r="FI14" s="184">
        <f t="shared" si="74"/>
        <v>1</v>
      </c>
      <c r="FJ14" s="193">
        <f t="shared" si="75"/>
        <v>1</v>
      </c>
      <c r="FK14" s="185">
        <f t="shared" si="37"/>
        <v>1</v>
      </c>
      <c r="FL14" s="183" t="s">
        <v>52</v>
      </c>
      <c r="FM14" s="186">
        <f t="shared" si="38"/>
        <v>1</v>
      </c>
      <c r="FN14" s="193">
        <f t="shared" si="76"/>
        <v>1</v>
      </c>
      <c r="FO14" s="261">
        <f t="shared" si="77"/>
        <v>0</v>
      </c>
      <c r="FP14" s="183" t="s">
        <v>52</v>
      </c>
      <c r="FQ14" s="268">
        <f t="shared" si="78"/>
        <v>0</v>
      </c>
      <c r="FR14" s="196" t="str">
        <f t="shared" si="79"/>
        <v>0</v>
      </c>
      <c r="FS14" s="179">
        <f t="shared" si="39"/>
        <v>0</v>
      </c>
      <c r="FT14" s="179">
        <f t="shared" si="39"/>
        <v>1</v>
      </c>
      <c r="FU14" s="179">
        <f t="shared" si="40"/>
        <v>1</v>
      </c>
      <c r="FV14" s="187">
        <f t="shared" si="40"/>
        <v>0</v>
      </c>
      <c r="FW14" s="179">
        <f t="shared" si="40"/>
        <v>1</v>
      </c>
      <c r="FX14" s="179">
        <f t="shared" si="40"/>
        <v>0</v>
      </c>
      <c r="FY14" s="179">
        <f t="shared" si="40"/>
        <v>0</v>
      </c>
      <c r="FZ14" s="179">
        <f t="shared" si="40"/>
        <v>1</v>
      </c>
      <c r="GA14" s="179">
        <f t="shared" si="40"/>
        <v>0</v>
      </c>
      <c r="GB14" s="179">
        <f t="shared" si="40"/>
        <v>0</v>
      </c>
      <c r="GC14" s="187">
        <f t="shared" si="40"/>
        <v>3</v>
      </c>
      <c r="GD14" s="203" t="str">
        <f t="shared" si="80"/>
        <v>0</v>
      </c>
      <c r="GE14" s="179" t="str">
        <f t="shared" si="80"/>
        <v>0</v>
      </c>
      <c r="GF14" s="179">
        <f t="shared" si="80"/>
        <v>0</v>
      </c>
      <c r="GG14" s="258">
        <f t="shared" si="80"/>
        <v>66.666666666666671</v>
      </c>
      <c r="GH14" s="179"/>
      <c r="GJ14" s="82"/>
      <c r="GK14" s="24"/>
      <c r="GL14" s="185" t="e">
        <f>(CQ14/CQ46)*(EY47-EX47)</f>
        <v>#DIV/0!</v>
      </c>
      <c r="GM14" s="185">
        <f>((E47/G47)*(1-(CJ47/(CJ47+CK46))))/((E47/G47)*(1-(CJ47/(CJ47+CK46)))+((1-(E47/G47)))*(CJ47/(CJ47+CK46)))</f>
        <v>1</v>
      </c>
      <c r="GN14" s="24" t="e">
        <f>GK14+(GL14/10)+(GJ14*GM14*(1-(CJ47/(CJ47+CK46))))+(CK14*(1-GM14))</f>
        <v>#DIV/0!</v>
      </c>
      <c r="GO14" s="213" t="e">
        <f>GN14/(DD14*EG47)</f>
        <v>#DIV/0!</v>
      </c>
    </row>
    <row r="15" spans="1:197" x14ac:dyDescent="0.2">
      <c r="A15" s="139"/>
      <c r="B15" s="483" t="s">
        <v>82</v>
      </c>
      <c r="C15" s="492" t="s">
        <v>215</v>
      </c>
      <c r="D15" s="483">
        <v>0</v>
      </c>
      <c r="E15" s="114">
        <f t="shared" si="0"/>
        <v>0</v>
      </c>
      <c r="F15" s="484" t="s">
        <v>52</v>
      </c>
      <c r="G15" s="115">
        <f t="shared" si="1"/>
        <v>0</v>
      </c>
      <c r="H15" s="116" t="s">
        <v>53</v>
      </c>
      <c r="I15" s="484">
        <f t="shared" si="41"/>
        <v>0</v>
      </c>
      <c r="J15" s="115" t="s">
        <v>54</v>
      </c>
      <c r="K15" s="116">
        <f t="shared" si="2"/>
        <v>0</v>
      </c>
      <c r="L15" s="484" t="s">
        <v>52</v>
      </c>
      <c r="M15" s="115">
        <f t="shared" si="3"/>
        <v>0</v>
      </c>
      <c r="N15" s="116" t="s">
        <v>53</v>
      </c>
      <c r="O15" s="484">
        <f t="shared" si="4"/>
        <v>0</v>
      </c>
      <c r="P15" s="115" t="s">
        <v>54</v>
      </c>
      <c r="Q15" s="116">
        <f t="shared" si="5"/>
        <v>0</v>
      </c>
      <c r="R15" s="484" t="s">
        <v>52</v>
      </c>
      <c r="S15" s="115">
        <f t="shared" si="42"/>
        <v>0</v>
      </c>
      <c r="T15" s="116" t="s">
        <v>53</v>
      </c>
      <c r="U15" s="484">
        <f t="shared" si="6"/>
        <v>0</v>
      </c>
      <c r="V15" s="115" t="s">
        <v>54</v>
      </c>
      <c r="W15" s="116">
        <f t="shared" si="7"/>
        <v>0</v>
      </c>
      <c r="X15" s="484" t="s">
        <v>52</v>
      </c>
      <c r="Y15" s="115">
        <f t="shared" si="8"/>
        <v>0</v>
      </c>
      <c r="Z15" s="116" t="s">
        <v>53</v>
      </c>
      <c r="AA15" s="484">
        <f t="shared" si="9"/>
        <v>0</v>
      </c>
      <c r="AB15" s="115" t="s">
        <v>54</v>
      </c>
      <c r="AC15" s="116">
        <f t="shared" si="43"/>
        <v>0</v>
      </c>
      <c r="AD15" s="484" t="s">
        <v>52</v>
      </c>
      <c r="AE15" s="117">
        <f t="shared" si="44"/>
        <v>0</v>
      </c>
      <c r="AF15" s="485"/>
      <c r="AG15" s="114">
        <f t="shared" si="45"/>
        <v>0</v>
      </c>
      <c r="AH15" s="484" t="s">
        <v>52</v>
      </c>
      <c r="AI15" s="115">
        <f t="shared" si="10"/>
        <v>0</v>
      </c>
      <c r="AJ15" s="116" t="s">
        <v>53</v>
      </c>
      <c r="AK15" s="484">
        <f t="shared" si="11"/>
        <v>0</v>
      </c>
      <c r="AL15" s="115" t="s">
        <v>54</v>
      </c>
      <c r="AM15" s="246">
        <v>0</v>
      </c>
      <c r="AN15" s="244" t="s">
        <v>52</v>
      </c>
      <c r="AO15" s="245">
        <v>0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0</v>
      </c>
      <c r="AZ15" s="244" t="s">
        <v>52</v>
      </c>
      <c r="BA15" s="245">
        <v>0</v>
      </c>
      <c r="BB15" s="246" t="s">
        <v>53</v>
      </c>
      <c r="BC15" s="244">
        <v>0</v>
      </c>
      <c r="BD15" s="245" t="s">
        <v>54</v>
      </c>
      <c r="BE15" s="116">
        <v>0</v>
      </c>
      <c r="BF15" s="484" t="s">
        <v>52</v>
      </c>
      <c r="BG15" s="117">
        <v>0</v>
      </c>
      <c r="BH15" s="115"/>
      <c r="BI15" s="114">
        <f t="shared" si="12"/>
        <v>0</v>
      </c>
      <c r="BJ15" s="484" t="s">
        <v>52</v>
      </c>
      <c r="BK15" s="115">
        <f t="shared" si="46"/>
        <v>0</v>
      </c>
      <c r="BL15" s="116" t="s">
        <v>53</v>
      </c>
      <c r="BM15" s="484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84" t="s">
        <v>52</v>
      </c>
      <c r="CI15" s="117">
        <v>0</v>
      </c>
      <c r="CJ15" s="140">
        <v>0</v>
      </c>
      <c r="CK15" s="148">
        <f t="shared" si="47"/>
        <v>0</v>
      </c>
      <c r="CL15" s="148">
        <v>0</v>
      </c>
      <c r="CM15" s="148">
        <v>0</v>
      </c>
      <c r="CN15" s="148">
        <f t="shared" si="48"/>
        <v>0</v>
      </c>
      <c r="CO15" s="175">
        <v>0</v>
      </c>
      <c r="CP15" s="140">
        <v>0</v>
      </c>
      <c r="CQ15" s="175">
        <v>0</v>
      </c>
      <c r="CR15" s="148">
        <v>0</v>
      </c>
      <c r="CS15" s="148">
        <v>0</v>
      </c>
      <c r="CT15" s="140">
        <v>0</v>
      </c>
      <c r="CU15" s="140">
        <v>0</v>
      </c>
      <c r="CV15" s="148">
        <f t="shared" si="49"/>
        <v>0</v>
      </c>
      <c r="CW15" s="140"/>
      <c r="CX15" s="140" t="str">
        <f t="shared" si="50"/>
        <v>0</v>
      </c>
      <c r="CY15" s="140" t="str">
        <f t="shared" si="14"/>
        <v>0</v>
      </c>
      <c r="CZ15" s="165" t="str">
        <f t="shared" si="15"/>
        <v>0</v>
      </c>
      <c r="DA15" s="164">
        <f t="shared" si="16"/>
        <v>106.66666666666666</v>
      </c>
      <c r="DB15" s="141"/>
      <c r="DC15" s="141"/>
      <c r="DD15" s="77">
        <f t="shared" si="51"/>
        <v>0</v>
      </c>
      <c r="DE15" s="37" t="str">
        <f t="shared" si="52"/>
        <v>0</v>
      </c>
      <c r="DF15" s="37" t="str">
        <f t="shared" si="53"/>
        <v>0</v>
      </c>
      <c r="DG15" s="37" t="str">
        <f t="shared" si="54"/>
        <v>0</v>
      </c>
      <c r="DH15" s="37" t="str">
        <f t="shared" si="17"/>
        <v>0</v>
      </c>
      <c r="DI15" s="37" t="str">
        <f t="shared" si="18"/>
        <v>0</v>
      </c>
      <c r="DJ15" s="37" t="str">
        <f t="shared" si="19"/>
        <v>0</v>
      </c>
      <c r="DK15" s="37" t="str">
        <f t="shared" si="20"/>
        <v>0</v>
      </c>
      <c r="DL15" s="37" t="str">
        <f t="shared" si="21"/>
        <v>0</v>
      </c>
      <c r="DM15" s="37" t="str">
        <f t="shared" si="22"/>
        <v>0</v>
      </c>
      <c r="DN15" s="37" t="str">
        <f t="shared" si="55"/>
        <v>0</v>
      </c>
      <c r="DO15" s="37" t="str">
        <f t="shared" si="56"/>
        <v>0</v>
      </c>
      <c r="DP15" s="66" t="str">
        <f t="shared" si="57"/>
        <v>0</v>
      </c>
      <c r="DQ15" s="78" t="str">
        <f t="shared" si="58"/>
        <v>0</v>
      </c>
      <c r="DR15" s="6"/>
      <c r="DS15" s="36"/>
      <c r="DT15" s="75" t="str">
        <f t="shared" si="59"/>
        <v>0</v>
      </c>
      <c r="DU15" s="18" t="str">
        <f t="shared" si="23"/>
        <v>0</v>
      </c>
      <c r="DV15" s="13" t="str">
        <f t="shared" si="60"/>
        <v>0</v>
      </c>
      <c r="DW15" s="14" t="str">
        <f t="shared" si="24"/>
        <v>0</v>
      </c>
      <c r="DX15" s="14">
        <f t="shared" si="25"/>
        <v>0</v>
      </c>
      <c r="DY15" s="14" t="str">
        <f t="shared" si="61"/>
        <v>0</v>
      </c>
      <c r="DZ15" s="15" t="str">
        <f t="shared" si="26"/>
        <v>0</v>
      </c>
      <c r="EA15" s="14" t="str">
        <f t="shared" si="62"/>
        <v>0</v>
      </c>
      <c r="EB15" s="14">
        <f t="shared" si="27"/>
        <v>0</v>
      </c>
      <c r="EC15" s="14">
        <f t="shared" si="28"/>
        <v>0</v>
      </c>
      <c r="ED15" s="14">
        <f t="shared" si="63"/>
        <v>0</v>
      </c>
      <c r="EE15" s="19">
        <f t="shared" si="64"/>
        <v>0</v>
      </c>
      <c r="EF15" s="67" t="str">
        <f t="shared" si="65"/>
        <v>0</v>
      </c>
      <c r="EG15" s="74">
        <f t="shared" si="66"/>
        <v>0</v>
      </c>
      <c r="EH15" s="27" t="str">
        <f t="shared" si="67"/>
        <v>0</v>
      </c>
      <c r="EI15" s="25" t="str">
        <f t="shared" si="68"/>
        <v>0</v>
      </c>
      <c r="EJ15" s="25">
        <f t="shared" si="69"/>
        <v>0</v>
      </c>
      <c r="EK15" s="26" t="str">
        <f t="shared" si="29"/>
        <v>0</v>
      </c>
      <c r="EL15" s="29">
        <f t="shared" si="70"/>
        <v>1</v>
      </c>
      <c r="EM15" s="30">
        <f t="shared" si="30"/>
        <v>0</v>
      </c>
      <c r="EN15" s="30">
        <f t="shared" si="31"/>
        <v>0.42857142857142855</v>
      </c>
      <c r="EO15" s="31">
        <f t="shared" si="71"/>
        <v>0</v>
      </c>
      <c r="EP15" s="31" t="str">
        <f t="shared" si="32"/>
        <v>0</v>
      </c>
      <c r="EQ15" s="31">
        <f t="shared" si="72"/>
        <v>0</v>
      </c>
      <c r="ER15" s="93" t="str">
        <f t="shared" si="33"/>
        <v>0</v>
      </c>
      <c r="ES15" s="109">
        <f t="shared" si="34"/>
        <v>133.33333333333331</v>
      </c>
      <c r="ET15" s="32" t="str">
        <f t="shared" si="35"/>
        <v>0</v>
      </c>
      <c r="EV15" s="277"/>
      <c r="EW15" s="278"/>
      <c r="EX15" s="37">
        <f t="shared" si="81"/>
        <v>0</v>
      </c>
      <c r="EY15" s="72">
        <f t="shared" si="73"/>
        <v>0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0</v>
      </c>
      <c r="FG15" s="43">
        <f t="shared" si="36"/>
        <v>0</v>
      </c>
      <c r="FH15" s="42" t="s">
        <v>52</v>
      </c>
      <c r="FI15" s="49">
        <f t="shared" si="74"/>
        <v>0</v>
      </c>
      <c r="FJ15" s="347" t="str">
        <f t="shared" si="75"/>
        <v>0</v>
      </c>
      <c r="FK15" s="325">
        <f t="shared" si="37"/>
        <v>0</v>
      </c>
      <c r="FL15" s="42" t="s">
        <v>52</v>
      </c>
      <c r="FM15" s="348">
        <f t="shared" si="38"/>
        <v>0</v>
      </c>
      <c r="FN15" s="347" t="str">
        <f t="shared" si="76"/>
        <v>0</v>
      </c>
      <c r="FO15" s="349">
        <f t="shared" si="77"/>
        <v>0</v>
      </c>
      <c r="FP15" s="42" t="s">
        <v>52</v>
      </c>
      <c r="FQ15" s="350">
        <f t="shared" si="78"/>
        <v>0</v>
      </c>
      <c r="FR15" s="351" t="str">
        <f t="shared" si="79"/>
        <v>0</v>
      </c>
      <c r="FS15" s="4">
        <f t="shared" si="39"/>
        <v>0</v>
      </c>
      <c r="FT15" s="4">
        <f t="shared" si="39"/>
        <v>0</v>
      </c>
      <c r="FU15" s="4">
        <f t="shared" si="40"/>
        <v>0</v>
      </c>
      <c r="FV15" s="352">
        <f t="shared" si="40"/>
        <v>0</v>
      </c>
      <c r="FW15" s="4">
        <f t="shared" si="40"/>
        <v>0</v>
      </c>
      <c r="FX15" s="4">
        <f t="shared" si="40"/>
        <v>0</v>
      </c>
      <c r="FY15" s="4">
        <f t="shared" si="40"/>
        <v>0</v>
      </c>
      <c r="FZ15" s="4">
        <f t="shared" si="40"/>
        <v>0</v>
      </c>
      <c r="GA15" s="4">
        <f t="shared" si="40"/>
        <v>0</v>
      </c>
      <c r="GB15" s="4">
        <f t="shared" si="40"/>
        <v>0</v>
      </c>
      <c r="GC15" s="352">
        <f t="shared" si="40"/>
        <v>0</v>
      </c>
      <c r="GD15" s="353" t="str">
        <f t="shared" si="80"/>
        <v>0</v>
      </c>
      <c r="GE15" s="4" t="str">
        <f t="shared" si="80"/>
        <v>0</v>
      </c>
      <c r="GF15" s="4" t="str">
        <f t="shared" si="80"/>
        <v>0</v>
      </c>
      <c r="GG15" s="354">
        <f t="shared" si="80"/>
        <v>106.66666666666666</v>
      </c>
      <c r="GH15" s="4"/>
      <c r="GJ15" s="82"/>
      <c r="GK15" s="24"/>
      <c r="GL15" s="185" t="e">
        <f>(CQ15/CQ48)*(EY49-EX49)</f>
        <v>#DIV/0!</v>
      </c>
      <c r="GM15" s="185">
        <f>((E49/G49)*(1-(CJ49/(CJ49+CK48))))/((E49/G49)*(1-(CJ49/(CJ49+CK48)))+((1-(E49/G49)))*(CJ49/(CJ49+CK48)))</f>
        <v>1</v>
      </c>
      <c r="GN15" s="24" t="e">
        <f>GK15+(GL15/10)+(GJ15*GM15*(1-(CJ49/(CJ49+CK48))))+(CK15*(1-GM15))</f>
        <v>#DIV/0!</v>
      </c>
      <c r="GO15" s="213" t="e">
        <f>GN15/(DD15*EG49)</f>
        <v>#DIV/0!</v>
      </c>
    </row>
    <row r="16" spans="1:197" x14ac:dyDescent="0.2">
      <c r="A16" s="139"/>
      <c r="B16" s="483" t="s">
        <v>82</v>
      </c>
      <c r="C16" s="492" t="s">
        <v>216</v>
      </c>
      <c r="D16" s="483">
        <v>2.4700000000000002</v>
      </c>
      <c r="E16" s="114">
        <f t="shared" si="0"/>
        <v>0</v>
      </c>
      <c r="F16" s="484" t="s">
        <v>52</v>
      </c>
      <c r="G16" s="115">
        <f t="shared" si="1"/>
        <v>1</v>
      </c>
      <c r="H16" s="116" t="s">
        <v>53</v>
      </c>
      <c r="I16" s="484">
        <f t="shared" si="41"/>
        <v>0</v>
      </c>
      <c r="J16" s="115" t="s">
        <v>54</v>
      </c>
      <c r="K16" s="116">
        <f t="shared" si="2"/>
        <v>0</v>
      </c>
      <c r="L16" s="484" t="s">
        <v>52</v>
      </c>
      <c r="M16" s="115">
        <f t="shared" si="3"/>
        <v>0</v>
      </c>
      <c r="N16" s="116" t="s">
        <v>53</v>
      </c>
      <c r="O16" s="484">
        <f t="shared" si="4"/>
        <v>0</v>
      </c>
      <c r="P16" s="115" t="s">
        <v>54</v>
      </c>
      <c r="Q16" s="116">
        <f t="shared" si="5"/>
        <v>0</v>
      </c>
      <c r="R16" s="484" t="s">
        <v>52</v>
      </c>
      <c r="S16" s="115">
        <f t="shared" si="42"/>
        <v>0</v>
      </c>
      <c r="T16" s="116" t="s">
        <v>53</v>
      </c>
      <c r="U16" s="484">
        <f t="shared" si="6"/>
        <v>0</v>
      </c>
      <c r="V16" s="115" t="s">
        <v>54</v>
      </c>
      <c r="W16" s="116">
        <f t="shared" si="7"/>
        <v>0</v>
      </c>
      <c r="X16" s="484" t="s">
        <v>52</v>
      </c>
      <c r="Y16" s="115">
        <f t="shared" si="8"/>
        <v>1</v>
      </c>
      <c r="Z16" s="116" t="s">
        <v>53</v>
      </c>
      <c r="AA16" s="484">
        <f t="shared" si="9"/>
        <v>0</v>
      </c>
      <c r="AB16" s="115" t="s">
        <v>54</v>
      </c>
      <c r="AC16" s="116">
        <f t="shared" si="43"/>
        <v>0</v>
      </c>
      <c r="AD16" s="484" t="s">
        <v>52</v>
      </c>
      <c r="AE16" s="117">
        <f t="shared" si="44"/>
        <v>0</v>
      </c>
      <c r="AF16" s="485"/>
      <c r="AG16" s="114">
        <f t="shared" si="45"/>
        <v>0</v>
      </c>
      <c r="AH16" s="484" t="s">
        <v>52</v>
      </c>
      <c r="AI16" s="115">
        <f t="shared" si="10"/>
        <v>1</v>
      </c>
      <c r="AJ16" s="116" t="s">
        <v>53</v>
      </c>
      <c r="AK16" s="484">
        <f t="shared" si="11"/>
        <v>0</v>
      </c>
      <c r="AL16" s="115" t="s">
        <v>54</v>
      </c>
      <c r="AM16" s="246">
        <v>0</v>
      </c>
      <c r="AN16" s="244" t="s">
        <v>52</v>
      </c>
      <c r="AO16" s="245">
        <v>0</v>
      </c>
      <c r="AP16" s="246" t="s">
        <v>53</v>
      </c>
      <c r="AQ16" s="244">
        <v>0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1</v>
      </c>
      <c r="BB16" s="246" t="s">
        <v>53</v>
      </c>
      <c r="BC16" s="244">
        <v>0</v>
      </c>
      <c r="BD16" s="245" t="s">
        <v>54</v>
      </c>
      <c r="BE16" s="116">
        <v>0</v>
      </c>
      <c r="BF16" s="484" t="s">
        <v>52</v>
      </c>
      <c r="BG16" s="117">
        <v>0</v>
      </c>
      <c r="BH16" s="115"/>
      <c r="BI16" s="114">
        <f t="shared" si="12"/>
        <v>0</v>
      </c>
      <c r="BJ16" s="484" t="s">
        <v>52</v>
      </c>
      <c r="BK16" s="115">
        <f t="shared" si="46"/>
        <v>0</v>
      </c>
      <c r="BL16" s="116" t="s">
        <v>53</v>
      </c>
      <c r="BM16" s="484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84" t="s">
        <v>52</v>
      </c>
      <c r="CI16" s="117">
        <v>0</v>
      </c>
      <c r="CJ16" s="140">
        <v>0</v>
      </c>
      <c r="CK16" s="148">
        <f t="shared" si="47"/>
        <v>1</v>
      </c>
      <c r="CL16" s="148">
        <v>0</v>
      </c>
      <c r="CM16" s="148">
        <v>1</v>
      </c>
      <c r="CN16" s="148">
        <f t="shared" si="48"/>
        <v>1</v>
      </c>
      <c r="CO16" s="175">
        <v>1</v>
      </c>
      <c r="CP16" s="140">
        <v>0</v>
      </c>
      <c r="CQ16" s="175">
        <v>0</v>
      </c>
      <c r="CR16" s="148">
        <v>0</v>
      </c>
      <c r="CS16" s="148">
        <v>0</v>
      </c>
      <c r="CT16" s="140">
        <v>1</v>
      </c>
      <c r="CU16" s="140">
        <v>0</v>
      </c>
      <c r="CV16" s="148">
        <f t="shared" si="49"/>
        <v>0</v>
      </c>
      <c r="CW16" s="140"/>
      <c r="CX16" s="140">
        <f t="shared" si="50"/>
        <v>0</v>
      </c>
      <c r="CY16" s="140">
        <f t="shared" si="14"/>
        <v>0</v>
      </c>
      <c r="CZ16" s="165">
        <f t="shared" si="15"/>
        <v>0.33333333333333326</v>
      </c>
      <c r="DA16" s="164">
        <f t="shared" si="16"/>
        <v>106.66666666666666</v>
      </c>
      <c r="DB16" s="141"/>
      <c r="DC16" s="141"/>
      <c r="DD16" s="77">
        <f t="shared" si="51"/>
        <v>1.0000000000000002</v>
      </c>
      <c r="DE16" s="37">
        <f t="shared" si="52"/>
        <v>0</v>
      </c>
      <c r="DF16" s="37">
        <f t="shared" si="53"/>
        <v>0</v>
      </c>
      <c r="DG16" s="37">
        <f t="shared" si="54"/>
        <v>0</v>
      </c>
      <c r="DH16" s="37">
        <f t="shared" si="17"/>
        <v>0</v>
      </c>
      <c r="DI16" s="37">
        <f t="shared" si="18"/>
        <v>0.33333333333333326</v>
      </c>
      <c r="DJ16" s="37">
        <f t="shared" si="19"/>
        <v>0</v>
      </c>
      <c r="DK16" s="37">
        <f t="shared" si="20"/>
        <v>0</v>
      </c>
      <c r="DL16" s="37">
        <f t="shared" si="21"/>
        <v>0.49999999999999989</v>
      </c>
      <c r="DM16" s="37">
        <f t="shared" si="22"/>
        <v>0.16666666666666663</v>
      </c>
      <c r="DN16" s="37">
        <f t="shared" si="55"/>
        <v>0.5</v>
      </c>
      <c r="DO16" s="37">
        <f t="shared" si="56"/>
        <v>1</v>
      </c>
      <c r="DP16" s="66">
        <f t="shared" si="57"/>
        <v>0</v>
      </c>
      <c r="DQ16" s="78">
        <f t="shared" si="58"/>
        <v>0</v>
      </c>
      <c r="DR16" s="6"/>
      <c r="DS16" s="36"/>
      <c r="DT16" s="75">
        <f t="shared" si="59"/>
        <v>-17.693522267206475</v>
      </c>
      <c r="DU16" s="18" t="str">
        <f t="shared" si="23"/>
        <v>0</v>
      </c>
      <c r="DV16" s="13">
        <f t="shared" si="60"/>
        <v>0</v>
      </c>
      <c r="DW16" s="14">
        <f t="shared" si="24"/>
        <v>0</v>
      </c>
      <c r="DX16" s="14">
        <f t="shared" si="25"/>
        <v>0.25</v>
      </c>
      <c r="DY16" s="14" t="str">
        <f t="shared" si="61"/>
        <v>0</v>
      </c>
      <c r="DZ16" s="15" t="str">
        <f t="shared" si="26"/>
        <v>0</v>
      </c>
      <c r="EA16" s="14" t="str">
        <f t="shared" si="62"/>
        <v>0</v>
      </c>
      <c r="EB16" s="14">
        <f t="shared" si="27"/>
        <v>0</v>
      </c>
      <c r="EC16" s="14">
        <f t="shared" si="28"/>
        <v>0</v>
      </c>
      <c r="ED16" s="14">
        <f t="shared" si="63"/>
        <v>0</v>
      </c>
      <c r="EE16" s="19">
        <f t="shared" si="64"/>
        <v>1</v>
      </c>
      <c r="EF16" s="67" t="str">
        <f t="shared" si="65"/>
        <v>0</v>
      </c>
      <c r="EG16" s="74">
        <f t="shared" si="66"/>
        <v>2</v>
      </c>
      <c r="EH16" s="27" t="str">
        <f t="shared" si="67"/>
        <v>0</v>
      </c>
      <c r="EI16" s="25">
        <f t="shared" si="68"/>
        <v>0</v>
      </c>
      <c r="EJ16" s="25">
        <f t="shared" si="69"/>
        <v>0.625</v>
      </c>
      <c r="EK16" s="26" t="str">
        <f t="shared" si="29"/>
        <v>0</v>
      </c>
      <c r="EL16" s="29">
        <f t="shared" si="70"/>
        <v>1</v>
      </c>
      <c r="EM16" s="30">
        <f t="shared" si="30"/>
        <v>0</v>
      </c>
      <c r="EN16" s="30">
        <f t="shared" si="31"/>
        <v>0.42857142857142855</v>
      </c>
      <c r="EO16" s="31">
        <f t="shared" si="71"/>
        <v>0</v>
      </c>
      <c r="EP16" s="31" t="str">
        <f t="shared" si="32"/>
        <v>0</v>
      </c>
      <c r="EQ16" s="31">
        <f t="shared" si="72"/>
        <v>0</v>
      </c>
      <c r="ER16" s="93">
        <f t="shared" si="33"/>
        <v>0</v>
      </c>
      <c r="ES16" s="109">
        <f t="shared" si="34"/>
        <v>133.33333333333331</v>
      </c>
      <c r="ET16" s="32" t="str">
        <f t="shared" si="35"/>
        <v>0</v>
      </c>
      <c r="EV16" s="277"/>
      <c r="EW16" s="278"/>
      <c r="EX16" s="37">
        <f t="shared" si="81"/>
        <v>0</v>
      </c>
      <c r="EY16" s="72">
        <f t="shared" si="73"/>
        <v>0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2.4700000000000002</v>
      </c>
      <c r="FG16" s="182">
        <f t="shared" si="36"/>
        <v>0</v>
      </c>
      <c r="FH16" s="183" t="s">
        <v>52</v>
      </c>
      <c r="FI16" s="184">
        <f t="shared" si="74"/>
        <v>1</v>
      </c>
      <c r="FJ16" s="193">
        <f t="shared" si="75"/>
        <v>0</v>
      </c>
      <c r="FK16" s="185">
        <f t="shared" si="37"/>
        <v>0</v>
      </c>
      <c r="FL16" s="183" t="s">
        <v>52</v>
      </c>
      <c r="FM16" s="186">
        <f t="shared" si="38"/>
        <v>1</v>
      </c>
      <c r="FN16" s="193">
        <f t="shared" si="76"/>
        <v>0</v>
      </c>
      <c r="FO16" s="261">
        <f t="shared" si="77"/>
        <v>0</v>
      </c>
      <c r="FP16" s="183" t="s">
        <v>52</v>
      </c>
      <c r="FQ16" s="268">
        <f t="shared" si="78"/>
        <v>0</v>
      </c>
      <c r="FR16" s="196" t="str">
        <f t="shared" si="79"/>
        <v>0</v>
      </c>
      <c r="FS16" s="179">
        <f t="shared" si="39"/>
        <v>0</v>
      </c>
      <c r="FT16" s="179">
        <f t="shared" si="39"/>
        <v>1</v>
      </c>
      <c r="FU16" s="179">
        <f t="shared" si="40"/>
        <v>1</v>
      </c>
      <c r="FV16" s="187">
        <f t="shared" si="40"/>
        <v>1</v>
      </c>
      <c r="FW16" s="179">
        <f t="shared" si="40"/>
        <v>0</v>
      </c>
      <c r="FX16" s="179">
        <f t="shared" si="40"/>
        <v>0</v>
      </c>
      <c r="FY16" s="179">
        <f t="shared" si="40"/>
        <v>0</v>
      </c>
      <c r="FZ16" s="179">
        <f t="shared" si="40"/>
        <v>0</v>
      </c>
      <c r="GA16" s="179">
        <f t="shared" si="40"/>
        <v>1</v>
      </c>
      <c r="GB16" s="179">
        <f t="shared" si="40"/>
        <v>0</v>
      </c>
      <c r="GC16" s="187">
        <f t="shared" si="40"/>
        <v>0</v>
      </c>
      <c r="GD16" s="203">
        <f t="shared" si="80"/>
        <v>0</v>
      </c>
      <c r="GE16" s="179">
        <f t="shared" si="80"/>
        <v>0</v>
      </c>
      <c r="GF16" s="179">
        <f t="shared" si="80"/>
        <v>0.33333333333333326</v>
      </c>
      <c r="GG16" s="258">
        <f t="shared" si="80"/>
        <v>106.66666666666666</v>
      </c>
      <c r="GH16" s="179"/>
      <c r="GJ16" s="82"/>
      <c r="GK16" s="24"/>
      <c r="GL16" s="185" t="e">
        <f>(CQ16/CQ50)*(EY51-EX51)</f>
        <v>#DIV/0!</v>
      </c>
      <c r="GM16" s="185">
        <f>((E51/G51)*(1-(CJ51/(CJ51+CK50))))/((E51/G51)*(1-(CJ51/(CJ51+CK50)))+((1-(E51/G51)))*(CJ51/(CJ51+CK50)))</f>
        <v>1</v>
      </c>
      <c r="GN16" s="24" t="e">
        <f>GK16+(GL16/10)+(GJ16*GM16*(1-(CJ51/(CJ51+CK50))))+(CK16*(1-GM16))</f>
        <v>#DIV/0!</v>
      </c>
      <c r="GO16" s="213" t="e">
        <f>GN16/(DD16*EG51)</f>
        <v>#DIV/0!</v>
      </c>
    </row>
    <row r="17" spans="1:197" x14ac:dyDescent="0.2">
      <c r="A17" s="139"/>
      <c r="B17" s="483" t="s">
        <v>82</v>
      </c>
      <c r="C17" s="492" t="s">
        <v>217</v>
      </c>
      <c r="D17" s="483">
        <v>2.4700000000000002</v>
      </c>
      <c r="E17" s="114">
        <f t="shared" si="0"/>
        <v>0</v>
      </c>
      <c r="F17" s="484" t="s">
        <v>52</v>
      </c>
      <c r="G17" s="115">
        <f t="shared" si="1"/>
        <v>1</v>
      </c>
      <c r="H17" s="116" t="s">
        <v>53</v>
      </c>
      <c r="I17" s="484">
        <f t="shared" si="41"/>
        <v>0</v>
      </c>
      <c r="J17" s="115" t="s">
        <v>54</v>
      </c>
      <c r="K17" s="116">
        <f t="shared" si="2"/>
        <v>0</v>
      </c>
      <c r="L17" s="484" t="s">
        <v>52</v>
      </c>
      <c r="M17" s="115">
        <f t="shared" si="3"/>
        <v>0</v>
      </c>
      <c r="N17" s="116" t="s">
        <v>53</v>
      </c>
      <c r="O17" s="484">
        <f t="shared" si="4"/>
        <v>0</v>
      </c>
      <c r="P17" s="115" t="s">
        <v>54</v>
      </c>
      <c r="Q17" s="116">
        <f t="shared" si="5"/>
        <v>0</v>
      </c>
      <c r="R17" s="484" t="s">
        <v>52</v>
      </c>
      <c r="S17" s="115">
        <f t="shared" si="42"/>
        <v>1</v>
      </c>
      <c r="T17" s="116" t="s">
        <v>53</v>
      </c>
      <c r="U17" s="484">
        <f t="shared" si="6"/>
        <v>0</v>
      </c>
      <c r="V17" s="115" t="s">
        <v>54</v>
      </c>
      <c r="W17" s="116">
        <f t="shared" si="7"/>
        <v>0</v>
      </c>
      <c r="X17" s="484" t="s">
        <v>52</v>
      </c>
      <c r="Y17" s="115">
        <f t="shared" si="8"/>
        <v>0</v>
      </c>
      <c r="Z17" s="116" t="s">
        <v>53</v>
      </c>
      <c r="AA17" s="484">
        <f t="shared" si="9"/>
        <v>0</v>
      </c>
      <c r="AB17" s="115" t="s">
        <v>54</v>
      </c>
      <c r="AC17" s="116">
        <f t="shared" si="43"/>
        <v>0</v>
      </c>
      <c r="AD17" s="484" t="s">
        <v>52</v>
      </c>
      <c r="AE17" s="117">
        <f t="shared" si="44"/>
        <v>0</v>
      </c>
      <c r="AF17" s="485"/>
      <c r="AG17" s="114">
        <f t="shared" si="45"/>
        <v>0</v>
      </c>
      <c r="AH17" s="484" t="s">
        <v>52</v>
      </c>
      <c r="AI17" s="115">
        <f t="shared" si="10"/>
        <v>0</v>
      </c>
      <c r="AJ17" s="116" t="s">
        <v>53</v>
      </c>
      <c r="AK17" s="484">
        <f t="shared" si="11"/>
        <v>0</v>
      </c>
      <c r="AL17" s="115" t="s">
        <v>54</v>
      </c>
      <c r="AM17" s="246">
        <v>0</v>
      </c>
      <c r="AN17" s="244" t="s">
        <v>52</v>
      </c>
      <c r="AO17" s="245">
        <v>0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0</v>
      </c>
      <c r="BB17" s="246" t="s">
        <v>53</v>
      </c>
      <c r="BC17" s="244">
        <v>0</v>
      </c>
      <c r="BD17" s="245" t="s">
        <v>54</v>
      </c>
      <c r="BE17" s="116">
        <v>0</v>
      </c>
      <c r="BF17" s="484" t="s">
        <v>52</v>
      </c>
      <c r="BG17" s="117">
        <v>0</v>
      </c>
      <c r="BH17" s="115"/>
      <c r="BI17" s="114">
        <f t="shared" si="12"/>
        <v>0</v>
      </c>
      <c r="BJ17" s="484" t="s">
        <v>52</v>
      </c>
      <c r="BK17" s="115">
        <f t="shared" si="46"/>
        <v>1</v>
      </c>
      <c r="BL17" s="116" t="s">
        <v>53</v>
      </c>
      <c r="BM17" s="484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1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484" t="s">
        <v>52</v>
      </c>
      <c r="CI17" s="117">
        <v>0</v>
      </c>
      <c r="CJ17" s="140">
        <v>0</v>
      </c>
      <c r="CK17" s="148">
        <f t="shared" si="47"/>
        <v>2</v>
      </c>
      <c r="CL17" s="148">
        <v>1</v>
      </c>
      <c r="CM17" s="148">
        <v>1</v>
      </c>
      <c r="CN17" s="148">
        <f t="shared" si="48"/>
        <v>2</v>
      </c>
      <c r="CO17" s="175">
        <v>0</v>
      </c>
      <c r="CP17" s="140">
        <v>1</v>
      </c>
      <c r="CQ17" s="175">
        <v>0</v>
      </c>
      <c r="CR17" s="148">
        <v>0</v>
      </c>
      <c r="CS17" s="148">
        <v>0</v>
      </c>
      <c r="CT17" s="140">
        <v>0</v>
      </c>
      <c r="CU17" s="140">
        <v>0</v>
      </c>
      <c r="CV17" s="148">
        <f t="shared" si="49"/>
        <v>0</v>
      </c>
      <c r="CW17" s="140"/>
      <c r="CX17" s="140">
        <f t="shared" si="50"/>
        <v>0</v>
      </c>
      <c r="CY17" s="140">
        <f t="shared" si="14"/>
        <v>0</v>
      </c>
      <c r="CZ17" s="165">
        <f t="shared" si="15"/>
        <v>0.16666666666666663</v>
      </c>
      <c r="DA17" s="164">
        <f t="shared" si="16"/>
        <v>106.66666666666666</v>
      </c>
      <c r="DB17" s="141"/>
      <c r="DC17" s="141"/>
      <c r="DD17" s="77">
        <f t="shared" si="51"/>
        <v>1.0000000000000002</v>
      </c>
      <c r="DE17" s="37">
        <f t="shared" si="52"/>
        <v>0</v>
      </c>
      <c r="DF17" s="37" t="str">
        <f t="shared" si="53"/>
        <v>0</v>
      </c>
      <c r="DG17" s="37">
        <f t="shared" si="54"/>
        <v>0</v>
      </c>
      <c r="DH17" s="37">
        <f t="shared" si="17"/>
        <v>0</v>
      </c>
      <c r="DI17" s="37">
        <f t="shared" si="18"/>
        <v>0.66666666666666652</v>
      </c>
      <c r="DJ17" s="37">
        <f t="shared" si="19"/>
        <v>0</v>
      </c>
      <c r="DK17" s="37">
        <f t="shared" si="20"/>
        <v>0</v>
      </c>
      <c r="DL17" s="37">
        <f t="shared" si="21"/>
        <v>0</v>
      </c>
      <c r="DM17" s="37">
        <f t="shared" si="22"/>
        <v>0.16666666666666663</v>
      </c>
      <c r="DN17" s="37">
        <f t="shared" si="55"/>
        <v>0</v>
      </c>
      <c r="DO17" s="37" t="str">
        <f t="shared" si="56"/>
        <v>0</v>
      </c>
      <c r="DP17" s="66">
        <f t="shared" si="57"/>
        <v>0</v>
      </c>
      <c r="DQ17" s="78">
        <f t="shared" si="58"/>
        <v>0</v>
      </c>
      <c r="DR17" s="6"/>
      <c r="DS17" s="36"/>
      <c r="DT17" s="75">
        <f t="shared" si="59"/>
        <v>-3.9578947368421038</v>
      </c>
      <c r="DU17" s="18" t="str">
        <f t="shared" si="23"/>
        <v>0</v>
      </c>
      <c r="DV17" s="13">
        <f t="shared" si="60"/>
        <v>0</v>
      </c>
      <c r="DW17" s="14">
        <f t="shared" si="24"/>
        <v>0.56999999999999995</v>
      </c>
      <c r="DX17" s="14">
        <f t="shared" si="25"/>
        <v>0</v>
      </c>
      <c r="DY17" s="14" t="str">
        <f t="shared" si="61"/>
        <v>0</v>
      </c>
      <c r="DZ17" s="15" t="str">
        <f t="shared" si="26"/>
        <v>0</v>
      </c>
      <c r="EA17" s="14" t="str">
        <f t="shared" si="62"/>
        <v>0</v>
      </c>
      <c r="EB17" s="14">
        <f t="shared" si="27"/>
        <v>0</v>
      </c>
      <c r="EC17" s="14">
        <f t="shared" si="28"/>
        <v>0</v>
      </c>
      <c r="ED17" s="14">
        <f t="shared" si="63"/>
        <v>0</v>
      </c>
      <c r="EE17" s="19">
        <f t="shared" si="64"/>
        <v>1</v>
      </c>
      <c r="EF17" s="67" t="str">
        <f t="shared" si="65"/>
        <v>0</v>
      </c>
      <c r="EG17" s="74">
        <f t="shared" si="66"/>
        <v>1</v>
      </c>
      <c r="EH17" s="27" t="str">
        <f t="shared" si="67"/>
        <v>0</v>
      </c>
      <c r="EI17" s="25">
        <f t="shared" si="68"/>
        <v>0</v>
      </c>
      <c r="EJ17" s="25">
        <f t="shared" si="69"/>
        <v>0</v>
      </c>
      <c r="EK17" s="26" t="str">
        <f t="shared" si="29"/>
        <v>0</v>
      </c>
      <c r="EL17" s="29">
        <f t="shared" si="70"/>
        <v>1</v>
      </c>
      <c r="EM17" s="30">
        <f t="shared" si="30"/>
        <v>0</v>
      </c>
      <c r="EN17" s="30">
        <f t="shared" si="31"/>
        <v>0.42857142857142855</v>
      </c>
      <c r="EO17" s="31">
        <f t="shared" si="71"/>
        <v>0</v>
      </c>
      <c r="EP17" s="31" t="str">
        <f t="shared" si="32"/>
        <v>0</v>
      </c>
      <c r="EQ17" s="31">
        <f t="shared" si="72"/>
        <v>0</v>
      </c>
      <c r="ER17" s="93">
        <f t="shared" si="33"/>
        <v>0</v>
      </c>
      <c r="ES17" s="109">
        <f t="shared" si="34"/>
        <v>133.33333333333331</v>
      </c>
      <c r="ET17" s="32" t="str">
        <f t="shared" si="35"/>
        <v>0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2.4700000000000002</v>
      </c>
      <c r="FG17" s="43">
        <f t="shared" si="36"/>
        <v>0</v>
      </c>
      <c r="FH17" s="42"/>
      <c r="FI17" s="49">
        <f t="shared" si="74"/>
        <v>1</v>
      </c>
      <c r="FJ17" s="347">
        <f t="shared" si="75"/>
        <v>0</v>
      </c>
      <c r="FK17" s="325">
        <f t="shared" si="37"/>
        <v>0</v>
      </c>
      <c r="FL17" s="42"/>
      <c r="FM17" s="348">
        <f t="shared" si="38"/>
        <v>0</v>
      </c>
      <c r="FN17" s="347" t="str">
        <f t="shared" si="76"/>
        <v>0</v>
      </c>
      <c r="FO17" s="349">
        <f t="shared" si="77"/>
        <v>0</v>
      </c>
      <c r="FP17" s="42"/>
      <c r="FQ17" s="350">
        <f t="shared" si="78"/>
        <v>0</v>
      </c>
      <c r="FR17" s="351" t="str">
        <f t="shared" si="79"/>
        <v>0</v>
      </c>
      <c r="FS17" s="4">
        <f t="shared" si="39"/>
        <v>0</v>
      </c>
      <c r="FT17" s="4">
        <f t="shared" si="39"/>
        <v>2</v>
      </c>
      <c r="FU17" s="4">
        <f t="shared" si="40"/>
        <v>2</v>
      </c>
      <c r="FV17" s="352">
        <f t="shared" si="40"/>
        <v>0</v>
      </c>
      <c r="FW17" s="4">
        <f t="shared" si="40"/>
        <v>1</v>
      </c>
      <c r="FX17" s="4">
        <f t="shared" si="40"/>
        <v>0</v>
      </c>
      <c r="FY17" s="4">
        <f t="shared" si="40"/>
        <v>0</v>
      </c>
      <c r="FZ17" s="4">
        <f t="shared" si="40"/>
        <v>0</v>
      </c>
      <c r="GA17" s="4">
        <f t="shared" si="40"/>
        <v>0</v>
      </c>
      <c r="GB17" s="4">
        <f t="shared" si="40"/>
        <v>0</v>
      </c>
      <c r="GC17" s="352">
        <f t="shared" si="40"/>
        <v>0</v>
      </c>
      <c r="GD17" s="353">
        <f t="shared" si="80"/>
        <v>0</v>
      </c>
      <c r="GE17" s="4">
        <f t="shared" si="80"/>
        <v>0</v>
      </c>
      <c r="GF17" s="4">
        <f t="shared" si="80"/>
        <v>0.16666666666666663</v>
      </c>
      <c r="GG17" s="354">
        <f t="shared" si="80"/>
        <v>106.66666666666666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493" t="s">
        <v>117</v>
      </c>
      <c r="C18" s="494" t="s">
        <v>218</v>
      </c>
      <c r="D18" s="483">
        <v>2.4700000000000002</v>
      </c>
      <c r="E18" s="114">
        <f t="shared" si="0"/>
        <v>0</v>
      </c>
      <c r="F18" s="484" t="s">
        <v>52</v>
      </c>
      <c r="G18" s="115">
        <f t="shared" si="1"/>
        <v>1</v>
      </c>
      <c r="H18" s="116" t="s">
        <v>53</v>
      </c>
      <c r="I18" s="484">
        <f t="shared" si="41"/>
        <v>0</v>
      </c>
      <c r="J18" s="115" t="s">
        <v>54</v>
      </c>
      <c r="K18" s="116">
        <f t="shared" si="2"/>
        <v>0</v>
      </c>
      <c r="L18" s="484" t="s">
        <v>52</v>
      </c>
      <c r="M18" s="115">
        <f t="shared" si="3"/>
        <v>0</v>
      </c>
      <c r="N18" s="116" t="s">
        <v>53</v>
      </c>
      <c r="O18" s="484">
        <f t="shared" si="4"/>
        <v>0</v>
      </c>
      <c r="P18" s="115" t="s">
        <v>54</v>
      </c>
      <c r="Q18" s="116">
        <f t="shared" si="5"/>
        <v>0</v>
      </c>
      <c r="R18" s="484" t="s">
        <v>52</v>
      </c>
      <c r="S18" s="115">
        <f t="shared" si="42"/>
        <v>0</v>
      </c>
      <c r="T18" s="116" t="s">
        <v>53</v>
      </c>
      <c r="U18" s="484">
        <f t="shared" si="6"/>
        <v>0</v>
      </c>
      <c r="V18" s="115" t="s">
        <v>54</v>
      </c>
      <c r="W18" s="116">
        <f t="shared" si="7"/>
        <v>0</v>
      </c>
      <c r="X18" s="484" t="s">
        <v>52</v>
      </c>
      <c r="Y18" s="115">
        <f t="shared" si="8"/>
        <v>1</v>
      </c>
      <c r="Z18" s="116" t="s">
        <v>53</v>
      </c>
      <c r="AA18" s="484">
        <f t="shared" si="9"/>
        <v>0</v>
      </c>
      <c r="AB18" s="115" t="s">
        <v>54</v>
      </c>
      <c r="AC18" s="116">
        <f t="shared" si="43"/>
        <v>0</v>
      </c>
      <c r="AD18" s="484" t="s">
        <v>52</v>
      </c>
      <c r="AE18" s="117">
        <f t="shared" si="44"/>
        <v>0</v>
      </c>
      <c r="AF18" s="485"/>
      <c r="AG18" s="114">
        <f>IFERROR(AM18+AS18+AY18,"0")</f>
        <v>0</v>
      </c>
      <c r="AH18" s="484" t="s">
        <v>52</v>
      </c>
      <c r="AI18" s="115">
        <f t="shared" si="10"/>
        <v>1</v>
      </c>
      <c r="AJ18" s="116" t="s">
        <v>53</v>
      </c>
      <c r="AK18" s="484">
        <f t="shared" si="11"/>
        <v>0</v>
      </c>
      <c r="AL18" s="115" t="s">
        <v>54</v>
      </c>
      <c r="AM18" s="246">
        <v>0</v>
      </c>
      <c r="AN18" s="244" t="s">
        <v>52</v>
      </c>
      <c r="AO18" s="245">
        <v>0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1</v>
      </c>
      <c r="BB18" s="246" t="s">
        <v>53</v>
      </c>
      <c r="BC18" s="244">
        <v>0</v>
      </c>
      <c r="BD18" s="245" t="s">
        <v>54</v>
      </c>
      <c r="BE18" s="116">
        <v>0</v>
      </c>
      <c r="BF18" s="484" t="s">
        <v>52</v>
      </c>
      <c r="BG18" s="117">
        <v>0</v>
      </c>
      <c r="BH18" s="115"/>
      <c r="BI18" s="114">
        <f t="shared" si="12"/>
        <v>0</v>
      </c>
      <c r="BJ18" s="484" t="s">
        <v>52</v>
      </c>
      <c r="BK18" s="115">
        <f t="shared" si="46"/>
        <v>0</v>
      </c>
      <c r="BL18" s="116" t="s">
        <v>53</v>
      </c>
      <c r="BM18" s="484">
        <f t="shared" si="13"/>
        <v>0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0</v>
      </c>
      <c r="CB18" s="244" t="s">
        <v>52</v>
      </c>
      <c r="CC18" s="245">
        <v>0</v>
      </c>
      <c r="CD18" s="246" t="s">
        <v>53</v>
      </c>
      <c r="CE18" s="244">
        <v>0</v>
      </c>
      <c r="CF18" s="245" t="s">
        <v>54</v>
      </c>
      <c r="CG18" s="116">
        <v>0</v>
      </c>
      <c r="CH18" s="484" t="s">
        <v>52</v>
      </c>
      <c r="CI18" s="117">
        <v>0</v>
      </c>
      <c r="CJ18" s="140">
        <v>0</v>
      </c>
      <c r="CK18" s="148">
        <f t="shared" si="47"/>
        <v>1</v>
      </c>
      <c r="CL18" s="148">
        <v>0</v>
      </c>
      <c r="CM18" s="148">
        <v>1</v>
      </c>
      <c r="CN18" s="148">
        <f t="shared" si="48"/>
        <v>1</v>
      </c>
      <c r="CO18" s="175">
        <v>1</v>
      </c>
      <c r="CP18" s="140">
        <v>0</v>
      </c>
      <c r="CQ18" s="175">
        <v>0</v>
      </c>
      <c r="CR18" s="148">
        <v>0</v>
      </c>
      <c r="CS18" s="148">
        <v>0</v>
      </c>
      <c r="CT18" s="140">
        <v>1</v>
      </c>
      <c r="CU18" s="140">
        <v>0</v>
      </c>
      <c r="CV18" s="148">
        <f t="shared" si="49"/>
        <v>0</v>
      </c>
      <c r="CW18" s="140"/>
      <c r="CX18" s="140">
        <f t="shared" si="50"/>
        <v>0</v>
      </c>
      <c r="CY18" s="140">
        <f t="shared" si="14"/>
        <v>0</v>
      </c>
      <c r="CZ18" s="165">
        <f t="shared" si="15"/>
        <v>0.33333333333333326</v>
      </c>
      <c r="DA18" s="164">
        <f t="shared" si="16"/>
        <v>66.666666666666671</v>
      </c>
      <c r="DB18" s="141"/>
      <c r="DC18" s="141"/>
      <c r="DD18" s="77">
        <f t="shared" si="51"/>
        <v>1.0000000000000002</v>
      </c>
      <c r="DE18" s="37">
        <f t="shared" si="52"/>
        <v>0</v>
      </c>
      <c r="DF18" s="37">
        <f t="shared" si="53"/>
        <v>0</v>
      </c>
      <c r="DG18" s="37">
        <f t="shared" si="54"/>
        <v>0</v>
      </c>
      <c r="DH18" s="37">
        <f t="shared" si="17"/>
        <v>0</v>
      </c>
      <c r="DI18" s="37">
        <f t="shared" si="18"/>
        <v>0.19999999999999996</v>
      </c>
      <c r="DJ18" s="37">
        <f t="shared" si="19"/>
        <v>0</v>
      </c>
      <c r="DK18" s="37">
        <f t="shared" si="20"/>
        <v>0</v>
      </c>
      <c r="DL18" s="37">
        <f t="shared" si="21"/>
        <v>0.33333333333333326</v>
      </c>
      <c r="DM18" s="37">
        <f t="shared" si="22"/>
        <v>0.16666666666666663</v>
      </c>
      <c r="DN18" s="37">
        <f t="shared" si="55"/>
        <v>0.5</v>
      </c>
      <c r="DO18" s="37">
        <f t="shared" si="56"/>
        <v>1</v>
      </c>
      <c r="DP18" s="66">
        <f t="shared" si="57"/>
        <v>0</v>
      </c>
      <c r="DQ18" s="78">
        <f t="shared" si="58"/>
        <v>0</v>
      </c>
      <c r="DR18" s="6"/>
      <c r="DS18" s="36"/>
      <c r="DT18" s="75">
        <f t="shared" si="59"/>
        <v>-17.693522267206475</v>
      </c>
      <c r="DU18" s="18" t="str">
        <f t="shared" si="23"/>
        <v>0</v>
      </c>
      <c r="DV18" s="13">
        <f t="shared" si="60"/>
        <v>0</v>
      </c>
      <c r="DW18" s="14">
        <f t="shared" si="24"/>
        <v>0.37999999999999995</v>
      </c>
      <c r="DX18" s="14">
        <f t="shared" si="25"/>
        <v>0.33333333333333331</v>
      </c>
      <c r="DY18" s="14" t="str">
        <f t="shared" si="61"/>
        <v>0</v>
      </c>
      <c r="DZ18" s="15" t="str">
        <f t="shared" si="26"/>
        <v>0</v>
      </c>
      <c r="EA18" s="14" t="str">
        <f t="shared" si="62"/>
        <v>0</v>
      </c>
      <c r="EB18" s="14">
        <f t="shared" si="27"/>
        <v>0</v>
      </c>
      <c r="EC18" s="14">
        <f t="shared" si="28"/>
        <v>0</v>
      </c>
      <c r="ED18" s="14">
        <f t="shared" si="63"/>
        <v>0</v>
      </c>
      <c r="EE18" s="19">
        <f t="shared" si="64"/>
        <v>1</v>
      </c>
      <c r="EF18" s="67" t="str">
        <f t="shared" si="65"/>
        <v>0</v>
      </c>
      <c r="EG18" s="74">
        <f t="shared" si="66"/>
        <v>2</v>
      </c>
      <c r="EH18" s="27" t="str">
        <f t="shared" si="67"/>
        <v>0</v>
      </c>
      <c r="EI18" s="25">
        <f t="shared" si="68"/>
        <v>0</v>
      </c>
      <c r="EJ18" s="25">
        <f t="shared" si="69"/>
        <v>0.88888888888888884</v>
      </c>
      <c r="EK18" s="26" t="str">
        <f t="shared" si="29"/>
        <v>0</v>
      </c>
      <c r="EL18" s="29">
        <f t="shared" si="70"/>
        <v>1</v>
      </c>
      <c r="EM18" s="30">
        <f t="shared" si="30"/>
        <v>0</v>
      </c>
      <c r="EN18" s="30">
        <f t="shared" si="31"/>
        <v>0.33333333333333331</v>
      </c>
      <c r="EO18" s="31">
        <f t="shared" si="71"/>
        <v>0</v>
      </c>
      <c r="EP18" s="31" t="str">
        <f t="shared" si="32"/>
        <v>0</v>
      </c>
      <c r="EQ18" s="31">
        <f t="shared" si="72"/>
        <v>0</v>
      </c>
      <c r="ER18" s="93">
        <f t="shared" si="33"/>
        <v>0</v>
      </c>
      <c r="ES18" s="109">
        <f t="shared" si="34"/>
        <v>83.333333333333343</v>
      </c>
      <c r="ET18" s="32" t="str">
        <f t="shared" si="35"/>
        <v>0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2.4700000000000002</v>
      </c>
      <c r="FG18" s="182">
        <f t="shared" si="36"/>
        <v>0</v>
      </c>
      <c r="FH18" s="183" t="s">
        <v>52</v>
      </c>
      <c r="FI18" s="184">
        <f t="shared" si="74"/>
        <v>1</v>
      </c>
      <c r="FJ18" s="193">
        <f t="shared" si="75"/>
        <v>0</v>
      </c>
      <c r="FK18" s="185">
        <f t="shared" si="37"/>
        <v>0</v>
      </c>
      <c r="FL18" s="183" t="s">
        <v>52</v>
      </c>
      <c r="FM18" s="186">
        <f t="shared" si="38"/>
        <v>1</v>
      </c>
      <c r="FN18" s="193">
        <f t="shared" si="76"/>
        <v>0</v>
      </c>
      <c r="FO18" s="261">
        <f t="shared" si="77"/>
        <v>0</v>
      </c>
      <c r="FP18" s="183" t="s">
        <v>52</v>
      </c>
      <c r="FQ18" s="268">
        <f>EW18</f>
        <v>0</v>
      </c>
      <c r="FR18" s="196" t="str">
        <f t="shared" si="79"/>
        <v>0</v>
      </c>
      <c r="FS18" s="179">
        <f t="shared" si="39"/>
        <v>0</v>
      </c>
      <c r="FT18" s="179">
        <f t="shared" si="39"/>
        <v>1</v>
      </c>
      <c r="FU18" s="179">
        <f t="shared" si="40"/>
        <v>1</v>
      </c>
      <c r="FV18" s="187">
        <f t="shared" si="40"/>
        <v>1</v>
      </c>
      <c r="FW18" s="179">
        <f t="shared" si="40"/>
        <v>0</v>
      </c>
      <c r="FX18" s="179">
        <f t="shared" si="40"/>
        <v>0</v>
      </c>
      <c r="FY18" s="179">
        <f t="shared" si="40"/>
        <v>0</v>
      </c>
      <c r="FZ18" s="179">
        <f t="shared" si="40"/>
        <v>0</v>
      </c>
      <c r="GA18" s="179">
        <f t="shared" si="40"/>
        <v>1</v>
      </c>
      <c r="GB18" s="179">
        <f t="shared" si="40"/>
        <v>0</v>
      </c>
      <c r="GC18" s="187">
        <f t="shared" si="40"/>
        <v>0</v>
      </c>
      <c r="GD18" s="203">
        <f t="shared" si="80"/>
        <v>0</v>
      </c>
      <c r="GE18" s="179">
        <f t="shared" si="80"/>
        <v>0</v>
      </c>
      <c r="GF18" s="179">
        <f t="shared" si="80"/>
        <v>0.33333333333333326</v>
      </c>
      <c r="GG18" s="258">
        <f t="shared" si="80"/>
        <v>66.666666666666671</v>
      </c>
      <c r="GH18" s="179"/>
      <c r="GJ18" s="82"/>
      <c r="GK18" s="24"/>
      <c r="GL18" s="185" t="e">
        <f>(CQ18/CQ51)*(EY52-EX52)</f>
        <v>#DIV/0!</v>
      </c>
      <c r="GM18" s="185">
        <f>((E53/G53)*(1-(CJ53/(CJ53+CK52))))/((E53/G53)*(1-(CJ53/(CJ53+CK52)))+((1-(E53/G53)))*(CJ53/(CJ53+CK52)))</f>
        <v>1</v>
      </c>
      <c r="GN18" s="24" t="e">
        <f>GK18+(GL18/10)+(GJ18*GM18*(1-(CJ53/(CJ53+CK52))))+(CK18*(1-GM18))</f>
        <v>#DIV/0!</v>
      </c>
      <c r="GO18" s="213" t="e">
        <f>GN18/(DD18*EG53)</f>
        <v>#DIV/0!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84"/>
      <c r="G19" s="115"/>
      <c r="H19" s="116"/>
      <c r="I19" s="484"/>
      <c r="J19" s="115"/>
      <c r="K19" s="116"/>
      <c r="L19" s="484"/>
      <c r="M19" s="115"/>
      <c r="N19" s="116"/>
      <c r="O19" s="484"/>
      <c r="P19" s="115"/>
      <c r="Q19" s="116"/>
      <c r="R19" s="484"/>
      <c r="S19" s="115"/>
      <c r="T19" s="116"/>
      <c r="U19" s="484"/>
      <c r="V19" s="115"/>
      <c r="W19" s="116"/>
      <c r="X19" s="484"/>
      <c r="Y19" s="115"/>
      <c r="Z19" s="116"/>
      <c r="AA19" s="484"/>
      <c r="AB19" s="115"/>
      <c r="AC19" s="116"/>
      <c r="AD19" s="484"/>
      <c r="AE19" s="117"/>
      <c r="AF19" s="485"/>
      <c r="AG19" s="114"/>
      <c r="AH19" s="484"/>
      <c r="AI19" s="115"/>
      <c r="AJ19" s="116"/>
      <c r="AK19" s="484"/>
      <c r="AL19" s="115"/>
      <c r="AM19" s="116"/>
      <c r="AN19" s="484"/>
      <c r="AO19" s="115"/>
      <c r="AP19" s="116"/>
      <c r="AQ19" s="484"/>
      <c r="AR19" s="115"/>
      <c r="AS19" s="116"/>
      <c r="AT19" s="484"/>
      <c r="AU19" s="115"/>
      <c r="AV19" s="116"/>
      <c r="AW19" s="484"/>
      <c r="AX19" s="115"/>
      <c r="AY19" s="116"/>
      <c r="AZ19" s="484"/>
      <c r="BA19" s="115"/>
      <c r="BB19" s="116"/>
      <c r="BC19" s="484"/>
      <c r="BD19" s="115"/>
      <c r="BE19" s="116"/>
      <c r="BF19" s="484"/>
      <c r="BG19" s="117"/>
      <c r="BH19" s="115"/>
      <c r="BI19" s="114"/>
      <c r="BJ19" s="484"/>
      <c r="BK19" s="115"/>
      <c r="BL19" s="116"/>
      <c r="BM19" s="484"/>
      <c r="BN19" s="115"/>
      <c r="BO19" s="116"/>
      <c r="BP19" s="484"/>
      <c r="BQ19" s="115"/>
      <c r="BR19" s="116"/>
      <c r="BS19" s="484"/>
      <c r="BT19" s="115"/>
      <c r="BU19" s="116"/>
      <c r="BV19" s="484"/>
      <c r="BW19" s="115"/>
      <c r="BX19" s="116"/>
      <c r="BY19" s="484"/>
      <c r="BZ19" s="115"/>
      <c r="CA19" s="116"/>
      <c r="CB19" s="484"/>
      <c r="CC19" s="115"/>
      <c r="CD19" s="116"/>
      <c r="CE19" s="484"/>
      <c r="CF19" s="115"/>
      <c r="CG19" s="116"/>
      <c r="CH19" s="484"/>
      <c r="CI19" s="117"/>
      <c r="CJ19" s="140">
        <v>0</v>
      </c>
      <c r="CK19" s="148">
        <v>0</v>
      </c>
      <c r="CL19" s="148"/>
      <c r="CM19" s="148"/>
      <c r="CN19" s="148">
        <f t="shared" si="48"/>
        <v>0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 t="str">
        <f t="shared" si="23"/>
        <v>0</v>
      </c>
      <c r="DV19" s="13" t="str">
        <f t="shared" si="60"/>
        <v>0</v>
      </c>
      <c r="DW19" s="14" t="str">
        <f t="shared" si="24"/>
        <v>0</v>
      </c>
      <c r="DX19" s="14">
        <f t="shared" si="25"/>
        <v>0</v>
      </c>
      <c r="DY19" s="14" t="str">
        <f t="shared" si="61"/>
        <v>0</v>
      </c>
      <c r="DZ19" s="15" t="str">
        <f t="shared" si="26"/>
        <v>0</v>
      </c>
      <c r="EA19" s="14" t="str">
        <f t="shared" si="62"/>
        <v>0</v>
      </c>
      <c r="EB19" s="14" t="str">
        <f t="shared" si="27"/>
        <v>0</v>
      </c>
      <c r="EC19" s="14">
        <f t="shared" si="28"/>
        <v>0</v>
      </c>
      <c r="ED19" s="14">
        <f t="shared" si="63"/>
        <v>0</v>
      </c>
      <c r="EE19" s="19">
        <f t="shared" si="64"/>
        <v>0</v>
      </c>
      <c r="EF19" s="67" t="str">
        <f t="shared" si="65"/>
        <v>0</v>
      </c>
      <c r="EG19" s="74">
        <f t="shared" si="66"/>
        <v>0</v>
      </c>
      <c r="EH19" s="27" t="str">
        <f t="shared" si="67"/>
        <v>0</v>
      </c>
      <c r="EI19" s="25" t="str">
        <f t="shared" si="68"/>
        <v>0</v>
      </c>
      <c r="EJ19" s="25">
        <f t="shared" si="69"/>
        <v>0</v>
      </c>
      <c r="EK19" s="26" t="str">
        <f t="shared" si="29"/>
        <v>0</v>
      </c>
      <c r="EL19" s="29" t="str">
        <f t="shared" si="70"/>
        <v>0</v>
      </c>
      <c r="EM19" s="30">
        <f t="shared" si="30"/>
        <v>0</v>
      </c>
      <c r="EN19" s="30" t="str">
        <f t="shared" si="31"/>
        <v>0</v>
      </c>
      <c r="EO19" s="31">
        <f t="shared" si="71"/>
        <v>0</v>
      </c>
      <c r="EP19" s="31" t="str">
        <f t="shared" si="32"/>
        <v>0</v>
      </c>
      <c r="EQ19" s="31">
        <f t="shared" si="72"/>
        <v>0</v>
      </c>
      <c r="ER19" s="93" t="str">
        <f t="shared" si="33"/>
        <v>0</v>
      </c>
      <c r="ES19" s="109">
        <f t="shared" si="34"/>
        <v>0</v>
      </c>
      <c r="ET19" s="32" t="str">
        <f t="shared" si="35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0</v>
      </c>
      <c r="FT19" s="140">
        <f t="shared" si="39"/>
        <v>0</v>
      </c>
      <c r="FU19" s="140">
        <f t="shared" si="40"/>
        <v>0</v>
      </c>
      <c r="FV19" s="175"/>
      <c r="FW19" s="140"/>
      <c r="FX19" s="140"/>
      <c r="FY19" s="140"/>
      <c r="FZ19" s="140"/>
      <c r="GA19" s="140">
        <f t="shared" si="40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89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85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48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 t="str">
        <f t="shared" si="23"/>
        <v>0</v>
      </c>
      <c r="DV20" s="13" t="str">
        <f t="shared" si="60"/>
        <v>0</v>
      </c>
      <c r="DW20" s="14" t="str">
        <f t="shared" si="24"/>
        <v>0</v>
      </c>
      <c r="DX20" s="14">
        <f t="shared" si="25"/>
        <v>0</v>
      </c>
      <c r="DY20" s="14" t="str">
        <f t="shared" si="61"/>
        <v>0</v>
      </c>
      <c r="DZ20" s="15" t="str">
        <f t="shared" si="26"/>
        <v>0</v>
      </c>
      <c r="EA20" s="14" t="str">
        <f t="shared" si="62"/>
        <v>0</v>
      </c>
      <c r="EB20" s="14" t="str">
        <f t="shared" si="27"/>
        <v>0</v>
      </c>
      <c r="EC20" s="14">
        <f t="shared" si="28"/>
        <v>0</v>
      </c>
      <c r="ED20" s="14">
        <f t="shared" si="63"/>
        <v>0</v>
      </c>
      <c r="EE20" s="19">
        <f t="shared" si="64"/>
        <v>0</v>
      </c>
      <c r="EF20" s="67" t="str">
        <f t="shared" si="65"/>
        <v>0</v>
      </c>
      <c r="EG20" s="74">
        <f t="shared" si="66"/>
        <v>0</v>
      </c>
      <c r="EH20" s="27" t="str">
        <f t="shared" si="67"/>
        <v>0</v>
      </c>
      <c r="EI20" s="25" t="str">
        <f t="shared" si="68"/>
        <v>0</v>
      </c>
      <c r="EJ20" s="25">
        <f t="shared" si="69"/>
        <v>0</v>
      </c>
      <c r="EK20" s="26" t="str">
        <f t="shared" si="29"/>
        <v>0</v>
      </c>
      <c r="EL20" s="29" t="str">
        <f t="shared" si="70"/>
        <v>0</v>
      </c>
      <c r="EM20" s="30">
        <f t="shared" si="30"/>
        <v>0</v>
      </c>
      <c r="EN20" s="30" t="str">
        <f t="shared" si="31"/>
        <v>0</v>
      </c>
      <c r="EO20" s="31">
        <f t="shared" si="71"/>
        <v>0</v>
      </c>
      <c r="EP20" s="31" t="str">
        <f t="shared" si="32"/>
        <v>0</v>
      </c>
      <c r="EQ20" s="31">
        <f t="shared" si="72"/>
        <v>0</v>
      </c>
      <c r="ER20" s="93" t="str">
        <f t="shared" si="33"/>
        <v>0</v>
      </c>
      <c r="ES20" s="109">
        <f t="shared" si="34"/>
        <v>0</v>
      </c>
      <c r="ET20" s="32" t="str">
        <f t="shared" si="35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0</v>
      </c>
      <c r="FT20" s="140">
        <f t="shared" si="39"/>
        <v>0</v>
      </c>
      <c r="FU20" s="140">
        <f t="shared" ref="FU20:FZ23" si="82">CN20</f>
        <v>0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24.7</v>
      </c>
      <c r="E21" s="163">
        <f>IFERROR(SUM(E4:E20),"0")</f>
        <v>5</v>
      </c>
      <c r="F21" s="118" t="s">
        <v>52</v>
      </c>
      <c r="G21" s="145">
        <f>IFERROR(SUM(G4:G20),"0")</f>
        <v>13</v>
      </c>
      <c r="H21" s="143" t="s">
        <v>53</v>
      </c>
      <c r="I21" s="230">
        <f>IFERROR(SUM(I4:I20),"0")</f>
        <v>3</v>
      </c>
      <c r="J21" s="145" t="s">
        <v>54</v>
      </c>
      <c r="K21" s="143">
        <f>IFERROR(SUM(K4:K20),"0")</f>
        <v>2</v>
      </c>
      <c r="L21" s="118" t="s">
        <v>52</v>
      </c>
      <c r="M21" s="145">
        <f>IFERROR(SUM(M4:M20),"0")</f>
        <v>3</v>
      </c>
      <c r="N21" s="143" t="s">
        <v>53</v>
      </c>
      <c r="O21" s="118">
        <f>IFERROR(SUM(O4:O20),"0")</f>
        <v>0</v>
      </c>
      <c r="P21" s="145" t="s">
        <v>54</v>
      </c>
      <c r="Q21" s="111">
        <f>IFERROR(SUM(Q4:Q20),"0")</f>
        <v>0</v>
      </c>
      <c r="R21" s="118" t="s">
        <v>52</v>
      </c>
      <c r="S21" s="145">
        <f>IFERROR(SUM(S4:S20),"0")</f>
        <v>1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3</v>
      </c>
      <c r="X21" s="118" t="s">
        <v>52</v>
      </c>
      <c r="Y21" s="145">
        <f>IFERROR(SUM(Y4:Y18),"0")</f>
        <v>9</v>
      </c>
      <c r="Z21" s="143" t="s">
        <v>53</v>
      </c>
      <c r="AA21" s="118">
        <f>IFERROR(SUM(AA4:AA18),"0")</f>
        <v>3</v>
      </c>
      <c r="AB21" s="111" t="s">
        <v>54</v>
      </c>
      <c r="AC21" s="143">
        <f>IFERROR(SUM(AC4:AC18),"0")</f>
        <v>0</v>
      </c>
      <c r="AD21" s="118" t="s">
        <v>52</v>
      </c>
      <c r="AE21" s="146">
        <f>IFERROR(SUM(AE4:AE18),"0")</f>
        <v>0</v>
      </c>
      <c r="AF21" s="129"/>
      <c r="AG21" s="144">
        <f>IFERROR(SUM(AG4:AG18),"0")</f>
        <v>4</v>
      </c>
      <c r="AH21" s="118" t="s">
        <v>52</v>
      </c>
      <c r="AI21" s="145">
        <f>IFERROR(SUM(AI4:AI18),"0")</f>
        <v>10</v>
      </c>
      <c r="AJ21" s="143" t="s">
        <v>53</v>
      </c>
      <c r="AK21" s="111">
        <f>IFERROR(SUM(AK4:AK18),"0")</f>
        <v>3</v>
      </c>
      <c r="AL21" s="145" t="s">
        <v>54</v>
      </c>
      <c r="AM21" s="143">
        <f>IFERROR(SUM(AM4:AM18),"0")</f>
        <v>1</v>
      </c>
      <c r="AN21" s="118" t="s">
        <v>52</v>
      </c>
      <c r="AO21" s="145">
        <f>IFERROR(SUM(AO4:AO18),"0")</f>
        <v>2</v>
      </c>
      <c r="AP21" s="143" t="s">
        <v>53</v>
      </c>
      <c r="AQ21" s="111">
        <f>IFERROR(SUM(AQ4:AQ18),"0")</f>
        <v>0</v>
      </c>
      <c r="AR21" s="111" t="s">
        <v>54</v>
      </c>
      <c r="AS21" s="143">
        <f>IFERROR(SUM(AS4:AS18),"0")</f>
        <v>0</v>
      </c>
      <c r="AT21" s="118" t="s">
        <v>52</v>
      </c>
      <c r="AU21" s="145">
        <f>IFERROR(SUM(AU4:AU18),"0")</f>
        <v>0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3</v>
      </c>
      <c r="AZ21" s="118" t="s">
        <v>52</v>
      </c>
      <c r="BA21" s="145">
        <f>IFERROR(SUM(BA4:BA18),"0")</f>
        <v>8</v>
      </c>
      <c r="BB21" s="143" t="s">
        <v>53</v>
      </c>
      <c r="BC21" s="118">
        <f>IFERROR(SUM(BC4:BC18),"0")</f>
        <v>3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1</v>
      </c>
      <c r="BJ21" s="118" t="s">
        <v>52</v>
      </c>
      <c r="BK21" s="145">
        <f>IFERROR(SUM(BK4:BK18),"0")</f>
        <v>3</v>
      </c>
      <c r="BL21" s="143" t="s">
        <v>53</v>
      </c>
      <c r="BM21" s="118">
        <f>IFERROR(SUM(BM4:BM18),"0")</f>
        <v>0</v>
      </c>
      <c r="BN21" s="145" t="s">
        <v>54</v>
      </c>
      <c r="BO21" s="143">
        <f>IFERROR(SUM(BO4:BO18),"0")</f>
        <v>1</v>
      </c>
      <c r="BP21" s="118" t="s">
        <v>52</v>
      </c>
      <c r="BQ21" s="145">
        <f>IFERROR(SUM(BQ4:BQ18),"0")</f>
        <v>1</v>
      </c>
      <c r="BR21" s="143" t="s">
        <v>53</v>
      </c>
      <c r="BS21" s="118">
        <f>IFERROR(SUM(BS4:BS18),"0")</f>
        <v>0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1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0</v>
      </c>
      <c r="CB21" s="118" t="s">
        <v>52</v>
      </c>
      <c r="CC21" s="145">
        <f>IFERROR(SUM(CC4:CC18),"0")</f>
        <v>1</v>
      </c>
      <c r="CD21" s="143" t="s">
        <v>53</v>
      </c>
      <c r="CE21" s="118">
        <f>IFERROR(SUM(CE4:CE18),"0")</f>
        <v>0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0</v>
      </c>
      <c r="CK21" s="129">
        <f>IFERROR(SUM(CK4:CK20),"0")</f>
        <v>8</v>
      </c>
      <c r="CL21" s="129">
        <f>IFERROR(SUM(CL4:CL20),"0")</f>
        <v>3</v>
      </c>
      <c r="CM21" s="129">
        <f t="shared" ref="CM21" si="85">IFERROR(SUM(CM4:CM20),"0")</f>
        <v>5</v>
      </c>
      <c r="CN21" s="129">
        <f t="shared" si="84"/>
        <v>8</v>
      </c>
      <c r="CO21" s="438">
        <f t="shared" si="84"/>
        <v>3</v>
      </c>
      <c r="CP21" s="11">
        <f t="shared" si="84"/>
        <v>4</v>
      </c>
      <c r="CQ21" s="356">
        <f t="shared" si="84"/>
        <v>0</v>
      </c>
      <c r="CR21" s="158">
        <f t="shared" si="84"/>
        <v>0</v>
      </c>
      <c r="CS21" s="129">
        <f t="shared" si="84"/>
        <v>3</v>
      </c>
      <c r="CT21" s="129">
        <f t="shared" si="84"/>
        <v>4</v>
      </c>
      <c r="CU21" s="129">
        <f t="shared" si="84"/>
        <v>1</v>
      </c>
      <c r="CV21" s="209">
        <f t="shared" si="84"/>
        <v>13</v>
      </c>
      <c r="CW21" s="11"/>
      <c r="CX21" s="150">
        <f>DG21</f>
        <v>0.5</v>
      </c>
      <c r="CY21" s="151">
        <f>DN21</f>
        <v>0.33333333333333331</v>
      </c>
      <c r="CZ21" s="151">
        <f>DH21</f>
        <v>0</v>
      </c>
      <c r="DA21" s="156">
        <f>FA21</f>
        <v>0</v>
      </c>
      <c r="DB21" s="149" t="s">
        <v>219</v>
      </c>
      <c r="DC21" s="123"/>
      <c r="DD21" s="34"/>
      <c r="DE21" s="34"/>
      <c r="DF21" s="35"/>
      <c r="DG21" s="37">
        <f>IFERROR(((E21-W21)+1.5*W21)/G21,"0")</f>
        <v>0.5</v>
      </c>
      <c r="DH21" s="37">
        <f>IFERROR(CJ21/(CJ21+CK21),"0")</f>
        <v>0</v>
      </c>
      <c r="DI21" s="34"/>
      <c r="DJ21" s="35"/>
      <c r="DK21" s="35"/>
      <c r="DL21" s="35"/>
      <c r="DM21" s="35"/>
      <c r="DN21" s="37">
        <f>IFERROR(CT21/EG21,"0")</f>
        <v>0.33333333333333331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IFERROR(SUM(EG4:EG18),"0")</f>
        <v>12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0</v>
      </c>
      <c r="EY21" s="6">
        <f>IFERROR(SUM(EY4:EY18),"0")</f>
        <v>0</v>
      </c>
      <c r="EZ21" s="6" t="str">
        <f>IFERROR(E21+(1-(1-(EX21/EY21))^2)*EY21*0.4,"0")</f>
        <v>0</v>
      </c>
      <c r="FA21" s="6">
        <f>IFERROR(EY21/G21,"0")</f>
        <v>0</v>
      </c>
      <c r="FC21" s="234"/>
      <c r="FD21" s="235"/>
      <c r="FE21" s="236" t="s">
        <v>219</v>
      </c>
      <c r="FF21" s="237">
        <f t="shared" ref="FF21:FG23" si="86">D21</f>
        <v>24.7</v>
      </c>
      <c r="FG21" s="206">
        <f t="shared" si="86"/>
        <v>5</v>
      </c>
      <c r="FH21" s="238" t="s">
        <v>52</v>
      </c>
      <c r="FI21" s="210">
        <f t="shared" si="74"/>
        <v>13</v>
      </c>
      <c r="FJ21" s="239">
        <f t="shared" si="75"/>
        <v>0.38461538461538464</v>
      </c>
      <c r="FK21" s="234">
        <f>W21</f>
        <v>3</v>
      </c>
      <c r="FL21" s="238" t="s">
        <v>52</v>
      </c>
      <c r="FM21" s="240">
        <f>Y21</f>
        <v>9</v>
      </c>
      <c r="FN21" s="239">
        <f t="shared" si="76"/>
        <v>0.33333333333333331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9"/>
        <v>0</v>
      </c>
      <c r="FS21" s="235">
        <f t="shared" si="39"/>
        <v>0</v>
      </c>
      <c r="FT21" s="235">
        <f t="shared" si="39"/>
        <v>8</v>
      </c>
      <c r="FU21" s="235">
        <f t="shared" si="82"/>
        <v>8</v>
      </c>
      <c r="FV21" s="241">
        <f t="shared" si="82"/>
        <v>3</v>
      </c>
      <c r="FW21" s="235">
        <f t="shared" si="82"/>
        <v>4</v>
      </c>
      <c r="FX21" s="235">
        <f t="shared" si="82"/>
        <v>0</v>
      </c>
      <c r="FY21" s="235">
        <f t="shared" si="82"/>
        <v>0</v>
      </c>
      <c r="FZ21" s="235">
        <f t="shared" si="82"/>
        <v>3</v>
      </c>
      <c r="GA21" s="235">
        <f t="shared" si="83"/>
        <v>4</v>
      </c>
      <c r="GB21" s="235">
        <f t="shared" si="83"/>
        <v>1</v>
      </c>
      <c r="GC21" s="241">
        <f t="shared" si="83"/>
        <v>13</v>
      </c>
      <c r="GD21" s="204">
        <f t="shared" ref="GD21:GG23" si="87">CX21</f>
        <v>0.5</v>
      </c>
      <c r="GE21" s="205">
        <f t="shared" si="87"/>
        <v>0.33333333333333331</v>
      </c>
      <c r="GF21" s="205">
        <f t="shared" si="87"/>
        <v>0</v>
      </c>
      <c r="GG21" s="152">
        <f t="shared" si="87"/>
        <v>0</v>
      </c>
      <c r="GH21" s="242"/>
      <c r="GO21" s="489"/>
    </row>
    <row r="22" spans="1:197" x14ac:dyDescent="0.2">
      <c r="A22" s="139"/>
      <c r="B22" s="139"/>
      <c r="C22" s="432" t="s">
        <v>116</v>
      </c>
      <c r="D22" s="121">
        <f>IFERROR(SUMIFS(D4:D20,B4:B20,"R"),"0")</f>
        <v>12.350000000000001</v>
      </c>
      <c r="E22" s="162">
        <f>IFERROR(SUMIFS(E4:E20,B4:B20,"R"),"0")</f>
        <v>3</v>
      </c>
      <c r="F22" s="143" t="s">
        <v>52</v>
      </c>
      <c r="G22" s="145">
        <f>IFERROR(SUMIFS(G4:G20,B4:B20,"R"),"0")</f>
        <v>7</v>
      </c>
      <c r="H22" s="143" t="s">
        <v>53</v>
      </c>
      <c r="I22" s="118">
        <f>IFERROR(SUMIFS(I4:I20,B4:B20,"R"),"0")</f>
        <v>2</v>
      </c>
      <c r="J22" s="145" t="s">
        <v>54</v>
      </c>
      <c r="K22" s="143">
        <f>IFERROR(SUMIFS(K4:K20,B4:B20,"R"),"0")</f>
        <v>1</v>
      </c>
      <c r="L22" s="143" t="s">
        <v>52</v>
      </c>
      <c r="M22" s="145">
        <f>IFERROR(SUMIFS(M4:M20,B4:B20,"R"),"0")</f>
        <v>1</v>
      </c>
      <c r="N22" s="143" t="s">
        <v>53</v>
      </c>
      <c r="O22" s="118">
        <f>IFERROR(SUMIFS(O4:O20,B4:B20,"R"),"0")</f>
        <v>0</v>
      </c>
      <c r="P22" s="145" t="s">
        <v>54</v>
      </c>
      <c r="Q22" s="111">
        <f>IFERROR(SUMIFS(Q4:Q20,B4:B20,"R"),"0")</f>
        <v>0</v>
      </c>
      <c r="R22" s="143" t="s">
        <v>52</v>
      </c>
      <c r="S22" s="145">
        <f>IFERROR(SUMIFS(S4:S20,B4:B20,"R"),"0")</f>
        <v>0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2</v>
      </c>
      <c r="X22" s="143" t="s">
        <v>52</v>
      </c>
      <c r="Y22" s="145">
        <f>IFERROR(SUMIFS(Y4:Y20,B4:B20,"R"),"0")</f>
        <v>6</v>
      </c>
      <c r="Z22" s="143" t="s">
        <v>53</v>
      </c>
      <c r="AA22" s="118">
        <f>IFERROR(SUMIFS(AA4:AA20,B4:B20,"R"),"0")</f>
        <v>2</v>
      </c>
      <c r="AB22" s="111" t="s">
        <v>54</v>
      </c>
      <c r="AC22" s="143">
        <f>IFERROR(SUMIFS(AC4:AC20,B4:B20,"R"),"0")</f>
        <v>0</v>
      </c>
      <c r="AD22" s="143" t="s">
        <v>52</v>
      </c>
      <c r="AE22" s="146">
        <f>IFERROR(SUMIFS(AE4:AE20,B4:B20,"R"),"0")</f>
        <v>0</v>
      </c>
      <c r="AF22" s="143"/>
      <c r="AG22" s="144">
        <f>IFERROR(SUMIFS(AG4:AG20,B4:B20,"R"),"0")</f>
        <v>2</v>
      </c>
      <c r="AH22" s="143" t="s">
        <v>52</v>
      </c>
      <c r="AI22" s="145">
        <f>IFERROR(SUMIFS(AI4:AI20,B4:B20,"R"),"0")</f>
        <v>6</v>
      </c>
      <c r="AJ22" s="143" t="s">
        <v>53</v>
      </c>
      <c r="AK22" s="111">
        <f>IFERROR(SUMIFS(AK4:AK20,B4:B20,"R"),"0")</f>
        <v>2</v>
      </c>
      <c r="AL22" s="145" t="s">
        <v>54</v>
      </c>
      <c r="AM22" s="143">
        <f>IFERROR(SUMIFS(AM4:AM20,B4:B20,"R"),"0")</f>
        <v>0</v>
      </c>
      <c r="AN22" s="143" t="s">
        <v>52</v>
      </c>
      <c r="AO22" s="145">
        <f>IFERROR(SUMIFS(AO4:AO20,B4:B20,"R"),"0")</f>
        <v>0</v>
      </c>
      <c r="AP22" s="143" t="s">
        <v>53</v>
      </c>
      <c r="AQ22" s="111">
        <f>IFERROR(SUMIFS(AQ4:AQ20,B4:B20,"R"),"0")</f>
        <v>0</v>
      </c>
      <c r="AR22" s="111" t="s">
        <v>54</v>
      </c>
      <c r="AS22" s="143">
        <f>IFERROR(SUMIFS(AS4:AS20,B4:B20,"R"),"0")</f>
        <v>0</v>
      </c>
      <c r="AT22" s="143" t="s">
        <v>52</v>
      </c>
      <c r="AU22" s="145">
        <f>IFERROR(SUMIFS(AU4:AU20,B4:B20,"R"),"0")</f>
        <v>0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2</v>
      </c>
      <c r="AZ22" s="143" t="s">
        <v>52</v>
      </c>
      <c r="BA22" s="145">
        <f>IFERROR(SUMIFS(BA4:BA20,B4:B20,"R"),"0")</f>
        <v>6</v>
      </c>
      <c r="BB22" s="143" t="s">
        <v>53</v>
      </c>
      <c r="BC22" s="118">
        <f>IFERROR(SUMIFS(BC4:BC20,B4:B20,"R"),"0")</f>
        <v>2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1</v>
      </c>
      <c r="BJ22" s="143" t="s">
        <v>52</v>
      </c>
      <c r="BK22" s="145">
        <f>IFERROR(SUMIFS(BK4:BK20,B4:B20,"R"),"0")</f>
        <v>1</v>
      </c>
      <c r="BL22" s="143" t="s">
        <v>53</v>
      </c>
      <c r="BM22" s="118">
        <f>IFERROR(SUMIFS(BM4:BM20,B4:B20,"R"),"0")</f>
        <v>0</v>
      </c>
      <c r="BN22" s="145" t="s">
        <v>54</v>
      </c>
      <c r="BO22" s="143">
        <f>IFERROR(SUMIFS(BO4:BO20,B4:B20,"R"),"0")</f>
        <v>1</v>
      </c>
      <c r="BP22" s="143" t="s">
        <v>52</v>
      </c>
      <c r="BQ22" s="145">
        <f>IFERROR(SUMIFS(BQ4:BQ20,B4:B20,"R"),"0")</f>
        <v>1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0</v>
      </c>
      <c r="CB22" s="143" t="s">
        <v>52</v>
      </c>
      <c r="CC22" s="145">
        <f>IFERROR(SUMIFS(CC4:CC20,B4:B20,"R"),"0")</f>
        <v>0</v>
      </c>
      <c r="CD22" s="143" t="s">
        <v>53</v>
      </c>
      <c r="CE22" s="118">
        <f>IFERROR(SUMIFS(CE4:CE20,B4:B20,"R"),"0")</f>
        <v>0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0</v>
      </c>
      <c r="CK22" s="118">
        <f>IFERROR(SUMIFS(CK4:CK20,B4:B20,"R"),"0")</f>
        <v>5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5</v>
      </c>
      <c r="CO22" s="175">
        <f>IFERROR(SUMIFS(CO4:CO20,B4:B20,"R"),"0")</f>
        <v>2</v>
      </c>
      <c r="CP22" s="118">
        <f>IFERROR(SUMIFS(CP4:CP20,B4:B20,"R"),"0")</f>
        <v>2</v>
      </c>
      <c r="CQ22" s="175">
        <f>IFERROR(SUMIFS(CQ4:CQ20,B4:B20,"R"),"0")</f>
        <v>0</v>
      </c>
      <c r="CR22" s="118">
        <f>IFERROR(SUMIFS(CR4:CR20,B4:B20,"R"),"0")</f>
        <v>0</v>
      </c>
      <c r="CS22" s="118">
        <f>IFERROR(SUMIFS(CS4:CS20,B4:B20,"R"),"0")</f>
        <v>2</v>
      </c>
      <c r="CT22" s="118">
        <f>IFERROR(SUMIFS(CT4:CT20,B4:B20,"R"),"0")</f>
        <v>2</v>
      </c>
      <c r="CU22" s="118">
        <f>IFERROR(SUMIFS(CU4:CU20,B4:B20,"R"),"0")</f>
        <v>1</v>
      </c>
      <c r="CV22" s="119">
        <f>IFERROR(SUMIFS(CV4:CV20,B4:B20,"R"),"0")</f>
        <v>8</v>
      </c>
      <c r="CW22" s="118"/>
      <c r="CX22" s="134">
        <f>DG22</f>
        <v>0.5714285714285714</v>
      </c>
      <c r="CY22" s="121">
        <f>DN22</f>
        <v>0.33333333333333331</v>
      </c>
      <c r="CZ22" s="121">
        <f>DH22</f>
        <v>0</v>
      </c>
      <c r="DA22" s="135">
        <f>FA22</f>
        <v>0</v>
      </c>
      <c r="DB22" s="433" t="s">
        <v>231</v>
      </c>
      <c r="DC22" s="116"/>
      <c r="DD22" s="34"/>
      <c r="DE22" s="34"/>
      <c r="DF22" s="35"/>
      <c r="DG22" s="37">
        <f>IFERROR(((E22-W22)+1.5*W22)/G22,"0")</f>
        <v>0.5714285714285714</v>
      </c>
      <c r="DH22" s="37">
        <f>IFERROR(CJ22/(CJ22+CK23),"0")</f>
        <v>0</v>
      </c>
      <c r="DI22" s="34"/>
      <c r="DJ22" s="35"/>
      <c r="DK22" s="35"/>
      <c r="DL22" s="35"/>
      <c r="DM22" s="35"/>
      <c r="DN22" s="37">
        <f>IFERROR(CT22/EG22,"0")</f>
        <v>0.33333333333333331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6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0</v>
      </c>
      <c r="EY22" s="6">
        <f>IFERROR(SUMIFS(EY4:EY20,B4:B20,"R"),"0")</f>
        <v>0</v>
      </c>
      <c r="EZ22" s="6" t="str">
        <f>IFERROR(E22+(1-(1-(EX22/EY22))^2)*EY22*0.4,"0")</f>
        <v>0</v>
      </c>
      <c r="FA22" s="6">
        <f>IFERROR(EY22/G22,"0")</f>
        <v>0</v>
      </c>
      <c r="FC22" s="139"/>
      <c r="FD22" s="139"/>
      <c r="FE22" s="437" t="s">
        <v>232</v>
      </c>
      <c r="FF22" s="121">
        <f t="shared" si="86"/>
        <v>12.350000000000001</v>
      </c>
      <c r="FG22" s="144">
        <f t="shared" si="86"/>
        <v>3</v>
      </c>
      <c r="FH22" s="484" t="s">
        <v>52</v>
      </c>
      <c r="FI22" s="145">
        <f t="shared" si="74"/>
        <v>7</v>
      </c>
      <c r="FJ22" s="194">
        <f t="shared" si="75"/>
        <v>0.42857142857142855</v>
      </c>
      <c r="FK22" s="110">
        <f>W22</f>
        <v>2</v>
      </c>
      <c r="FL22" s="484" t="s">
        <v>52</v>
      </c>
      <c r="FM22" s="168">
        <f>Y22</f>
        <v>6</v>
      </c>
      <c r="FN22" s="194">
        <f t="shared" si="76"/>
        <v>0.33333333333333331</v>
      </c>
      <c r="FO22" s="110">
        <f>IFERROR(SUMIFS(FO4:FO20,B4:B20,"R"),"0")</f>
        <v>0</v>
      </c>
      <c r="FP22" s="484" t="s">
        <v>52</v>
      </c>
      <c r="FQ22" s="131">
        <f>IFERROR(SUMIFS(FQ4:FQ20,B4:B20,"R"),"0")</f>
        <v>0</v>
      </c>
      <c r="FR22" s="197" t="str">
        <f t="shared" si="79"/>
        <v>0</v>
      </c>
      <c r="FS22" s="118">
        <f t="shared" si="39"/>
        <v>0</v>
      </c>
      <c r="FT22" s="118">
        <f t="shared" si="39"/>
        <v>5</v>
      </c>
      <c r="FU22" s="118">
        <f t="shared" si="82"/>
        <v>5</v>
      </c>
      <c r="FV22" s="175">
        <f t="shared" si="82"/>
        <v>2</v>
      </c>
      <c r="FW22" s="118">
        <f t="shared" si="82"/>
        <v>2</v>
      </c>
      <c r="FX22" s="118">
        <f t="shared" si="82"/>
        <v>0</v>
      </c>
      <c r="FY22" s="118">
        <f t="shared" si="82"/>
        <v>0</v>
      </c>
      <c r="FZ22" s="118">
        <f t="shared" si="82"/>
        <v>2</v>
      </c>
      <c r="GA22" s="118">
        <f t="shared" si="83"/>
        <v>2</v>
      </c>
      <c r="GB22" s="118">
        <f t="shared" si="83"/>
        <v>1</v>
      </c>
      <c r="GC22" s="175">
        <f t="shared" si="83"/>
        <v>8</v>
      </c>
      <c r="GD22" s="134">
        <f t="shared" si="87"/>
        <v>0.5714285714285714</v>
      </c>
      <c r="GE22" s="121">
        <f t="shared" si="87"/>
        <v>0.33333333333333331</v>
      </c>
      <c r="GF22" s="121">
        <f t="shared" si="87"/>
        <v>0</v>
      </c>
      <c r="GG22" s="135">
        <f t="shared" si="87"/>
        <v>0</v>
      </c>
      <c r="GH22" s="208"/>
      <c r="GO22" s="489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12.350000000000001</v>
      </c>
      <c r="E23" s="162">
        <f>IFERROR(SUMIFS(E4:E20,B4:B20,"W"),"0")</f>
        <v>2</v>
      </c>
      <c r="F23" s="143" t="s">
        <v>52</v>
      </c>
      <c r="G23" s="145">
        <f>IFERROR(SUMIFS(G4:G20,B4:B20,"W"),"0")</f>
        <v>6</v>
      </c>
      <c r="H23" s="143" t="s">
        <v>53</v>
      </c>
      <c r="I23" s="118">
        <f>IFERROR(SUMIFS(I4:I20,B4:B20,"W"),"0")</f>
        <v>1</v>
      </c>
      <c r="J23" s="145" t="s">
        <v>54</v>
      </c>
      <c r="K23" s="143">
        <f>IFERROR(SUMIFS(K4:K20,B4:B20,"W"),"0")</f>
        <v>1</v>
      </c>
      <c r="L23" s="143" t="s">
        <v>52</v>
      </c>
      <c r="M23" s="145">
        <f>IFERROR(SUMIFS(M4:M20,B4:B20,"W"),"0")</f>
        <v>2</v>
      </c>
      <c r="N23" s="143" t="s">
        <v>53</v>
      </c>
      <c r="O23" s="118">
        <f>IFERROR(SUMIFS(O4:O20,B4:B20,"W"),"0")</f>
        <v>0</v>
      </c>
      <c r="P23" s="145" t="s">
        <v>54</v>
      </c>
      <c r="Q23" s="111">
        <f>IFERROR(SUMIFS(Q4:Q20,B4:B20,"W"),"0")</f>
        <v>0</v>
      </c>
      <c r="R23" s="143" t="s">
        <v>52</v>
      </c>
      <c r="S23" s="145">
        <f>IFERROR(SUMIFS(S4:S20,B4:B20,"W"),"0")</f>
        <v>1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1</v>
      </c>
      <c r="X23" s="143" t="s">
        <v>52</v>
      </c>
      <c r="Y23" s="145">
        <f>IFERROR(SUMIFS(Y4:Y20,B4:B20,"W"),"0")</f>
        <v>3</v>
      </c>
      <c r="Z23" s="143" t="s">
        <v>53</v>
      </c>
      <c r="AA23" s="118">
        <f>IFERROR(SUMIFS(AA4:AA20,B4:B20,"W"),"0")</f>
        <v>1</v>
      </c>
      <c r="AB23" s="111" t="s">
        <v>54</v>
      </c>
      <c r="AC23" s="143">
        <f>IFERROR(SUMIFS(AC4:AC20,B4:B20,"W"),"0")</f>
        <v>0</v>
      </c>
      <c r="AD23" s="143" t="s">
        <v>52</v>
      </c>
      <c r="AE23" s="146">
        <f>IFERROR(SUMIFS(AE4:AE20,B4:B20,"W"),"0")</f>
        <v>0</v>
      </c>
      <c r="AF23" s="143"/>
      <c r="AG23" s="144">
        <f>IFERROR(SUMIFS(AG4:AG20,B4:B20,"W"),"0")</f>
        <v>2</v>
      </c>
      <c r="AH23" s="143" t="s">
        <v>52</v>
      </c>
      <c r="AI23" s="145">
        <f>IFERROR(SUMIFS(AI4:AI20,B4:B20,"W"),"0")</f>
        <v>4</v>
      </c>
      <c r="AJ23" s="143" t="s">
        <v>53</v>
      </c>
      <c r="AK23" s="111">
        <f>IFERROR(SUMIFS(AK4:AK20,B4:B20,"W"),"0")</f>
        <v>1</v>
      </c>
      <c r="AL23" s="145" t="s">
        <v>54</v>
      </c>
      <c r="AM23" s="143">
        <f>IFERROR(SUMIFS(AM4:AM20,B4:B20,"W"),"0")</f>
        <v>1</v>
      </c>
      <c r="AN23" s="143" t="s">
        <v>52</v>
      </c>
      <c r="AO23" s="145">
        <f>IFERROR(SUMIFS(AO4:AO20,B4:B20,"W"),"0")</f>
        <v>2</v>
      </c>
      <c r="AP23" s="143" t="s">
        <v>53</v>
      </c>
      <c r="AQ23" s="111">
        <f>IFERROR(SUMIFS(AQ4:AQ20,B4:B20,"W"),"0")</f>
        <v>0</v>
      </c>
      <c r="AR23" s="111" t="s">
        <v>54</v>
      </c>
      <c r="AS23" s="143">
        <f>IFERROR(SUMIFS(AS4:AS20,B4:B20,"W"),"0")</f>
        <v>0</v>
      </c>
      <c r="AT23" s="143" t="s">
        <v>52</v>
      </c>
      <c r="AU23" s="145">
        <f>IFERROR(SUMIFS(AU4:AU20,B4:B20,"W"),"0")</f>
        <v>0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1</v>
      </c>
      <c r="AZ23" s="143" t="s">
        <v>52</v>
      </c>
      <c r="BA23" s="145">
        <f>IFERROR(SUMIFS(BA4:BA20,B4:B20,"W"),"0")</f>
        <v>2</v>
      </c>
      <c r="BB23" s="143" t="s">
        <v>53</v>
      </c>
      <c r="BC23" s="118">
        <f>IFERROR(SUMIFS(BC4:BC20,B4:B20,"W"),"0")</f>
        <v>1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0</v>
      </c>
      <c r="BJ23" s="143" t="s">
        <v>52</v>
      </c>
      <c r="BK23" s="145">
        <f>IFERROR(SUMIFS(BK4:BK20,B4:B20,"W"),"0")</f>
        <v>2</v>
      </c>
      <c r="BL23" s="143" t="s">
        <v>53</v>
      </c>
      <c r="BM23" s="118">
        <f>IFERROR(SUMIFS(BM4:BM20,B4:B20,"W"),"0")</f>
        <v>0</v>
      </c>
      <c r="BN23" s="145" t="s">
        <v>54</v>
      </c>
      <c r="BO23" s="143">
        <f>IFERROR(SUMIFS(BO4:BO20,B4:B20,"W"),"0")</f>
        <v>0</v>
      </c>
      <c r="BP23" s="143" t="s">
        <v>52</v>
      </c>
      <c r="BQ23" s="145">
        <f>IFERROR(SUMIFS(BQ4:BQ20,B4:B20,"W"),"0")</f>
        <v>0</v>
      </c>
      <c r="BR23" s="143" t="s">
        <v>53</v>
      </c>
      <c r="BS23" s="143">
        <f>IFERROR(SUMIFS(BS4:BS20,B4:B20,"W"),"0")</f>
        <v>0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1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0</v>
      </c>
      <c r="CB23" s="143" t="s">
        <v>52</v>
      </c>
      <c r="CC23" s="145">
        <f>IFERROR(SUMIFS(CC4:CC20,B4:B20,"W"),"0")</f>
        <v>1</v>
      </c>
      <c r="CD23" s="143" t="s">
        <v>53</v>
      </c>
      <c r="CE23" s="118">
        <f>IFERROR(SUMIFS(CE4:CE20,B4:B20,"W"),"0")</f>
        <v>0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0</v>
      </c>
      <c r="CK23" s="118">
        <f>IFERROR(SUMIFS(CK4:CK20,B4:B20,"W"),"0")</f>
        <v>3</v>
      </c>
      <c r="CL23" s="118">
        <f t="shared" ref="CL23:CM23" si="89">IFERROR(SUMIFS(CL4:CL20,C4:C20,"W"),"0")</f>
        <v>0</v>
      </c>
      <c r="CM23" s="118">
        <f t="shared" si="89"/>
        <v>0</v>
      </c>
      <c r="CN23" s="118">
        <f>IFERROR(SUMIFS(CN4:CN20,B4:B20,"W"),"0")</f>
        <v>3</v>
      </c>
      <c r="CO23" s="175">
        <f>IFERROR(SUMIFS(CO4:CO20,B4:B20,"W"),"0")</f>
        <v>1</v>
      </c>
      <c r="CP23" s="118">
        <f>IFERROR(SUMIFS(CP4:CP20,B4:B20,"W"),"0")</f>
        <v>2</v>
      </c>
      <c r="CQ23" s="175">
        <f>IFERROR(SUMIFS(CQ4:CQ20,B4:B20,"W"),"0")</f>
        <v>0</v>
      </c>
      <c r="CR23" s="118">
        <f>IFERROR(SUMIFS(CR4:CR20,B4:B20,"W"),"0")</f>
        <v>0</v>
      </c>
      <c r="CS23" s="119">
        <f>IFERROR(SUMIFS(CS4:CS20,B4:B20,"W"),"0")</f>
        <v>1</v>
      </c>
      <c r="CT23" s="118">
        <f>IFERROR(SUMIFS(CT4:CT20,B4:B20,"W"),"0")</f>
        <v>2</v>
      </c>
      <c r="CU23" s="118">
        <f>IFERROR(SUMIFS(CU4:CU20,B4:B20,"W"),"0")</f>
        <v>0</v>
      </c>
      <c r="CV23" s="119">
        <f>IFERROR(SUMIFS(CV4:CV20,B4:B20,"W"),"0")</f>
        <v>5</v>
      </c>
      <c r="CW23" s="118"/>
      <c r="CX23" s="136">
        <f>DG23</f>
        <v>0.41666666666666669</v>
      </c>
      <c r="CY23" s="137">
        <f>DN23</f>
        <v>0.33333333333333331</v>
      </c>
      <c r="CZ23" s="137">
        <f>DH23</f>
        <v>0</v>
      </c>
      <c r="DA23" s="138">
        <f>FA23</f>
        <v>0</v>
      </c>
      <c r="DB23" s="232" t="s">
        <v>84</v>
      </c>
      <c r="DC23" s="116"/>
      <c r="DG23" s="37">
        <f>IFERROR(((E23-W23)+1.5*W23)/G23,"0")</f>
        <v>0.41666666666666669</v>
      </c>
      <c r="DH23" s="37">
        <f>IFERROR(CJ23/(CJ23+CK22),"0")</f>
        <v>0</v>
      </c>
      <c r="DN23" s="37">
        <f>IFERROR(CT23/EG23,"0")</f>
        <v>0.33333333333333331</v>
      </c>
      <c r="DS23" s="10"/>
      <c r="DT23" s="10"/>
      <c r="EF23" s="233" t="s">
        <v>89</v>
      </c>
      <c r="EG23" s="28">
        <f>IFERROR(SUMIFS(EG4:EG20,B4:B20,"W"),"0")</f>
        <v>6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0</v>
      </c>
      <c r="EY23" s="6">
        <f>IFERROR(SUMIFS(EY4:EY20,B4:B20,"W"),"0")</f>
        <v>0</v>
      </c>
      <c r="EZ23" s="6" t="str">
        <f t="shared" ref="EZ23" si="90">IFERROR(E23+(1-(1-(EX23/EY23))^2)*EY23*0.4,"0")</f>
        <v>0</v>
      </c>
      <c r="FA23" s="6">
        <f>IFERROR(EY23/G23,"0")</f>
        <v>0</v>
      </c>
      <c r="FC23" s="139"/>
      <c r="FD23" s="139"/>
      <c r="FE23" s="116" t="s">
        <v>89</v>
      </c>
      <c r="FF23" s="121">
        <f t="shared" si="86"/>
        <v>12.350000000000001</v>
      </c>
      <c r="FG23" s="169">
        <f t="shared" si="86"/>
        <v>2</v>
      </c>
      <c r="FH23" s="166" t="s">
        <v>52</v>
      </c>
      <c r="FI23" s="170">
        <f t="shared" si="74"/>
        <v>6</v>
      </c>
      <c r="FJ23" s="195">
        <f t="shared" si="75"/>
        <v>0.33333333333333331</v>
      </c>
      <c r="FK23" s="171">
        <f>W23</f>
        <v>1</v>
      </c>
      <c r="FL23" s="166" t="s">
        <v>52</v>
      </c>
      <c r="FM23" s="172">
        <f>Y23</f>
        <v>3</v>
      </c>
      <c r="FN23" s="195">
        <f t="shared" si="76"/>
        <v>0.33333333333333331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9"/>
        <v>0</v>
      </c>
      <c r="FS23" s="118">
        <f t="shared" si="39"/>
        <v>0</v>
      </c>
      <c r="FT23" s="118">
        <f t="shared" si="39"/>
        <v>3</v>
      </c>
      <c r="FU23" s="118">
        <f t="shared" si="82"/>
        <v>3</v>
      </c>
      <c r="FV23" s="175">
        <f t="shared" si="82"/>
        <v>1</v>
      </c>
      <c r="FW23" s="118">
        <f t="shared" si="82"/>
        <v>2</v>
      </c>
      <c r="FX23" s="118">
        <f t="shared" si="82"/>
        <v>0</v>
      </c>
      <c r="FY23" s="118">
        <f t="shared" si="82"/>
        <v>0</v>
      </c>
      <c r="FZ23" s="118">
        <f t="shared" si="82"/>
        <v>1</v>
      </c>
      <c r="GA23" s="118">
        <f t="shared" si="83"/>
        <v>2</v>
      </c>
      <c r="GB23" s="118">
        <f t="shared" si="83"/>
        <v>0</v>
      </c>
      <c r="GC23" s="175">
        <f t="shared" si="83"/>
        <v>5</v>
      </c>
      <c r="GD23" s="136">
        <f t="shared" si="87"/>
        <v>0.41666666666666669</v>
      </c>
      <c r="GE23" s="137">
        <f t="shared" si="87"/>
        <v>0.33333333333333331</v>
      </c>
      <c r="GF23" s="137">
        <f t="shared" si="87"/>
        <v>0</v>
      </c>
      <c r="GG23" s="138">
        <f t="shared" si="87"/>
        <v>0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89"/>
      <c r="EY24" s="489"/>
      <c r="EZ24" s="48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12.350000000000001</v>
      </c>
      <c r="E25" s="86">
        <f>IFERROR(IF(B4="W",$E$23,$E$22),"0")</f>
        <v>2</v>
      </c>
      <c r="F25" s="33" t="s">
        <v>52</v>
      </c>
      <c r="G25" s="49">
        <f>IFERROR(IF(B4="W",$G$23,$G$22),"0")</f>
        <v>6</v>
      </c>
      <c r="H25" s="12" t="s">
        <v>53</v>
      </c>
      <c r="I25" s="33">
        <f>IFERROR(IF(B4="W",I$23,I$22),"0")</f>
        <v>1</v>
      </c>
      <c r="J25" s="49" t="s">
        <v>54</v>
      </c>
      <c r="K25" s="12">
        <f>IFERROR(IF(B4="W",K$23,K$22),"0")</f>
        <v>1</v>
      </c>
      <c r="L25" s="33" t="s">
        <v>52</v>
      </c>
      <c r="M25" s="49">
        <f>IFERROR(IF(B4="W",M$23,M$22),"0")</f>
        <v>2</v>
      </c>
      <c r="N25" s="12" t="s">
        <v>53</v>
      </c>
      <c r="O25" s="33">
        <f>IFERROR(IF(B4="W",O$23,O$22),"0")</f>
        <v>0</v>
      </c>
      <c r="P25" s="49" t="s">
        <v>54</v>
      </c>
      <c r="Q25" s="12">
        <f>IFERROR(IF(B4="W",Q$23,Q$22),"0")</f>
        <v>0</v>
      </c>
      <c r="R25" s="33" t="s">
        <v>52</v>
      </c>
      <c r="S25" s="49">
        <f>IFERROR(IF(B4="W",S$23,S$22),"0")</f>
        <v>1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1</v>
      </c>
      <c r="X25" s="33" t="s">
        <v>52</v>
      </c>
      <c r="Y25" s="49">
        <f>IFERROR(IF(B4="W",Y$23,Y$22),"0")</f>
        <v>3</v>
      </c>
      <c r="Z25" s="12" t="s">
        <v>53</v>
      </c>
      <c r="AA25" s="33">
        <f>IFERROR(IF(B4="W",AA$23,AA$22),"0")</f>
        <v>1</v>
      </c>
      <c r="AB25" s="49" t="s">
        <v>54</v>
      </c>
      <c r="AC25" s="12">
        <f>IFERROR(IF(B4="W",AC$23,AC$22),"0")</f>
        <v>0</v>
      </c>
      <c r="AD25" s="33" t="s">
        <v>52</v>
      </c>
      <c r="AE25" s="53">
        <f>IFERROR(IF(B4="W",AE$23,AE$22),"0")</f>
        <v>0</v>
      </c>
      <c r="AF25" s="12"/>
      <c r="AG25" s="43">
        <f>IFERROR(IF(B4="W",AG$23,AG$22),"0")</f>
        <v>2</v>
      </c>
      <c r="AH25" s="33" t="s">
        <v>52</v>
      </c>
      <c r="AI25" s="49">
        <f>IFERROR(IF(B4="W",AI$23,AI$22),"0")</f>
        <v>4</v>
      </c>
      <c r="AJ25" s="12" t="s">
        <v>53</v>
      </c>
      <c r="AK25" s="33">
        <f>IFERROR(IF(B4="W",AK$23,AK$22),"0")</f>
        <v>1</v>
      </c>
      <c r="AL25" s="49" t="s">
        <v>54</v>
      </c>
      <c r="AM25" s="12">
        <f>IFERROR(IF(B4="W",AM$23,AM$22),"0")</f>
        <v>1</v>
      </c>
      <c r="AN25" s="33" t="s">
        <v>52</v>
      </c>
      <c r="AO25" s="49">
        <f>IFERROR(IF(B4="W",AO$23,AO$22),"0")</f>
        <v>2</v>
      </c>
      <c r="AP25" s="12" t="s">
        <v>53</v>
      </c>
      <c r="AQ25" s="33">
        <f>IFERROR(IF(B4="W",AQ$23,AQ$22),"0")</f>
        <v>0</v>
      </c>
      <c r="AR25" s="49" t="s">
        <v>54</v>
      </c>
      <c r="AS25" s="12">
        <f>IFERROR(IF(B4="W",AS$23,AS$22),"0")</f>
        <v>0</v>
      </c>
      <c r="AT25" s="33" t="s">
        <v>52</v>
      </c>
      <c r="AU25" s="49">
        <f>IFERROR(IF(B4="W",AU$23,AU$22),"0")</f>
        <v>0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1</v>
      </c>
      <c r="AZ25" s="33" t="s">
        <v>52</v>
      </c>
      <c r="BA25" s="49">
        <f>IFERROR(IF(B4="W",BA$23,BA$22),"0")</f>
        <v>2</v>
      </c>
      <c r="BB25" s="12" t="s">
        <v>53</v>
      </c>
      <c r="BC25" s="33">
        <f>IFERROR(IF(B4="W",BC$23,BC$22),"0")</f>
        <v>1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0</v>
      </c>
      <c r="BJ25" s="33" t="s">
        <v>52</v>
      </c>
      <c r="BK25" s="49">
        <f>IFERROR(IF($B$4="W",BK23,BK22),"0")</f>
        <v>2</v>
      </c>
      <c r="BL25" s="12" t="s">
        <v>53</v>
      </c>
      <c r="BM25" s="33">
        <f>IFERROR(IF($B$4="W",BM23,BM22),"0")</f>
        <v>0</v>
      </c>
      <c r="BN25" s="49" t="s">
        <v>54</v>
      </c>
      <c r="BO25" s="12">
        <f>IFERROR(IF($B$4="W",BO23,BO22),"0")</f>
        <v>0</v>
      </c>
      <c r="BP25" s="33" t="s">
        <v>52</v>
      </c>
      <c r="BQ25" s="49">
        <f>IFERROR(IF($B$4="W",BQ23,BQ22),"0")</f>
        <v>0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1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0</v>
      </c>
      <c r="CB25" s="33" t="s">
        <v>52</v>
      </c>
      <c r="CC25" s="49">
        <f>IFERROR(IF($B$4="W",CC23,CC22),"0")</f>
        <v>1</v>
      </c>
      <c r="CD25" s="12" t="s">
        <v>53</v>
      </c>
      <c r="CE25" s="33">
        <f>IFERROR(IF($B$4="W",CE23,CE22),"0")</f>
        <v>0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0</v>
      </c>
      <c r="CK25" s="33">
        <f>IFERROR(IF($B$4="W",CK23,CK22),"0")</f>
        <v>3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3</v>
      </c>
      <c r="CO25" s="33">
        <f t="shared" si="91"/>
        <v>1</v>
      </c>
      <c r="CP25" s="33">
        <f t="shared" si="91"/>
        <v>2</v>
      </c>
      <c r="CQ25" s="33">
        <f t="shared" si="91"/>
        <v>0</v>
      </c>
      <c r="CR25" s="33">
        <f t="shared" si="91"/>
        <v>0</v>
      </c>
      <c r="CS25" s="33">
        <f t="shared" si="91"/>
        <v>1</v>
      </c>
      <c r="CT25" s="33">
        <f t="shared" si="91"/>
        <v>2</v>
      </c>
      <c r="CU25" s="33">
        <f t="shared" si="91"/>
        <v>0</v>
      </c>
      <c r="CV25" s="58">
        <f t="shared" si="91"/>
        <v>5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6</v>
      </c>
      <c r="EW25" s="12" t="s">
        <v>73</v>
      </c>
      <c r="EX25" s="6">
        <f t="shared" ref="EX25:EX39" si="94">IFERROR(IF(B4="W",$EX$23,$EX$22),"0")</f>
        <v>0</v>
      </c>
      <c r="EY25" s="6">
        <f t="shared" ref="EY25:EY39" si="95">IFERROR(IF(B4="W",$EY$23,$EY$22),"0")</f>
        <v>0</v>
      </c>
      <c r="EZ25" s="6" t="str">
        <f>IFERROR(IF(B4="W",$EZ$23,$EZ$22),"0")</f>
        <v>0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12.350000000000001</v>
      </c>
      <c r="E26" s="86">
        <f t="shared" ref="E26:E39" si="96">IFERROR(IF(B5="W",$E$23,$E$22),"0")</f>
        <v>2</v>
      </c>
      <c r="F26" s="33" t="s">
        <v>52</v>
      </c>
      <c r="G26" s="49">
        <f t="shared" ref="G26:G39" si="97">IFERROR(IF(B5="W",$G$23,$G$22),"0")</f>
        <v>6</v>
      </c>
      <c r="H26" s="12" t="s">
        <v>53</v>
      </c>
      <c r="I26" s="33">
        <f t="shared" ref="I26:I39" si="98">IFERROR(IF(B5="W",I$23,I$22),"0")</f>
        <v>1</v>
      </c>
      <c r="J26" s="49" t="s">
        <v>54</v>
      </c>
      <c r="K26" s="12">
        <f t="shared" ref="K26:K39" si="99">IFERROR(IF(B5="W",K$23,K$22),"0")</f>
        <v>1</v>
      </c>
      <c r="L26" s="33" t="s">
        <v>52</v>
      </c>
      <c r="M26" s="49">
        <f t="shared" ref="M26:M39" si="100">IFERROR(IF(B5="W",M$23,M$22),"0")</f>
        <v>2</v>
      </c>
      <c r="N26" s="12" t="s">
        <v>53</v>
      </c>
      <c r="O26" s="33">
        <f t="shared" ref="O26:O39" si="101">IFERROR(IF(B5="W",O$23,O$22),"0")</f>
        <v>0</v>
      </c>
      <c r="P26" s="49" t="s">
        <v>54</v>
      </c>
      <c r="Q26" s="12">
        <f t="shared" ref="Q26:Q39" si="102">IFERROR(IF(B5="W",Q$23,Q$22),"0")</f>
        <v>0</v>
      </c>
      <c r="R26" s="33" t="s">
        <v>52</v>
      </c>
      <c r="S26" s="49">
        <f t="shared" ref="S26:S39" si="103">IFERROR(IF(B5="W",S$23,S$22),"0")</f>
        <v>1</v>
      </c>
      <c r="T26" s="12" t="s">
        <v>53</v>
      </c>
      <c r="U26" s="33">
        <f t="shared" ref="U26:U39" si="104">IFERROR(IF(B5="W",U$23,U$22),"0")</f>
        <v>0</v>
      </c>
      <c r="V26" s="49" t="s">
        <v>54</v>
      </c>
      <c r="W26" s="12">
        <f t="shared" ref="W26:W39" si="105">IFERROR(IF(B5="W",W$23,W$22),"0")</f>
        <v>1</v>
      </c>
      <c r="X26" s="33" t="s">
        <v>52</v>
      </c>
      <c r="Y26" s="49">
        <f t="shared" ref="Y26:Y39" si="106">IFERROR(IF(B5="W",Y$23,Y$22),"0")</f>
        <v>3</v>
      </c>
      <c r="Z26" s="12" t="s">
        <v>53</v>
      </c>
      <c r="AA26" s="33">
        <f t="shared" ref="AA26:AA39" si="107">IFERROR(IF(B5="W",AA$23,AA$22),"0")</f>
        <v>1</v>
      </c>
      <c r="AB26" s="49" t="s">
        <v>54</v>
      </c>
      <c r="AC26" s="12">
        <f t="shared" ref="AC26:AC39" si="108">IFERROR(IF(B5="W",AC$23,AC$22),"0")</f>
        <v>0</v>
      </c>
      <c r="AD26" s="33" t="s">
        <v>52</v>
      </c>
      <c r="AE26" s="53">
        <f t="shared" ref="AE26:AE39" si="109">IFERROR(IF(B5="W",AE$23,AE$22),"0")</f>
        <v>0</v>
      </c>
      <c r="AF26" s="12"/>
      <c r="AG26" s="43">
        <f t="shared" ref="AG26:AG39" si="110">IFERROR(IF(B5="W",AG$23,AG$22),"0")</f>
        <v>2</v>
      </c>
      <c r="AH26" s="33" t="s">
        <v>52</v>
      </c>
      <c r="AI26" s="49">
        <f t="shared" ref="AI26:AI39" si="111">IFERROR(IF(B5="W",AI$23,AI$22),"0")</f>
        <v>4</v>
      </c>
      <c r="AJ26" s="12" t="s">
        <v>53</v>
      </c>
      <c r="AK26" s="33">
        <f t="shared" ref="AK26:AK39" si="112">IFERROR(IF(B5="W",AK$23,AK$22),"0")</f>
        <v>1</v>
      </c>
      <c r="AL26" s="49" t="s">
        <v>54</v>
      </c>
      <c r="AM26" s="12">
        <f t="shared" ref="AM26:AM39" si="113">IFERROR(IF(B5="W",AM$23,AM$22),"0")</f>
        <v>1</v>
      </c>
      <c r="AN26" s="33" t="s">
        <v>52</v>
      </c>
      <c r="AO26" s="49">
        <f t="shared" ref="AO26:AO39" si="114">IFERROR(IF(B5="W",AO$23,AO$22),"0")</f>
        <v>2</v>
      </c>
      <c r="AP26" s="12" t="s">
        <v>53</v>
      </c>
      <c r="AQ26" s="33">
        <f t="shared" ref="AQ26:AQ39" si="115">IFERROR(IF(B5="W",AQ$23,AQ$22),"0")</f>
        <v>0</v>
      </c>
      <c r="AR26" s="49" t="s">
        <v>54</v>
      </c>
      <c r="AS26" s="12">
        <f t="shared" ref="AS26:AS39" si="116">IFERROR(IF(B5="W",AS$23,AS$22),"0")</f>
        <v>0</v>
      </c>
      <c r="AT26" s="33" t="s">
        <v>52</v>
      </c>
      <c r="AU26" s="49">
        <f t="shared" ref="AU26:AU39" si="117">IFERROR(IF(B5="W",AU$23,AU$22),"0")</f>
        <v>0</v>
      </c>
      <c r="AV26" s="12" t="s">
        <v>53</v>
      </c>
      <c r="AW26" s="33">
        <f t="shared" ref="AW26:AW39" si="118">IFERROR(IF(B5="W",AW$23,AW$22),"0")</f>
        <v>0</v>
      </c>
      <c r="AX26" s="49" t="s">
        <v>54</v>
      </c>
      <c r="AY26" s="12">
        <f t="shared" ref="AY26:AY39" si="119">IFERROR(IF(B5="W",AY$23,AY$22),"0")</f>
        <v>1</v>
      </c>
      <c r="AZ26" s="33" t="s">
        <v>52</v>
      </c>
      <c r="BA26" s="49">
        <f t="shared" ref="BA26:BA39" si="120">IFERROR(IF(B5="W",BA$23,BA$22),"0")</f>
        <v>2</v>
      </c>
      <c r="BB26" s="12" t="s">
        <v>53</v>
      </c>
      <c r="BC26" s="33">
        <f t="shared" ref="BC26:BC39" si="121">IFERROR(IF(B5="W",BC$23,BC$22),"0")</f>
        <v>1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0</v>
      </c>
      <c r="BJ26" s="33" t="s">
        <v>52</v>
      </c>
      <c r="BK26" s="49">
        <f>IFERROR(IF($B$5="W",BK23,BK22),"0")</f>
        <v>2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0</v>
      </c>
      <c r="BP26" s="33" t="s">
        <v>52</v>
      </c>
      <c r="BQ26" s="49">
        <f>IFERROR(IF($B$5="W",BQ23,BQ22),"0")</f>
        <v>0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1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0</v>
      </c>
      <c r="CB26" s="33" t="s">
        <v>52</v>
      </c>
      <c r="CC26" s="49">
        <f>IFERROR(IF($B$5="W",CC23,CC22),"0")</f>
        <v>1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0</v>
      </c>
      <c r="CK26" s="33">
        <f t="shared" si="124"/>
        <v>3</v>
      </c>
      <c r="CL26" s="33">
        <f t="shared" si="124"/>
        <v>0</v>
      </c>
      <c r="CM26" s="33">
        <f t="shared" si="124"/>
        <v>0</v>
      </c>
      <c r="CN26" s="33">
        <f t="shared" si="124"/>
        <v>3</v>
      </c>
      <c r="CO26" s="33">
        <f t="shared" si="124"/>
        <v>1</v>
      </c>
      <c r="CP26" s="33">
        <f t="shared" si="124"/>
        <v>2</v>
      </c>
      <c r="CQ26" s="33">
        <f t="shared" si="124"/>
        <v>0</v>
      </c>
      <c r="CR26" s="33">
        <f t="shared" si="124"/>
        <v>0</v>
      </c>
      <c r="CS26" s="33">
        <f t="shared" si="124"/>
        <v>1</v>
      </c>
      <c r="CT26" s="33">
        <f t="shared" si="124"/>
        <v>2</v>
      </c>
      <c r="CU26" s="33">
        <f t="shared" si="124"/>
        <v>0</v>
      </c>
      <c r="CV26" s="58">
        <f t="shared" si="124"/>
        <v>5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6</v>
      </c>
      <c r="EW26" s="228" t="s">
        <v>74</v>
      </c>
      <c r="EX26" s="6">
        <f t="shared" si="94"/>
        <v>0</v>
      </c>
      <c r="EY26" s="6">
        <f t="shared" si="95"/>
        <v>0</v>
      </c>
      <c r="EZ26" s="6" t="str">
        <f t="shared" ref="EZ26:EZ39" si="125">IFERROR(IF(B5="W",$EZ$23,$EZ$22),"0")</f>
        <v>0</v>
      </c>
    </row>
    <row r="27" spans="1:197" x14ac:dyDescent="0.2">
      <c r="C27" s="228" t="s">
        <v>75</v>
      </c>
      <c r="D27" s="28">
        <f>IFERROR(IF(B6="W",D23,D22),"0")</f>
        <v>12.350000000000001</v>
      </c>
      <c r="E27" s="86">
        <f t="shared" si="96"/>
        <v>3</v>
      </c>
      <c r="F27" s="33" t="s">
        <v>52</v>
      </c>
      <c r="G27" s="49">
        <f t="shared" si="97"/>
        <v>7</v>
      </c>
      <c r="H27" s="12" t="s">
        <v>53</v>
      </c>
      <c r="I27" s="33">
        <f t="shared" si="98"/>
        <v>2</v>
      </c>
      <c r="J27" s="49" t="s">
        <v>54</v>
      </c>
      <c r="K27" s="12">
        <f t="shared" si="99"/>
        <v>1</v>
      </c>
      <c r="L27" s="33" t="s">
        <v>52</v>
      </c>
      <c r="M27" s="49">
        <f t="shared" si="100"/>
        <v>1</v>
      </c>
      <c r="N27" s="12" t="s">
        <v>53</v>
      </c>
      <c r="O27" s="33">
        <f t="shared" si="101"/>
        <v>0</v>
      </c>
      <c r="P27" s="49" t="s">
        <v>54</v>
      </c>
      <c r="Q27" s="12">
        <f t="shared" si="102"/>
        <v>0</v>
      </c>
      <c r="R27" s="33" t="s">
        <v>52</v>
      </c>
      <c r="S27" s="49">
        <f t="shared" si="103"/>
        <v>0</v>
      </c>
      <c r="T27" s="12" t="s">
        <v>53</v>
      </c>
      <c r="U27" s="33">
        <f t="shared" si="104"/>
        <v>0</v>
      </c>
      <c r="V27" s="49" t="s">
        <v>54</v>
      </c>
      <c r="W27" s="12">
        <f t="shared" si="105"/>
        <v>2</v>
      </c>
      <c r="X27" s="33" t="s">
        <v>52</v>
      </c>
      <c r="Y27" s="49">
        <f t="shared" si="106"/>
        <v>6</v>
      </c>
      <c r="Z27" s="12" t="s">
        <v>53</v>
      </c>
      <c r="AA27" s="33">
        <f t="shared" si="107"/>
        <v>2</v>
      </c>
      <c r="AB27" s="49" t="s">
        <v>54</v>
      </c>
      <c r="AC27" s="12">
        <f t="shared" si="108"/>
        <v>0</v>
      </c>
      <c r="AD27" s="33" t="s">
        <v>52</v>
      </c>
      <c r="AE27" s="53">
        <f t="shared" si="109"/>
        <v>0</v>
      </c>
      <c r="AF27" s="12"/>
      <c r="AG27" s="43">
        <f t="shared" si="110"/>
        <v>2</v>
      </c>
      <c r="AH27" s="33" t="s">
        <v>52</v>
      </c>
      <c r="AI27" s="49">
        <f t="shared" si="111"/>
        <v>6</v>
      </c>
      <c r="AJ27" s="12" t="s">
        <v>53</v>
      </c>
      <c r="AK27" s="33">
        <f t="shared" si="112"/>
        <v>2</v>
      </c>
      <c r="AL27" s="49" t="s">
        <v>54</v>
      </c>
      <c r="AM27" s="12">
        <f t="shared" si="113"/>
        <v>0</v>
      </c>
      <c r="AN27" s="33" t="s">
        <v>52</v>
      </c>
      <c r="AO27" s="49">
        <f t="shared" si="114"/>
        <v>0</v>
      </c>
      <c r="AP27" s="12" t="s">
        <v>53</v>
      </c>
      <c r="AQ27" s="33">
        <f t="shared" si="115"/>
        <v>0</v>
      </c>
      <c r="AR27" s="49" t="s">
        <v>54</v>
      </c>
      <c r="AS27" s="12">
        <f t="shared" si="116"/>
        <v>0</v>
      </c>
      <c r="AT27" s="33" t="s">
        <v>52</v>
      </c>
      <c r="AU27" s="49">
        <f t="shared" si="117"/>
        <v>0</v>
      </c>
      <c r="AV27" s="12" t="s">
        <v>53</v>
      </c>
      <c r="AW27" s="33">
        <f t="shared" si="118"/>
        <v>0</v>
      </c>
      <c r="AX27" s="49" t="s">
        <v>54</v>
      </c>
      <c r="AY27" s="12">
        <f t="shared" si="119"/>
        <v>2</v>
      </c>
      <c r="AZ27" s="33" t="s">
        <v>52</v>
      </c>
      <c r="BA27" s="49">
        <f t="shared" si="120"/>
        <v>6</v>
      </c>
      <c r="BB27" s="12" t="s">
        <v>53</v>
      </c>
      <c r="BC27" s="33">
        <f t="shared" si="121"/>
        <v>2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1</v>
      </c>
      <c r="BJ27" s="33" t="s">
        <v>52</v>
      </c>
      <c r="BK27" s="49">
        <f>IFERROR(IF($B$6="W",BK23,BK22),"0")</f>
        <v>1</v>
      </c>
      <c r="BL27" s="12" t="s">
        <v>53</v>
      </c>
      <c r="BM27" s="33">
        <f>IFERROR(IF($B$6="W",BM23,BM22),"0")</f>
        <v>0</v>
      </c>
      <c r="BN27" s="49" t="s">
        <v>54</v>
      </c>
      <c r="BO27" s="12">
        <f>IFERROR(IF($B$6="W",BO23,BO22),"0")</f>
        <v>1</v>
      </c>
      <c r="BP27" s="33" t="s">
        <v>52</v>
      </c>
      <c r="BQ27" s="49">
        <f>IFERROR(IF($B$6="W",BQ23,BQ22),"0")</f>
        <v>1</v>
      </c>
      <c r="BR27" s="12" t="s">
        <v>53</v>
      </c>
      <c r="BS27" s="33">
        <f>IFERROR(IF($B$6="W",BS23,BS22),"0")</f>
        <v>0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0</v>
      </c>
      <c r="CB27" s="33" t="s">
        <v>52</v>
      </c>
      <c r="CC27" s="49">
        <f>IFERROR(IF($B$6="W",CC23,CC22),"0")</f>
        <v>0</v>
      </c>
      <c r="CD27" s="12" t="s">
        <v>53</v>
      </c>
      <c r="CE27" s="33">
        <f>IFERROR(IF($B$6="W",CE23,CE22),"0")</f>
        <v>0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0</v>
      </c>
      <c r="CK27" s="33">
        <f t="shared" si="126"/>
        <v>5</v>
      </c>
      <c r="CL27" s="33">
        <f t="shared" si="126"/>
        <v>0</v>
      </c>
      <c r="CM27" s="33">
        <f t="shared" si="126"/>
        <v>0</v>
      </c>
      <c r="CN27" s="33">
        <f t="shared" si="126"/>
        <v>5</v>
      </c>
      <c r="CO27" s="33">
        <f t="shared" si="126"/>
        <v>2</v>
      </c>
      <c r="CP27" s="33">
        <f t="shared" si="126"/>
        <v>2</v>
      </c>
      <c r="CQ27" s="33">
        <f t="shared" si="126"/>
        <v>0</v>
      </c>
      <c r="CR27" s="33">
        <f t="shared" si="126"/>
        <v>0</v>
      </c>
      <c r="CS27" s="33">
        <f t="shared" si="126"/>
        <v>2</v>
      </c>
      <c r="CT27" s="33">
        <f t="shared" si="126"/>
        <v>2</v>
      </c>
      <c r="CU27" s="33">
        <f t="shared" si="126"/>
        <v>1</v>
      </c>
      <c r="CV27" s="58">
        <f t="shared" si="126"/>
        <v>8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6</v>
      </c>
      <c r="EW27" s="228" t="s">
        <v>75</v>
      </c>
      <c r="EX27" s="6">
        <f t="shared" si="94"/>
        <v>0</v>
      </c>
      <c r="EY27" s="6">
        <f t="shared" si="95"/>
        <v>0</v>
      </c>
      <c r="EZ27" s="6" t="str">
        <f t="shared" si="125"/>
        <v>0</v>
      </c>
    </row>
    <row r="28" spans="1:197" ht="17" thickBot="1" x14ac:dyDescent="0.25">
      <c r="C28" s="228" t="s">
        <v>76</v>
      </c>
      <c r="D28" s="28">
        <f>IFERROR(IF(B7="W",D23,D22),"0")</f>
        <v>12.350000000000001</v>
      </c>
      <c r="E28" s="86">
        <f t="shared" si="96"/>
        <v>2</v>
      </c>
      <c r="F28" s="33" t="s">
        <v>52</v>
      </c>
      <c r="G28" s="49">
        <f t="shared" si="97"/>
        <v>6</v>
      </c>
      <c r="H28" s="12" t="s">
        <v>53</v>
      </c>
      <c r="I28" s="33">
        <f t="shared" si="98"/>
        <v>1</v>
      </c>
      <c r="J28" s="49" t="s">
        <v>54</v>
      </c>
      <c r="K28" s="12">
        <f t="shared" si="99"/>
        <v>1</v>
      </c>
      <c r="L28" s="33" t="s">
        <v>52</v>
      </c>
      <c r="M28" s="49">
        <f t="shared" si="100"/>
        <v>2</v>
      </c>
      <c r="N28" s="12" t="s">
        <v>53</v>
      </c>
      <c r="O28" s="33">
        <f t="shared" si="101"/>
        <v>0</v>
      </c>
      <c r="P28" s="49" t="s">
        <v>54</v>
      </c>
      <c r="Q28" s="12">
        <f t="shared" si="102"/>
        <v>0</v>
      </c>
      <c r="R28" s="33" t="s">
        <v>52</v>
      </c>
      <c r="S28" s="49">
        <f t="shared" si="103"/>
        <v>1</v>
      </c>
      <c r="T28" s="12" t="s">
        <v>53</v>
      </c>
      <c r="U28" s="33">
        <f t="shared" si="104"/>
        <v>0</v>
      </c>
      <c r="V28" s="49" t="s">
        <v>54</v>
      </c>
      <c r="W28" s="12">
        <f t="shared" si="105"/>
        <v>1</v>
      </c>
      <c r="X28" s="33" t="s">
        <v>52</v>
      </c>
      <c r="Y28" s="49">
        <f t="shared" si="106"/>
        <v>3</v>
      </c>
      <c r="Z28" s="12" t="s">
        <v>53</v>
      </c>
      <c r="AA28" s="33">
        <f t="shared" si="107"/>
        <v>1</v>
      </c>
      <c r="AB28" s="49" t="s">
        <v>54</v>
      </c>
      <c r="AC28" s="12">
        <f t="shared" si="108"/>
        <v>0</v>
      </c>
      <c r="AD28" s="33" t="s">
        <v>52</v>
      </c>
      <c r="AE28" s="53">
        <f t="shared" si="109"/>
        <v>0</v>
      </c>
      <c r="AF28" s="12"/>
      <c r="AG28" s="43">
        <f t="shared" si="110"/>
        <v>2</v>
      </c>
      <c r="AH28" s="33" t="s">
        <v>52</v>
      </c>
      <c r="AI28" s="49">
        <f t="shared" si="111"/>
        <v>4</v>
      </c>
      <c r="AJ28" s="12" t="s">
        <v>53</v>
      </c>
      <c r="AK28" s="33">
        <f t="shared" si="112"/>
        <v>1</v>
      </c>
      <c r="AL28" s="49" t="s">
        <v>54</v>
      </c>
      <c r="AM28" s="12">
        <f t="shared" si="113"/>
        <v>1</v>
      </c>
      <c r="AN28" s="33" t="s">
        <v>52</v>
      </c>
      <c r="AO28" s="49">
        <f t="shared" si="114"/>
        <v>2</v>
      </c>
      <c r="AP28" s="12" t="s">
        <v>53</v>
      </c>
      <c r="AQ28" s="33">
        <f t="shared" si="115"/>
        <v>0</v>
      </c>
      <c r="AR28" s="49" t="s">
        <v>54</v>
      </c>
      <c r="AS28" s="12">
        <f t="shared" si="116"/>
        <v>0</v>
      </c>
      <c r="AT28" s="33" t="s">
        <v>52</v>
      </c>
      <c r="AU28" s="49">
        <f t="shared" si="117"/>
        <v>0</v>
      </c>
      <c r="AV28" s="12" t="s">
        <v>53</v>
      </c>
      <c r="AW28" s="33">
        <f t="shared" si="118"/>
        <v>0</v>
      </c>
      <c r="AX28" s="49" t="s">
        <v>54</v>
      </c>
      <c r="AY28" s="12">
        <f t="shared" si="119"/>
        <v>1</v>
      </c>
      <c r="AZ28" s="33" t="s">
        <v>52</v>
      </c>
      <c r="BA28" s="49">
        <f t="shared" si="120"/>
        <v>2</v>
      </c>
      <c r="BB28" s="12" t="s">
        <v>53</v>
      </c>
      <c r="BC28" s="33">
        <f t="shared" si="121"/>
        <v>1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0</v>
      </c>
      <c r="BJ28" s="33" t="s">
        <v>52</v>
      </c>
      <c r="BK28" s="49">
        <f>IFERROR(IF($B$7="W",BK23,BK22),"0")</f>
        <v>2</v>
      </c>
      <c r="BL28" s="12" t="s">
        <v>53</v>
      </c>
      <c r="BM28" s="33">
        <f>IFERROR(IF($B$7="W",BM23,BM22),"0")</f>
        <v>0</v>
      </c>
      <c r="BN28" s="49" t="s">
        <v>54</v>
      </c>
      <c r="BO28" s="12">
        <f>IFERROR(IF($B$7="W",BO23,BO22),"0")</f>
        <v>0</v>
      </c>
      <c r="BP28" s="33" t="s">
        <v>52</v>
      </c>
      <c r="BQ28" s="49">
        <f>IFERROR(IF($B$7="W",BQ23,BQ22),"0")</f>
        <v>0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1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0</v>
      </c>
      <c r="CB28" s="33" t="s">
        <v>52</v>
      </c>
      <c r="CC28" s="49">
        <f>IFERROR(IF($B$7="W",CC23,CC22),"0")</f>
        <v>1</v>
      </c>
      <c r="CD28" s="12" t="s">
        <v>53</v>
      </c>
      <c r="CE28" s="33">
        <f>IFERROR(IF($B$7="W",CE23,CE22),"0")</f>
        <v>0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0</v>
      </c>
      <c r="CK28" s="33">
        <f t="shared" si="127"/>
        <v>3</v>
      </c>
      <c r="CL28" s="33">
        <f t="shared" si="127"/>
        <v>0</v>
      </c>
      <c r="CM28" s="33">
        <f t="shared" si="127"/>
        <v>0</v>
      </c>
      <c r="CN28" s="33">
        <f t="shared" si="127"/>
        <v>3</v>
      </c>
      <c r="CO28" s="33">
        <f t="shared" si="127"/>
        <v>1</v>
      </c>
      <c r="CP28" s="33">
        <f t="shared" si="127"/>
        <v>2</v>
      </c>
      <c r="CQ28" s="33">
        <f t="shared" si="127"/>
        <v>0</v>
      </c>
      <c r="CR28" s="33">
        <f t="shared" si="127"/>
        <v>0</v>
      </c>
      <c r="CS28" s="33">
        <f t="shared" si="127"/>
        <v>1</v>
      </c>
      <c r="CT28" s="33">
        <f t="shared" si="127"/>
        <v>2</v>
      </c>
      <c r="CU28" s="33">
        <f t="shared" si="127"/>
        <v>0</v>
      </c>
      <c r="CV28" s="58">
        <f t="shared" si="127"/>
        <v>5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6</v>
      </c>
      <c r="EW28" s="228" t="s">
        <v>76</v>
      </c>
      <c r="EX28" s="6">
        <f t="shared" si="94"/>
        <v>0</v>
      </c>
      <c r="EY28" s="6">
        <f t="shared" si="95"/>
        <v>0</v>
      </c>
      <c r="EZ28" s="6" t="str">
        <f t="shared" si="125"/>
        <v>0</v>
      </c>
    </row>
    <row r="29" spans="1:197" x14ac:dyDescent="0.2">
      <c r="C29" s="228" t="s">
        <v>222</v>
      </c>
      <c r="D29" s="28">
        <f>IFERROR(IF(B8="W",D23,D22),"0")</f>
        <v>12.350000000000001</v>
      </c>
      <c r="E29" s="86">
        <f t="shared" si="96"/>
        <v>3</v>
      </c>
      <c r="F29" s="33" t="s">
        <v>52</v>
      </c>
      <c r="G29" s="49">
        <f t="shared" si="97"/>
        <v>7</v>
      </c>
      <c r="H29" s="12" t="s">
        <v>53</v>
      </c>
      <c r="I29" s="33">
        <f t="shared" si="98"/>
        <v>2</v>
      </c>
      <c r="J29" s="49" t="s">
        <v>54</v>
      </c>
      <c r="K29" s="12">
        <f t="shared" si="99"/>
        <v>1</v>
      </c>
      <c r="L29" s="33" t="s">
        <v>52</v>
      </c>
      <c r="M29" s="49">
        <f t="shared" si="100"/>
        <v>1</v>
      </c>
      <c r="N29" s="12" t="s">
        <v>53</v>
      </c>
      <c r="O29" s="33">
        <f t="shared" si="101"/>
        <v>0</v>
      </c>
      <c r="P29" s="49" t="s">
        <v>54</v>
      </c>
      <c r="Q29" s="12">
        <f t="shared" si="102"/>
        <v>0</v>
      </c>
      <c r="R29" s="33" t="s">
        <v>52</v>
      </c>
      <c r="S29" s="49">
        <f t="shared" si="103"/>
        <v>0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2</v>
      </c>
      <c r="X29" s="33" t="s">
        <v>52</v>
      </c>
      <c r="Y29" s="49">
        <f t="shared" si="106"/>
        <v>6</v>
      </c>
      <c r="Z29" s="12" t="s">
        <v>53</v>
      </c>
      <c r="AA29" s="33">
        <f t="shared" si="107"/>
        <v>2</v>
      </c>
      <c r="AB29" s="49" t="s">
        <v>54</v>
      </c>
      <c r="AC29" s="12">
        <f t="shared" si="108"/>
        <v>0</v>
      </c>
      <c r="AD29" s="33" t="s">
        <v>52</v>
      </c>
      <c r="AE29" s="53">
        <f t="shared" si="109"/>
        <v>0</v>
      </c>
      <c r="AF29" s="12"/>
      <c r="AG29" s="43">
        <f t="shared" si="110"/>
        <v>2</v>
      </c>
      <c r="AH29" s="33" t="s">
        <v>52</v>
      </c>
      <c r="AI29" s="49">
        <f t="shared" si="111"/>
        <v>6</v>
      </c>
      <c r="AJ29" s="12" t="s">
        <v>53</v>
      </c>
      <c r="AK29" s="33">
        <f t="shared" si="112"/>
        <v>2</v>
      </c>
      <c r="AL29" s="49" t="s">
        <v>54</v>
      </c>
      <c r="AM29" s="12">
        <f t="shared" si="113"/>
        <v>0</v>
      </c>
      <c r="AN29" s="33" t="s">
        <v>52</v>
      </c>
      <c r="AO29" s="49">
        <f t="shared" si="114"/>
        <v>0</v>
      </c>
      <c r="AP29" s="12" t="s">
        <v>53</v>
      </c>
      <c r="AQ29" s="33">
        <f t="shared" si="115"/>
        <v>0</v>
      </c>
      <c r="AR29" s="49" t="s">
        <v>54</v>
      </c>
      <c r="AS29" s="12">
        <f t="shared" si="116"/>
        <v>0</v>
      </c>
      <c r="AT29" s="33" t="s">
        <v>52</v>
      </c>
      <c r="AU29" s="49">
        <f t="shared" si="117"/>
        <v>0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2</v>
      </c>
      <c r="AZ29" s="33" t="s">
        <v>52</v>
      </c>
      <c r="BA29" s="49">
        <f t="shared" si="120"/>
        <v>6</v>
      </c>
      <c r="BB29" s="12" t="s">
        <v>53</v>
      </c>
      <c r="BC29" s="33">
        <f t="shared" si="121"/>
        <v>2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1</v>
      </c>
      <c r="BJ29" s="33" t="s">
        <v>52</v>
      </c>
      <c r="BK29" s="49">
        <f>IFERROR(IF($B$8="W",BK23,BK22),"0")</f>
        <v>1</v>
      </c>
      <c r="BL29" s="12" t="s">
        <v>53</v>
      </c>
      <c r="BM29" s="33">
        <f>IFERROR(IF($B$8="W",BM23,BM22),"0")</f>
        <v>0</v>
      </c>
      <c r="BN29" s="49" t="s">
        <v>54</v>
      </c>
      <c r="BO29" s="12">
        <f>IFERROR(IF($B$8="W",BO23,BO22),"0")</f>
        <v>1</v>
      </c>
      <c r="BP29" s="33" t="s">
        <v>52</v>
      </c>
      <c r="BQ29" s="49">
        <f>IFERROR(IF($B$8="W",BQ23,BQ22),"0")</f>
        <v>1</v>
      </c>
      <c r="BR29" s="12" t="s">
        <v>53</v>
      </c>
      <c r="BS29" s="33">
        <f>IFERROR(IF($B$8="W",BS23,BS22),"0")</f>
        <v>0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0</v>
      </c>
      <c r="CB29" s="33" t="s">
        <v>52</v>
      </c>
      <c r="CC29" s="49">
        <f>IFERROR(IF($B$8="W",CC23,CC22),"0")</f>
        <v>0</v>
      </c>
      <c r="CD29" s="12" t="s">
        <v>53</v>
      </c>
      <c r="CE29" s="33">
        <f>IFERROR(IF($B$8="W",CE23,CE22),"0")</f>
        <v>0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0</v>
      </c>
      <c r="CK29" s="33">
        <f t="shared" si="128"/>
        <v>5</v>
      </c>
      <c r="CL29" s="33">
        <f t="shared" si="128"/>
        <v>0</v>
      </c>
      <c r="CM29" s="33">
        <f t="shared" si="128"/>
        <v>0</v>
      </c>
      <c r="CN29" s="33">
        <f t="shared" si="128"/>
        <v>5</v>
      </c>
      <c r="CO29" s="33">
        <f t="shared" si="128"/>
        <v>2</v>
      </c>
      <c r="CP29" s="33">
        <f t="shared" si="128"/>
        <v>2</v>
      </c>
      <c r="CQ29" s="33">
        <f t="shared" si="128"/>
        <v>0</v>
      </c>
      <c r="CR29" s="33">
        <f t="shared" si="128"/>
        <v>0</v>
      </c>
      <c r="CS29" s="33">
        <f t="shared" si="128"/>
        <v>2</v>
      </c>
      <c r="CT29" s="33">
        <f t="shared" si="128"/>
        <v>2</v>
      </c>
      <c r="CU29" s="33">
        <f t="shared" si="128"/>
        <v>1</v>
      </c>
      <c r="CV29" s="58">
        <f t="shared" si="128"/>
        <v>8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6</v>
      </c>
      <c r="EW29" s="228" t="s">
        <v>222</v>
      </c>
      <c r="EX29" s="6">
        <f t="shared" si="94"/>
        <v>0</v>
      </c>
      <c r="EY29" s="6">
        <f t="shared" si="95"/>
        <v>0</v>
      </c>
      <c r="EZ29" s="6" t="str">
        <f t="shared" si="125"/>
        <v>0</v>
      </c>
    </row>
    <row r="30" spans="1:197" x14ac:dyDescent="0.2">
      <c r="C30" s="228" t="s">
        <v>77</v>
      </c>
      <c r="D30" s="28">
        <f>IFERROR(IF(B9="W",D23,D22),"0")</f>
        <v>12.350000000000001</v>
      </c>
      <c r="E30" s="86">
        <f t="shared" si="96"/>
        <v>3</v>
      </c>
      <c r="F30" s="33" t="s">
        <v>52</v>
      </c>
      <c r="G30" s="49">
        <f t="shared" si="97"/>
        <v>7</v>
      </c>
      <c r="H30" s="12" t="s">
        <v>53</v>
      </c>
      <c r="I30" s="33">
        <f t="shared" si="98"/>
        <v>2</v>
      </c>
      <c r="J30" s="49" t="s">
        <v>54</v>
      </c>
      <c r="K30" s="12">
        <f t="shared" si="99"/>
        <v>1</v>
      </c>
      <c r="L30" s="33" t="s">
        <v>52</v>
      </c>
      <c r="M30" s="49">
        <f t="shared" si="100"/>
        <v>1</v>
      </c>
      <c r="N30" s="12" t="s">
        <v>53</v>
      </c>
      <c r="O30" s="33">
        <f t="shared" si="101"/>
        <v>0</v>
      </c>
      <c r="P30" s="49" t="s">
        <v>54</v>
      </c>
      <c r="Q30" s="12">
        <f t="shared" si="102"/>
        <v>0</v>
      </c>
      <c r="R30" s="33" t="s">
        <v>52</v>
      </c>
      <c r="S30" s="49">
        <f t="shared" si="103"/>
        <v>0</v>
      </c>
      <c r="T30" s="12" t="s">
        <v>53</v>
      </c>
      <c r="U30" s="33">
        <f t="shared" si="104"/>
        <v>0</v>
      </c>
      <c r="V30" s="49" t="s">
        <v>54</v>
      </c>
      <c r="W30" s="12">
        <f t="shared" si="105"/>
        <v>2</v>
      </c>
      <c r="X30" s="33" t="s">
        <v>52</v>
      </c>
      <c r="Y30" s="49">
        <f t="shared" si="106"/>
        <v>6</v>
      </c>
      <c r="Z30" s="12" t="s">
        <v>53</v>
      </c>
      <c r="AA30" s="33">
        <f t="shared" si="107"/>
        <v>2</v>
      </c>
      <c r="AB30" s="49" t="s">
        <v>54</v>
      </c>
      <c r="AC30" s="12">
        <f t="shared" si="108"/>
        <v>0</v>
      </c>
      <c r="AD30" s="33" t="s">
        <v>52</v>
      </c>
      <c r="AE30" s="53">
        <f t="shared" si="109"/>
        <v>0</v>
      </c>
      <c r="AF30" s="12"/>
      <c r="AG30" s="43">
        <f t="shared" si="110"/>
        <v>2</v>
      </c>
      <c r="AH30" s="33" t="s">
        <v>52</v>
      </c>
      <c r="AI30" s="49">
        <f t="shared" si="111"/>
        <v>6</v>
      </c>
      <c r="AJ30" s="12" t="s">
        <v>53</v>
      </c>
      <c r="AK30" s="33">
        <f t="shared" si="112"/>
        <v>2</v>
      </c>
      <c r="AL30" s="49" t="s">
        <v>54</v>
      </c>
      <c r="AM30" s="12">
        <f t="shared" si="113"/>
        <v>0</v>
      </c>
      <c r="AN30" s="33" t="s">
        <v>52</v>
      </c>
      <c r="AO30" s="49">
        <f t="shared" si="114"/>
        <v>0</v>
      </c>
      <c r="AP30" s="12" t="s">
        <v>53</v>
      </c>
      <c r="AQ30" s="33">
        <f t="shared" si="115"/>
        <v>0</v>
      </c>
      <c r="AR30" s="49" t="s">
        <v>54</v>
      </c>
      <c r="AS30" s="12">
        <f t="shared" si="116"/>
        <v>0</v>
      </c>
      <c r="AT30" s="33" t="s">
        <v>52</v>
      </c>
      <c r="AU30" s="49">
        <f t="shared" si="117"/>
        <v>0</v>
      </c>
      <c r="AV30" s="12" t="s">
        <v>53</v>
      </c>
      <c r="AW30" s="33">
        <f t="shared" si="118"/>
        <v>0</v>
      </c>
      <c r="AX30" s="49" t="s">
        <v>54</v>
      </c>
      <c r="AY30" s="12">
        <f t="shared" si="119"/>
        <v>2</v>
      </c>
      <c r="AZ30" s="33" t="s">
        <v>52</v>
      </c>
      <c r="BA30" s="49">
        <f t="shared" si="120"/>
        <v>6</v>
      </c>
      <c r="BB30" s="12" t="s">
        <v>53</v>
      </c>
      <c r="BC30" s="33">
        <f t="shared" si="121"/>
        <v>2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1</v>
      </c>
      <c r="BJ30" s="33" t="s">
        <v>52</v>
      </c>
      <c r="BK30" s="49">
        <f>IFERROR(IF($B$9="W",BK23,BK22),"0")</f>
        <v>1</v>
      </c>
      <c r="BL30" s="12" t="s">
        <v>53</v>
      </c>
      <c r="BM30" s="33">
        <f>IFERROR(IF($B$9="W",BM23,BM22),"0")</f>
        <v>0</v>
      </c>
      <c r="BN30" s="49" t="s">
        <v>54</v>
      </c>
      <c r="BO30" s="12">
        <f>IFERROR(IF($B$9="W",BO23,BO22),"0")</f>
        <v>1</v>
      </c>
      <c r="BP30" s="33" t="s">
        <v>52</v>
      </c>
      <c r="BQ30" s="49">
        <f>IFERROR(IF($B$9="W",BQ23,BQ22),"0")</f>
        <v>1</v>
      </c>
      <c r="BR30" s="12" t="s">
        <v>53</v>
      </c>
      <c r="BS30" s="33">
        <f>IFERROR(IF($B$9="W",BS23,BS22),"0")</f>
        <v>0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0</v>
      </c>
      <c r="CB30" s="33" t="s">
        <v>52</v>
      </c>
      <c r="CC30" s="49">
        <f>IFERROR(IF($B$9="W",CC23,CC22),"0")</f>
        <v>0</v>
      </c>
      <c r="CD30" s="12" t="s">
        <v>53</v>
      </c>
      <c r="CE30" s="33">
        <f>IFERROR(IF($B$9="W",CE23,CE22),"0")</f>
        <v>0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0</v>
      </c>
      <c r="CK30" s="33">
        <f t="shared" si="129"/>
        <v>5</v>
      </c>
      <c r="CL30" s="33">
        <f t="shared" si="129"/>
        <v>0</v>
      </c>
      <c r="CM30" s="33">
        <f t="shared" si="129"/>
        <v>0</v>
      </c>
      <c r="CN30" s="33">
        <f t="shared" si="129"/>
        <v>5</v>
      </c>
      <c r="CO30" s="33">
        <f t="shared" si="129"/>
        <v>2</v>
      </c>
      <c r="CP30" s="33">
        <f t="shared" si="129"/>
        <v>2</v>
      </c>
      <c r="CQ30" s="33">
        <f t="shared" si="129"/>
        <v>0</v>
      </c>
      <c r="CR30" s="33">
        <f t="shared" si="129"/>
        <v>0</v>
      </c>
      <c r="CS30" s="33">
        <f t="shared" si="129"/>
        <v>2</v>
      </c>
      <c r="CT30" s="33">
        <f t="shared" si="129"/>
        <v>2</v>
      </c>
      <c r="CU30" s="33">
        <f t="shared" si="129"/>
        <v>1</v>
      </c>
      <c r="CV30" s="58">
        <f t="shared" si="129"/>
        <v>8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6</v>
      </c>
      <c r="EW30" s="228" t="s">
        <v>77</v>
      </c>
      <c r="EX30" s="6">
        <f t="shared" si="94"/>
        <v>0</v>
      </c>
      <c r="EY30" s="6">
        <f t="shared" si="95"/>
        <v>0</v>
      </c>
      <c r="EZ30" s="6" t="str">
        <f t="shared" si="125"/>
        <v>0</v>
      </c>
    </row>
    <row r="31" spans="1:197" ht="17" thickBot="1" x14ac:dyDescent="0.25">
      <c r="C31" s="228" t="s">
        <v>78</v>
      </c>
      <c r="D31" s="28">
        <f>IFERROR(IF(B10="W",D23,D22),"0")</f>
        <v>12.350000000000001</v>
      </c>
      <c r="E31" s="86">
        <f t="shared" si="96"/>
        <v>3</v>
      </c>
      <c r="F31" s="33" t="s">
        <v>52</v>
      </c>
      <c r="G31" s="49">
        <f t="shared" si="97"/>
        <v>7</v>
      </c>
      <c r="H31" s="12" t="s">
        <v>53</v>
      </c>
      <c r="I31" s="33">
        <f t="shared" si="98"/>
        <v>2</v>
      </c>
      <c r="J31" s="49" t="s">
        <v>54</v>
      </c>
      <c r="K31" s="12">
        <f t="shared" si="99"/>
        <v>1</v>
      </c>
      <c r="L31" s="33" t="s">
        <v>52</v>
      </c>
      <c r="M31" s="49">
        <f t="shared" si="100"/>
        <v>1</v>
      </c>
      <c r="N31" s="12" t="s">
        <v>53</v>
      </c>
      <c r="O31" s="33">
        <f t="shared" si="101"/>
        <v>0</v>
      </c>
      <c r="P31" s="49" t="s">
        <v>54</v>
      </c>
      <c r="Q31" s="12">
        <f t="shared" si="102"/>
        <v>0</v>
      </c>
      <c r="R31" s="33" t="s">
        <v>52</v>
      </c>
      <c r="S31" s="49">
        <f t="shared" si="103"/>
        <v>0</v>
      </c>
      <c r="T31" s="12" t="s">
        <v>53</v>
      </c>
      <c r="U31" s="33">
        <f t="shared" si="104"/>
        <v>0</v>
      </c>
      <c r="V31" s="49" t="s">
        <v>54</v>
      </c>
      <c r="W31" s="12">
        <f t="shared" si="105"/>
        <v>2</v>
      </c>
      <c r="X31" s="33" t="s">
        <v>52</v>
      </c>
      <c r="Y31" s="49">
        <f t="shared" si="106"/>
        <v>6</v>
      </c>
      <c r="Z31" s="12" t="s">
        <v>53</v>
      </c>
      <c r="AA31" s="33">
        <f t="shared" si="107"/>
        <v>2</v>
      </c>
      <c r="AB31" s="49" t="s">
        <v>54</v>
      </c>
      <c r="AC31" s="12">
        <f t="shared" si="108"/>
        <v>0</v>
      </c>
      <c r="AD31" s="33" t="s">
        <v>52</v>
      </c>
      <c r="AE31" s="53">
        <f t="shared" si="109"/>
        <v>0</v>
      </c>
      <c r="AF31" s="12"/>
      <c r="AG31" s="43">
        <f t="shared" si="110"/>
        <v>2</v>
      </c>
      <c r="AH31" s="33" t="s">
        <v>52</v>
      </c>
      <c r="AI31" s="49">
        <f t="shared" si="111"/>
        <v>6</v>
      </c>
      <c r="AJ31" s="12" t="s">
        <v>53</v>
      </c>
      <c r="AK31" s="33">
        <f t="shared" si="112"/>
        <v>2</v>
      </c>
      <c r="AL31" s="49" t="s">
        <v>54</v>
      </c>
      <c r="AM31" s="12">
        <f t="shared" si="113"/>
        <v>0</v>
      </c>
      <c r="AN31" s="33" t="s">
        <v>52</v>
      </c>
      <c r="AO31" s="49">
        <f t="shared" si="114"/>
        <v>0</v>
      </c>
      <c r="AP31" s="12" t="s">
        <v>53</v>
      </c>
      <c r="AQ31" s="33">
        <f t="shared" si="115"/>
        <v>0</v>
      </c>
      <c r="AR31" s="49" t="s">
        <v>54</v>
      </c>
      <c r="AS31" s="12">
        <f t="shared" si="116"/>
        <v>0</v>
      </c>
      <c r="AT31" s="33" t="s">
        <v>52</v>
      </c>
      <c r="AU31" s="49">
        <f t="shared" si="117"/>
        <v>0</v>
      </c>
      <c r="AV31" s="12" t="s">
        <v>53</v>
      </c>
      <c r="AW31" s="33">
        <f t="shared" si="118"/>
        <v>0</v>
      </c>
      <c r="AX31" s="49" t="s">
        <v>54</v>
      </c>
      <c r="AY31" s="12">
        <f t="shared" si="119"/>
        <v>2</v>
      </c>
      <c r="AZ31" s="33" t="s">
        <v>52</v>
      </c>
      <c r="BA31" s="49">
        <f t="shared" si="120"/>
        <v>6</v>
      </c>
      <c r="BB31" s="12" t="s">
        <v>53</v>
      </c>
      <c r="BC31" s="33">
        <f t="shared" si="121"/>
        <v>2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1</v>
      </c>
      <c r="BJ31" s="33" t="s">
        <v>52</v>
      </c>
      <c r="BK31" s="49">
        <f>IFERROR(IF($B$10="W",BK23,BK22),"0")</f>
        <v>1</v>
      </c>
      <c r="BL31" s="12" t="s">
        <v>53</v>
      </c>
      <c r="BM31" s="33">
        <f>IFERROR(IF($B$10="W",BM23,BM22),"0")</f>
        <v>0</v>
      </c>
      <c r="BN31" s="49" t="s">
        <v>54</v>
      </c>
      <c r="BO31" s="12">
        <f>IFERROR(IF($B$10="W",BO23,BO22),"0")</f>
        <v>1</v>
      </c>
      <c r="BP31" s="33" t="s">
        <v>52</v>
      </c>
      <c r="BQ31" s="49">
        <f>IFERROR(IF($B$10="W",BQ23,BQ22),"0")</f>
        <v>1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0</v>
      </c>
      <c r="CB31" s="33" t="s">
        <v>52</v>
      </c>
      <c r="CC31" s="49">
        <f>IFERROR(IF($B$10="W",CC23,CC22),"0")</f>
        <v>0</v>
      </c>
      <c r="CD31" s="12" t="s">
        <v>53</v>
      </c>
      <c r="CE31" s="33">
        <f>IFERROR(IF($B$10="W",CE23,CE22),"0")</f>
        <v>0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0</v>
      </c>
      <c r="CK31" s="33">
        <f t="shared" si="130"/>
        <v>5</v>
      </c>
      <c r="CL31" s="33">
        <f t="shared" si="130"/>
        <v>0</v>
      </c>
      <c r="CM31" s="33">
        <f t="shared" si="130"/>
        <v>0</v>
      </c>
      <c r="CN31" s="33">
        <f t="shared" si="130"/>
        <v>5</v>
      </c>
      <c r="CO31" s="33">
        <f t="shared" si="130"/>
        <v>2</v>
      </c>
      <c r="CP31" s="33">
        <f t="shared" si="130"/>
        <v>2</v>
      </c>
      <c r="CQ31" s="33">
        <f t="shared" si="130"/>
        <v>0</v>
      </c>
      <c r="CR31" s="33">
        <f t="shared" si="130"/>
        <v>0</v>
      </c>
      <c r="CS31" s="33">
        <f t="shared" si="130"/>
        <v>2</v>
      </c>
      <c r="CT31" s="33">
        <f t="shared" si="130"/>
        <v>2</v>
      </c>
      <c r="CU31" s="33">
        <f t="shared" si="130"/>
        <v>1</v>
      </c>
      <c r="CV31" s="58">
        <f t="shared" si="130"/>
        <v>8</v>
      </c>
      <c r="CW31" s="33"/>
      <c r="CX31" s="4"/>
      <c r="CY31" s="289">
        <f>(G21-E21)+((SUM(EW4:EW18))-(SUM(EV4:EV18)))</f>
        <v>8</v>
      </c>
      <c r="CZ31" s="290">
        <f>CN21</f>
        <v>8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6</v>
      </c>
      <c r="EW31" s="228" t="s">
        <v>78</v>
      </c>
      <c r="EX31" s="6">
        <f t="shared" si="94"/>
        <v>0</v>
      </c>
      <c r="EY31" s="6">
        <f t="shared" si="95"/>
        <v>0</v>
      </c>
      <c r="EZ31" s="6" t="str">
        <f t="shared" si="125"/>
        <v>0</v>
      </c>
    </row>
    <row r="32" spans="1:197" x14ac:dyDescent="0.2">
      <c r="C32" s="228" t="s">
        <v>79</v>
      </c>
      <c r="D32" s="28">
        <f>IFERROR(IF(B11="W",D23,D22),"0")</f>
        <v>12.350000000000001</v>
      </c>
      <c r="E32" s="86">
        <f t="shared" si="96"/>
        <v>2</v>
      </c>
      <c r="F32" s="33" t="s">
        <v>52</v>
      </c>
      <c r="G32" s="49">
        <f t="shared" si="97"/>
        <v>6</v>
      </c>
      <c r="H32" s="12" t="s">
        <v>53</v>
      </c>
      <c r="I32" s="33">
        <f t="shared" si="98"/>
        <v>1</v>
      </c>
      <c r="J32" s="49" t="s">
        <v>54</v>
      </c>
      <c r="K32" s="12">
        <f t="shared" si="99"/>
        <v>1</v>
      </c>
      <c r="L32" s="33" t="s">
        <v>52</v>
      </c>
      <c r="M32" s="49">
        <f t="shared" si="100"/>
        <v>2</v>
      </c>
      <c r="N32" s="12" t="s">
        <v>53</v>
      </c>
      <c r="O32" s="33">
        <f t="shared" si="101"/>
        <v>0</v>
      </c>
      <c r="P32" s="49" t="s">
        <v>54</v>
      </c>
      <c r="Q32" s="12">
        <f t="shared" si="102"/>
        <v>0</v>
      </c>
      <c r="R32" s="33" t="s">
        <v>52</v>
      </c>
      <c r="S32" s="49">
        <f t="shared" si="103"/>
        <v>1</v>
      </c>
      <c r="T32" s="12" t="s">
        <v>53</v>
      </c>
      <c r="U32" s="33">
        <f t="shared" si="104"/>
        <v>0</v>
      </c>
      <c r="V32" s="49" t="s">
        <v>54</v>
      </c>
      <c r="W32" s="12">
        <f t="shared" si="105"/>
        <v>1</v>
      </c>
      <c r="X32" s="33" t="s">
        <v>52</v>
      </c>
      <c r="Y32" s="49">
        <f t="shared" si="106"/>
        <v>3</v>
      </c>
      <c r="Z32" s="12" t="s">
        <v>53</v>
      </c>
      <c r="AA32" s="33">
        <f t="shared" si="107"/>
        <v>1</v>
      </c>
      <c r="AB32" s="49" t="s">
        <v>54</v>
      </c>
      <c r="AC32" s="12">
        <f t="shared" si="108"/>
        <v>0</v>
      </c>
      <c r="AD32" s="33" t="s">
        <v>52</v>
      </c>
      <c r="AE32" s="53">
        <f t="shared" si="109"/>
        <v>0</v>
      </c>
      <c r="AF32" s="12"/>
      <c r="AG32" s="43">
        <f t="shared" si="110"/>
        <v>2</v>
      </c>
      <c r="AH32" s="33" t="s">
        <v>52</v>
      </c>
      <c r="AI32" s="49">
        <f t="shared" si="111"/>
        <v>4</v>
      </c>
      <c r="AJ32" s="12" t="s">
        <v>53</v>
      </c>
      <c r="AK32" s="33">
        <f t="shared" si="112"/>
        <v>1</v>
      </c>
      <c r="AL32" s="49" t="s">
        <v>54</v>
      </c>
      <c r="AM32" s="12">
        <f t="shared" si="113"/>
        <v>1</v>
      </c>
      <c r="AN32" s="33" t="s">
        <v>52</v>
      </c>
      <c r="AO32" s="49">
        <f t="shared" si="114"/>
        <v>2</v>
      </c>
      <c r="AP32" s="12" t="s">
        <v>53</v>
      </c>
      <c r="AQ32" s="33">
        <f t="shared" si="115"/>
        <v>0</v>
      </c>
      <c r="AR32" s="49" t="s">
        <v>54</v>
      </c>
      <c r="AS32" s="12">
        <f t="shared" si="116"/>
        <v>0</v>
      </c>
      <c r="AT32" s="33" t="s">
        <v>52</v>
      </c>
      <c r="AU32" s="49">
        <f t="shared" si="117"/>
        <v>0</v>
      </c>
      <c r="AV32" s="12" t="s">
        <v>53</v>
      </c>
      <c r="AW32" s="33">
        <f t="shared" si="118"/>
        <v>0</v>
      </c>
      <c r="AX32" s="49" t="s">
        <v>54</v>
      </c>
      <c r="AY32" s="12">
        <f t="shared" si="119"/>
        <v>1</v>
      </c>
      <c r="AZ32" s="33" t="s">
        <v>52</v>
      </c>
      <c r="BA32" s="49">
        <f t="shared" si="120"/>
        <v>2</v>
      </c>
      <c r="BB32" s="12" t="s">
        <v>53</v>
      </c>
      <c r="BC32" s="33">
        <f t="shared" si="121"/>
        <v>1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0</v>
      </c>
      <c r="BJ32" s="33" t="s">
        <v>52</v>
      </c>
      <c r="BK32" s="49">
        <f>IFERROR(IF($B$11="W",BK23,BK22),"0")</f>
        <v>2</v>
      </c>
      <c r="BL32" s="12" t="s">
        <v>53</v>
      </c>
      <c r="BM32" s="33">
        <f>IFERROR(IF($B$11="W",BM23,BM22),"0")</f>
        <v>0</v>
      </c>
      <c r="BN32" s="49" t="s">
        <v>54</v>
      </c>
      <c r="BO32" s="12">
        <f>IFERROR(IF($B$11="W",BO23,BO22),"0")</f>
        <v>0</v>
      </c>
      <c r="BP32" s="33" t="s">
        <v>52</v>
      </c>
      <c r="BQ32" s="49">
        <f>IFERROR(IF($B$11="W",BQ23,BQ22),"0")</f>
        <v>0</v>
      </c>
      <c r="BR32" s="12" t="s">
        <v>53</v>
      </c>
      <c r="BS32" s="33">
        <f>IFERROR(IF($B$11="W",BS23,BS22),"0")</f>
        <v>0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1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0</v>
      </c>
      <c r="CB32" s="33" t="s">
        <v>52</v>
      </c>
      <c r="CC32" s="49">
        <f>IFERROR(IF($B$11="W",CC23,CC22),"0")</f>
        <v>1</v>
      </c>
      <c r="CD32" s="12" t="s">
        <v>53</v>
      </c>
      <c r="CE32" s="33">
        <f>IFERROR(IF($B$11="W",CE23,CE22),"0")</f>
        <v>0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0</v>
      </c>
      <c r="CK32" s="33">
        <f t="shared" si="131"/>
        <v>3</v>
      </c>
      <c r="CL32" s="33">
        <f t="shared" si="131"/>
        <v>0</v>
      </c>
      <c r="CM32" s="33">
        <f t="shared" si="131"/>
        <v>0</v>
      </c>
      <c r="CN32" s="33">
        <f t="shared" si="131"/>
        <v>3</v>
      </c>
      <c r="CO32" s="33">
        <f t="shared" si="131"/>
        <v>1</v>
      </c>
      <c r="CP32" s="33">
        <f t="shared" si="131"/>
        <v>2</v>
      </c>
      <c r="CQ32" s="33">
        <f t="shared" si="131"/>
        <v>0</v>
      </c>
      <c r="CR32" s="33">
        <f t="shared" si="131"/>
        <v>0</v>
      </c>
      <c r="CS32" s="33">
        <f t="shared" si="131"/>
        <v>1</v>
      </c>
      <c r="CT32" s="33">
        <f t="shared" si="131"/>
        <v>2</v>
      </c>
      <c r="CU32" s="33">
        <f t="shared" si="131"/>
        <v>0</v>
      </c>
      <c r="CV32" s="58">
        <f t="shared" si="131"/>
        <v>5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6</v>
      </c>
      <c r="EW32" s="228" t="s">
        <v>79</v>
      </c>
      <c r="EX32" s="6">
        <f t="shared" si="94"/>
        <v>0</v>
      </c>
      <c r="EY32" s="6">
        <f t="shared" si="95"/>
        <v>0</v>
      </c>
      <c r="EZ32" s="6" t="str">
        <f t="shared" si="125"/>
        <v>0</v>
      </c>
    </row>
    <row r="33" spans="3:156" x14ac:dyDescent="0.2">
      <c r="C33" s="228" t="s">
        <v>114</v>
      </c>
      <c r="D33" s="28">
        <f>IFERROR(IF(B12="W",D23,D22),"0")</f>
        <v>12.350000000000001</v>
      </c>
      <c r="E33" s="86">
        <f t="shared" si="96"/>
        <v>2</v>
      </c>
      <c r="F33" s="33" t="s">
        <v>52</v>
      </c>
      <c r="G33" s="49">
        <f t="shared" si="97"/>
        <v>6</v>
      </c>
      <c r="H33" s="12" t="s">
        <v>53</v>
      </c>
      <c r="I33" s="33">
        <f t="shared" si="98"/>
        <v>1</v>
      </c>
      <c r="J33" s="49" t="s">
        <v>54</v>
      </c>
      <c r="K33" s="12">
        <f t="shared" si="99"/>
        <v>1</v>
      </c>
      <c r="L33" s="33" t="s">
        <v>52</v>
      </c>
      <c r="M33" s="49">
        <f t="shared" si="100"/>
        <v>2</v>
      </c>
      <c r="N33" s="12" t="s">
        <v>53</v>
      </c>
      <c r="O33" s="33">
        <f t="shared" si="101"/>
        <v>0</v>
      </c>
      <c r="P33" s="49" t="s">
        <v>54</v>
      </c>
      <c r="Q33" s="12">
        <f t="shared" si="102"/>
        <v>0</v>
      </c>
      <c r="R33" s="33" t="s">
        <v>52</v>
      </c>
      <c r="S33" s="49">
        <f t="shared" si="103"/>
        <v>1</v>
      </c>
      <c r="T33" s="12" t="s">
        <v>53</v>
      </c>
      <c r="U33" s="33">
        <f t="shared" si="104"/>
        <v>0</v>
      </c>
      <c r="V33" s="49" t="s">
        <v>54</v>
      </c>
      <c r="W33" s="12">
        <f t="shared" si="105"/>
        <v>1</v>
      </c>
      <c r="X33" s="33" t="s">
        <v>52</v>
      </c>
      <c r="Y33" s="49">
        <f t="shared" si="106"/>
        <v>3</v>
      </c>
      <c r="Z33" s="12" t="s">
        <v>53</v>
      </c>
      <c r="AA33" s="33">
        <f t="shared" si="107"/>
        <v>1</v>
      </c>
      <c r="AB33" s="49" t="s">
        <v>54</v>
      </c>
      <c r="AC33" s="12">
        <f t="shared" si="108"/>
        <v>0</v>
      </c>
      <c r="AD33" s="33" t="s">
        <v>52</v>
      </c>
      <c r="AE33" s="53">
        <f t="shared" si="109"/>
        <v>0</v>
      </c>
      <c r="AF33" s="12"/>
      <c r="AG33" s="43">
        <f t="shared" si="110"/>
        <v>2</v>
      </c>
      <c r="AH33" s="33" t="s">
        <v>52</v>
      </c>
      <c r="AI33" s="49">
        <f t="shared" si="111"/>
        <v>4</v>
      </c>
      <c r="AJ33" s="12" t="s">
        <v>53</v>
      </c>
      <c r="AK33" s="33">
        <f t="shared" si="112"/>
        <v>1</v>
      </c>
      <c r="AL33" s="49" t="s">
        <v>54</v>
      </c>
      <c r="AM33" s="12">
        <f t="shared" si="113"/>
        <v>1</v>
      </c>
      <c r="AN33" s="33" t="s">
        <v>52</v>
      </c>
      <c r="AO33" s="49">
        <f t="shared" si="114"/>
        <v>2</v>
      </c>
      <c r="AP33" s="12" t="s">
        <v>53</v>
      </c>
      <c r="AQ33" s="33">
        <f t="shared" si="115"/>
        <v>0</v>
      </c>
      <c r="AR33" s="49" t="s">
        <v>54</v>
      </c>
      <c r="AS33" s="12">
        <f t="shared" si="116"/>
        <v>0</v>
      </c>
      <c r="AT33" s="33" t="s">
        <v>52</v>
      </c>
      <c r="AU33" s="49">
        <f t="shared" si="117"/>
        <v>0</v>
      </c>
      <c r="AV33" s="12" t="s">
        <v>53</v>
      </c>
      <c r="AW33" s="33">
        <f t="shared" si="118"/>
        <v>0</v>
      </c>
      <c r="AX33" s="49" t="s">
        <v>54</v>
      </c>
      <c r="AY33" s="12">
        <f t="shared" si="119"/>
        <v>1</v>
      </c>
      <c r="AZ33" s="33" t="s">
        <v>52</v>
      </c>
      <c r="BA33" s="49">
        <f t="shared" si="120"/>
        <v>2</v>
      </c>
      <c r="BB33" s="12" t="s">
        <v>53</v>
      </c>
      <c r="BC33" s="33">
        <f t="shared" si="121"/>
        <v>1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0</v>
      </c>
      <c r="BJ33" s="33" t="s">
        <v>52</v>
      </c>
      <c r="BK33" s="49">
        <f>IFERROR(IF($B$12="W",BK23,BK22),"0")</f>
        <v>2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0</v>
      </c>
      <c r="BP33" s="33" t="s">
        <v>52</v>
      </c>
      <c r="BQ33" s="49">
        <f>IFERROR(IF($B$12="W",BQ23,BQ22),"0")</f>
        <v>0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1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0</v>
      </c>
      <c r="CB33" s="33" t="s">
        <v>52</v>
      </c>
      <c r="CC33" s="49">
        <f>IFERROR(IF($B$12="W",CC23,CC22),"0")</f>
        <v>1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0</v>
      </c>
      <c r="CK33" s="33">
        <f t="shared" si="132"/>
        <v>3</v>
      </c>
      <c r="CL33" s="33">
        <f t="shared" si="132"/>
        <v>0</v>
      </c>
      <c r="CM33" s="33">
        <f t="shared" si="132"/>
        <v>0</v>
      </c>
      <c r="CN33" s="33">
        <f t="shared" si="132"/>
        <v>3</v>
      </c>
      <c r="CO33" s="33">
        <f t="shared" si="132"/>
        <v>1</v>
      </c>
      <c r="CP33" s="33">
        <f t="shared" si="132"/>
        <v>2</v>
      </c>
      <c r="CQ33" s="33">
        <f t="shared" si="132"/>
        <v>0</v>
      </c>
      <c r="CR33" s="33">
        <f t="shared" si="132"/>
        <v>0</v>
      </c>
      <c r="CS33" s="33">
        <f t="shared" si="132"/>
        <v>1</v>
      </c>
      <c r="CT33" s="33">
        <f t="shared" si="132"/>
        <v>2</v>
      </c>
      <c r="CU33" s="33">
        <f t="shared" si="132"/>
        <v>0</v>
      </c>
      <c r="CV33" s="58">
        <f t="shared" si="132"/>
        <v>5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6</v>
      </c>
      <c r="EW33" s="228" t="s">
        <v>114</v>
      </c>
      <c r="EX33" s="6">
        <f t="shared" si="94"/>
        <v>0</v>
      </c>
      <c r="EY33" s="6">
        <f t="shared" si="95"/>
        <v>0</v>
      </c>
      <c r="EZ33" s="6" t="str">
        <f t="shared" si="125"/>
        <v>0</v>
      </c>
    </row>
    <row r="34" spans="3:156" x14ac:dyDescent="0.2">
      <c r="C34" s="228" t="s">
        <v>223</v>
      </c>
      <c r="D34" s="28">
        <f>IFERROR(IF(B13="W",D23,D22),"0")</f>
        <v>12.350000000000001</v>
      </c>
      <c r="E34" s="86">
        <f t="shared" si="96"/>
        <v>2</v>
      </c>
      <c r="F34" s="33" t="s">
        <v>52</v>
      </c>
      <c r="G34" s="49">
        <f t="shared" si="97"/>
        <v>6</v>
      </c>
      <c r="H34" s="12" t="s">
        <v>53</v>
      </c>
      <c r="I34" s="33">
        <f t="shared" si="98"/>
        <v>1</v>
      </c>
      <c r="J34" s="49" t="s">
        <v>54</v>
      </c>
      <c r="K34" s="12">
        <f t="shared" si="99"/>
        <v>1</v>
      </c>
      <c r="L34" s="33" t="s">
        <v>52</v>
      </c>
      <c r="M34" s="49">
        <f t="shared" si="100"/>
        <v>2</v>
      </c>
      <c r="N34" s="12" t="s">
        <v>53</v>
      </c>
      <c r="O34" s="33">
        <f t="shared" si="101"/>
        <v>0</v>
      </c>
      <c r="P34" s="49" t="s">
        <v>54</v>
      </c>
      <c r="Q34" s="12">
        <f t="shared" si="102"/>
        <v>0</v>
      </c>
      <c r="R34" s="33" t="s">
        <v>52</v>
      </c>
      <c r="S34" s="49">
        <f t="shared" si="103"/>
        <v>1</v>
      </c>
      <c r="T34" s="12" t="s">
        <v>53</v>
      </c>
      <c r="U34" s="33">
        <f t="shared" si="104"/>
        <v>0</v>
      </c>
      <c r="V34" s="49" t="s">
        <v>54</v>
      </c>
      <c r="W34" s="12">
        <f t="shared" si="105"/>
        <v>1</v>
      </c>
      <c r="X34" s="33" t="s">
        <v>52</v>
      </c>
      <c r="Y34" s="49">
        <f t="shared" si="106"/>
        <v>3</v>
      </c>
      <c r="Z34" s="12" t="s">
        <v>53</v>
      </c>
      <c r="AA34" s="33">
        <f t="shared" si="107"/>
        <v>1</v>
      </c>
      <c r="AB34" s="49" t="s">
        <v>54</v>
      </c>
      <c r="AC34" s="12">
        <f t="shared" si="108"/>
        <v>0</v>
      </c>
      <c r="AD34" s="33" t="s">
        <v>52</v>
      </c>
      <c r="AE34" s="53">
        <f t="shared" si="109"/>
        <v>0</v>
      </c>
      <c r="AF34" s="12"/>
      <c r="AG34" s="43">
        <f t="shared" si="110"/>
        <v>2</v>
      </c>
      <c r="AH34" s="33" t="s">
        <v>52</v>
      </c>
      <c r="AI34" s="49">
        <f t="shared" si="111"/>
        <v>4</v>
      </c>
      <c r="AJ34" s="12" t="s">
        <v>53</v>
      </c>
      <c r="AK34" s="33">
        <f t="shared" si="112"/>
        <v>1</v>
      </c>
      <c r="AL34" s="49" t="s">
        <v>54</v>
      </c>
      <c r="AM34" s="12">
        <f t="shared" si="113"/>
        <v>1</v>
      </c>
      <c r="AN34" s="33" t="s">
        <v>52</v>
      </c>
      <c r="AO34" s="49">
        <f t="shared" si="114"/>
        <v>2</v>
      </c>
      <c r="AP34" s="12" t="s">
        <v>53</v>
      </c>
      <c r="AQ34" s="33">
        <f t="shared" si="115"/>
        <v>0</v>
      </c>
      <c r="AR34" s="49" t="s">
        <v>54</v>
      </c>
      <c r="AS34" s="12">
        <f t="shared" si="116"/>
        <v>0</v>
      </c>
      <c r="AT34" s="33" t="s">
        <v>52</v>
      </c>
      <c r="AU34" s="49">
        <f t="shared" si="117"/>
        <v>0</v>
      </c>
      <c r="AV34" s="12" t="s">
        <v>53</v>
      </c>
      <c r="AW34" s="33">
        <f t="shared" si="118"/>
        <v>0</v>
      </c>
      <c r="AX34" s="49" t="s">
        <v>54</v>
      </c>
      <c r="AY34" s="12">
        <f t="shared" si="119"/>
        <v>1</v>
      </c>
      <c r="AZ34" s="33" t="s">
        <v>52</v>
      </c>
      <c r="BA34" s="49">
        <f t="shared" si="120"/>
        <v>2</v>
      </c>
      <c r="BB34" s="12" t="s">
        <v>53</v>
      </c>
      <c r="BC34" s="33">
        <f t="shared" si="121"/>
        <v>1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0</v>
      </c>
      <c r="BJ34" s="33" t="s">
        <v>52</v>
      </c>
      <c r="BK34" s="49">
        <f>IFERROR(IF($B$13="W",BK23,BK22),"0")</f>
        <v>2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0</v>
      </c>
      <c r="BP34" s="33" t="s">
        <v>52</v>
      </c>
      <c r="BQ34" s="49">
        <f>IFERROR(IF($B$13="W",BQ23,BQ22),"0")</f>
        <v>0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1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0</v>
      </c>
      <c r="CB34" s="33" t="s">
        <v>52</v>
      </c>
      <c r="CC34" s="49">
        <f>IFERROR(IF($B$13="W",CC23,CC22),"0")</f>
        <v>1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0</v>
      </c>
      <c r="CK34" s="33">
        <f t="shared" si="133"/>
        <v>3</v>
      </c>
      <c r="CL34" s="33">
        <f t="shared" si="133"/>
        <v>0</v>
      </c>
      <c r="CM34" s="33">
        <f t="shared" si="133"/>
        <v>0</v>
      </c>
      <c r="CN34" s="33">
        <f t="shared" si="133"/>
        <v>3</v>
      </c>
      <c r="CO34" s="33">
        <f t="shared" si="133"/>
        <v>1</v>
      </c>
      <c r="CP34" s="33">
        <f t="shared" si="133"/>
        <v>2</v>
      </c>
      <c r="CQ34" s="33">
        <f t="shared" si="133"/>
        <v>0</v>
      </c>
      <c r="CR34" s="33">
        <f t="shared" si="133"/>
        <v>0</v>
      </c>
      <c r="CS34" s="33">
        <f t="shared" si="133"/>
        <v>1</v>
      </c>
      <c r="CT34" s="33">
        <f t="shared" si="133"/>
        <v>2</v>
      </c>
      <c r="CU34" s="33">
        <f t="shared" si="133"/>
        <v>0</v>
      </c>
      <c r="CV34" s="58">
        <f t="shared" si="133"/>
        <v>5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6</v>
      </c>
      <c r="EW34" s="228" t="s">
        <v>223</v>
      </c>
      <c r="EX34" s="6">
        <f t="shared" si="94"/>
        <v>0</v>
      </c>
      <c r="EY34" s="6">
        <f t="shared" si="95"/>
        <v>0</v>
      </c>
      <c r="EZ34" s="6" t="str">
        <f t="shared" si="125"/>
        <v>0</v>
      </c>
    </row>
    <row r="35" spans="3:156" x14ac:dyDescent="0.2">
      <c r="C35" s="228" t="s">
        <v>80</v>
      </c>
      <c r="D35" s="28">
        <f>IFERROR(IF(B14="W",D23,D22),"0")</f>
        <v>12.350000000000001</v>
      </c>
      <c r="E35" s="86">
        <f t="shared" si="96"/>
        <v>3</v>
      </c>
      <c r="F35" s="33" t="s">
        <v>52</v>
      </c>
      <c r="G35" s="49">
        <f t="shared" si="97"/>
        <v>7</v>
      </c>
      <c r="H35" s="12" t="s">
        <v>53</v>
      </c>
      <c r="I35" s="33">
        <f t="shared" si="98"/>
        <v>2</v>
      </c>
      <c r="J35" s="49" t="s">
        <v>54</v>
      </c>
      <c r="K35" s="12">
        <f t="shared" si="99"/>
        <v>1</v>
      </c>
      <c r="L35" s="33" t="s">
        <v>52</v>
      </c>
      <c r="M35" s="49">
        <f t="shared" si="100"/>
        <v>1</v>
      </c>
      <c r="N35" s="12" t="s">
        <v>53</v>
      </c>
      <c r="O35" s="33">
        <f t="shared" si="101"/>
        <v>0</v>
      </c>
      <c r="P35" s="49" t="s">
        <v>54</v>
      </c>
      <c r="Q35" s="12">
        <f t="shared" si="102"/>
        <v>0</v>
      </c>
      <c r="R35" s="33" t="s">
        <v>52</v>
      </c>
      <c r="S35" s="49">
        <f t="shared" si="103"/>
        <v>0</v>
      </c>
      <c r="T35" s="12" t="s">
        <v>53</v>
      </c>
      <c r="U35" s="33">
        <f t="shared" si="104"/>
        <v>0</v>
      </c>
      <c r="V35" s="49" t="s">
        <v>54</v>
      </c>
      <c r="W35" s="12">
        <f t="shared" si="105"/>
        <v>2</v>
      </c>
      <c r="X35" s="33" t="s">
        <v>52</v>
      </c>
      <c r="Y35" s="49">
        <f t="shared" si="106"/>
        <v>6</v>
      </c>
      <c r="Z35" s="12" t="s">
        <v>53</v>
      </c>
      <c r="AA35" s="33">
        <f t="shared" si="107"/>
        <v>2</v>
      </c>
      <c r="AB35" s="49" t="s">
        <v>54</v>
      </c>
      <c r="AC35" s="12">
        <f t="shared" si="108"/>
        <v>0</v>
      </c>
      <c r="AD35" s="33" t="s">
        <v>52</v>
      </c>
      <c r="AE35" s="53">
        <f t="shared" si="109"/>
        <v>0</v>
      </c>
      <c r="AF35" s="12"/>
      <c r="AG35" s="43">
        <f t="shared" si="110"/>
        <v>2</v>
      </c>
      <c r="AH35" s="33" t="s">
        <v>52</v>
      </c>
      <c r="AI35" s="49">
        <f t="shared" si="111"/>
        <v>6</v>
      </c>
      <c r="AJ35" s="12" t="s">
        <v>53</v>
      </c>
      <c r="AK35" s="33">
        <f t="shared" si="112"/>
        <v>2</v>
      </c>
      <c r="AL35" s="49" t="s">
        <v>54</v>
      </c>
      <c r="AM35" s="12">
        <f t="shared" si="113"/>
        <v>0</v>
      </c>
      <c r="AN35" s="33" t="s">
        <v>52</v>
      </c>
      <c r="AO35" s="49">
        <f t="shared" si="114"/>
        <v>0</v>
      </c>
      <c r="AP35" s="12" t="s">
        <v>53</v>
      </c>
      <c r="AQ35" s="33">
        <f t="shared" si="115"/>
        <v>0</v>
      </c>
      <c r="AR35" s="49" t="s">
        <v>54</v>
      </c>
      <c r="AS35" s="12">
        <f t="shared" si="116"/>
        <v>0</v>
      </c>
      <c r="AT35" s="33" t="s">
        <v>52</v>
      </c>
      <c r="AU35" s="49">
        <f t="shared" si="117"/>
        <v>0</v>
      </c>
      <c r="AV35" s="12" t="s">
        <v>53</v>
      </c>
      <c r="AW35" s="33">
        <f t="shared" si="118"/>
        <v>0</v>
      </c>
      <c r="AX35" s="49" t="s">
        <v>54</v>
      </c>
      <c r="AY35" s="12">
        <f t="shared" si="119"/>
        <v>2</v>
      </c>
      <c r="AZ35" s="33" t="s">
        <v>52</v>
      </c>
      <c r="BA35" s="49">
        <f t="shared" si="120"/>
        <v>6</v>
      </c>
      <c r="BB35" s="12" t="s">
        <v>53</v>
      </c>
      <c r="BC35" s="33">
        <f t="shared" si="121"/>
        <v>2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1</v>
      </c>
      <c r="BJ35" s="12" t="str">
        <f t="shared" ref="BJ35:CI35" si="134">IFERROR(IF($B$14="W",BJ23,BJ22),"0")</f>
        <v>-</v>
      </c>
      <c r="BK35" s="49">
        <f t="shared" si="134"/>
        <v>1</v>
      </c>
      <c r="BL35" s="12" t="str">
        <f t="shared" si="134"/>
        <v>(</v>
      </c>
      <c r="BM35" s="33">
        <f t="shared" si="134"/>
        <v>0</v>
      </c>
      <c r="BN35" s="49" t="str">
        <f t="shared" si="134"/>
        <v>)</v>
      </c>
      <c r="BO35" s="12">
        <f t="shared" si="134"/>
        <v>1</v>
      </c>
      <c r="BP35" s="12" t="str">
        <f t="shared" si="134"/>
        <v>-</v>
      </c>
      <c r="BQ35" s="49">
        <f t="shared" si="134"/>
        <v>1</v>
      </c>
      <c r="BR35" s="12" t="str">
        <f t="shared" si="134"/>
        <v>(</v>
      </c>
      <c r="BS35" s="33">
        <f t="shared" si="134"/>
        <v>0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0</v>
      </c>
      <c r="CB35" s="12" t="str">
        <f t="shared" si="134"/>
        <v>-</v>
      </c>
      <c r="CC35" s="49">
        <f t="shared" si="134"/>
        <v>0</v>
      </c>
      <c r="CD35" s="12" t="str">
        <f t="shared" si="134"/>
        <v>(</v>
      </c>
      <c r="CE35" s="33">
        <f t="shared" si="134"/>
        <v>0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0</v>
      </c>
      <c r="CK35" s="33">
        <f t="shared" ref="CK35:CV35" si="135">IFERROR(IF($B$14="W",CK23,CK22),"0")</f>
        <v>5</v>
      </c>
      <c r="CL35" s="33">
        <f t="shared" si="135"/>
        <v>0</v>
      </c>
      <c r="CM35" s="33">
        <f t="shared" si="135"/>
        <v>0</v>
      </c>
      <c r="CN35" s="33">
        <f t="shared" si="135"/>
        <v>5</v>
      </c>
      <c r="CO35" s="33">
        <f t="shared" si="135"/>
        <v>2</v>
      </c>
      <c r="CP35" s="33">
        <f t="shared" si="135"/>
        <v>2</v>
      </c>
      <c r="CQ35" s="33">
        <f t="shared" si="135"/>
        <v>0</v>
      </c>
      <c r="CR35" s="33">
        <f t="shared" si="135"/>
        <v>0</v>
      </c>
      <c r="CS35" s="33">
        <f t="shared" si="135"/>
        <v>2</v>
      </c>
      <c r="CT35" s="33">
        <f t="shared" si="135"/>
        <v>2</v>
      </c>
      <c r="CU35" s="33">
        <f t="shared" si="135"/>
        <v>1</v>
      </c>
      <c r="CV35" s="33">
        <f t="shared" si="135"/>
        <v>8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6</v>
      </c>
      <c r="EW35" s="228" t="s">
        <v>80</v>
      </c>
      <c r="EX35" s="6">
        <f t="shared" si="94"/>
        <v>0</v>
      </c>
      <c r="EY35" s="6">
        <f t="shared" si="95"/>
        <v>0</v>
      </c>
      <c r="EZ35" s="6" t="str">
        <f t="shared" si="125"/>
        <v>0</v>
      </c>
    </row>
    <row r="36" spans="3:156" x14ac:dyDescent="0.2">
      <c r="C36" s="228" t="s">
        <v>224</v>
      </c>
      <c r="D36" s="28">
        <f>IFERROR(IF(B15="W",D23,D22),"0")</f>
        <v>12.350000000000001</v>
      </c>
      <c r="E36" s="86">
        <f t="shared" si="96"/>
        <v>2</v>
      </c>
      <c r="F36" s="33" t="s">
        <v>52</v>
      </c>
      <c r="G36" s="49">
        <f t="shared" si="97"/>
        <v>6</v>
      </c>
      <c r="H36" s="12" t="s">
        <v>53</v>
      </c>
      <c r="I36" s="33">
        <f t="shared" si="98"/>
        <v>1</v>
      </c>
      <c r="J36" s="49" t="s">
        <v>54</v>
      </c>
      <c r="K36" s="12">
        <f t="shared" si="99"/>
        <v>1</v>
      </c>
      <c r="L36" s="33" t="s">
        <v>52</v>
      </c>
      <c r="M36" s="49">
        <f t="shared" si="100"/>
        <v>2</v>
      </c>
      <c r="N36" s="12" t="s">
        <v>53</v>
      </c>
      <c r="O36" s="33">
        <f t="shared" si="101"/>
        <v>0</v>
      </c>
      <c r="P36" s="49" t="s">
        <v>54</v>
      </c>
      <c r="Q36" s="12">
        <f t="shared" si="102"/>
        <v>0</v>
      </c>
      <c r="R36" s="33" t="s">
        <v>52</v>
      </c>
      <c r="S36" s="49">
        <f t="shared" si="103"/>
        <v>1</v>
      </c>
      <c r="T36" s="12" t="s">
        <v>53</v>
      </c>
      <c r="U36" s="33">
        <f t="shared" si="104"/>
        <v>0</v>
      </c>
      <c r="V36" s="49" t="s">
        <v>54</v>
      </c>
      <c r="W36" s="12">
        <f t="shared" si="105"/>
        <v>1</v>
      </c>
      <c r="X36" s="33" t="s">
        <v>52</v>
      </c>
      <c r="Y36" s="49">
        <f t="shared" si="106"/>
        <v>3</v>
      </c>
      <c r="Z36" s="12" t="s">
        <v>53</v>
      </c>
      <c r="AA36" s="33">
        <f t="shared" si="107"/>
        <v>1</v>
      </c>
      <c r="AB36" s="49" t="s">
        <v>54</v>
      </c>
      <c r="AC36" s="12">
        <f t="shared" si="108"/>
        <v>0</v>
      </c>
      <c r="AD36" s="33" t="s">
        <v>52</v>
      </c>
      <c r="AE36" s="53">
        <f t="shared" si="109"/>
        <v>0</v>
      </c>
      <c r="AF36" s="12"/>
      <c r="AG36" s="43">
        <f t="shared" si="110"/>
        <v>2</v>
      </c>
      <c r="AH36" s="33" t="s">
        <v>52</v>
      </c>
      <c r="AI36" s="49">
        <f t="shared" si="111"/>
        <v>4</v>
      </c>
      <c r="AJ36" s="12" t="s">
        <v>53</v>
      </c>
      <c r="AK36" s="33">
        <f t="shared" si="112"/>
        <v>1</v>
      </c>
      <c r="AL36" s="49" t="s">
        <v>54</v>
      </c>
      <c r="AM36" s="12">
        <f t="shared" si="113"/>
        <v>1</v>
      </c>
      <c r="AN36" s="33" t="s">
        <v>52</v>
      </c>
      <c r="AO36" s="49">
        <f t="shared" si="114"/>
        <v>2</v>
      </c>
      <c r="AP36" s="12" t="s">
        <v>53</v>
      </c>
      <c r="AQ36" s="33">
        <f t="shared" si="115"/>
        <v>0</v>
      </c>
      <c r="AR36" s="49" t="s">
        <v>54</v>
      </c>
      <c r="AS36" s="12">
        <f t="shared" si="116"/>
        <v>0</v>
      </c>
      <c r="AT36" s="33" t="s">
        <v>52</v>
      </c>
      <c r="AU36" s="49">
        <f t="shared" si="117"/>
        <v>0</v>
      </c>
      <c r="AV36" s="12" t="s">
        <v>53</v>
      </c>
      <c r="AW36" s="33">
        <f t="shared" si="118"/>
        <v>0</v>
      </c>
      <c r="AX36" s="49" t="s">
        <v>54</v>
      </c>
      <c r="AY36" s="12">
        <f t="shared" si="119"/>
        <v>1</v>
      </c>
      <c r="AZ36" s="33" t="s">
        <v>52</v>
      </c>
      <c r="BA36" s="49">
        <f t="shared" si="120"/>
        <v>2</v>
      </c>
      <c r="BB36" s="12" t="s">
        <v>53</v>
      </c>
      <c r="BC36" s="33">
        <f t="shared" si="121"/>
        <v>1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0</v>
      </c>
      <c r="BJ36" s="12" t="str">
        <f t="shared" ref="BJ36:CI36" si="136">IFERROR(IF($B$15="W",BJ23,BJ22),"0")</f>
        <v>-</v>
      </c>
      <c r="BK36" s="49">
        <f t="shared" si="136"/>
        <v>2</v>
      </c>
      <c r="BL36" s="12" t="str">
        <f t="shared" si="136"/>
        <v>(</v>
      </c>
      <c r="BM36" s="33">
        <f t="shared" si="136"/>
        <v>0</v>
      </c>
      <c r="BN36" s="49" t="str">
        <f t="shared" si="136"/>
        <v>)</v>
      </c>
      <c r="BO36" s="12">
        <f t="shared" si="136"/>
        <v>0</v>
      </c>
      <c r="BP36" s="12" t="str">
        <f t="shared" si="136"/>
        <v>-</v>
      </c>
      <c r="BQ36" s="49">
        <f t="shared" si="136"/>
        <v>0</v>
      </c>
      <c r="BR36" s="12" t="str">
        <f t="shared" si="136"/>
        <v>(</v>
      </c>
      <c r="BS36" s="33">
        <f t="shared" si="136"/>
        <v>0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1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0</v>
      </c>
      <c r="CB36" s="12" t="str">
        <f t="shared" si="136"/>
        <v>-</v>
      </c>
      <c r="CC36" s="49">
        <f t="shared" si="136"/>
        <v>1</v>
      </c>
      <c r="CD36" s="12" t="str">
        <f t="shared" si="136"/>
        <v>(</v>
      </c>
      <c r="CE36" s="33">
        <f t="shared" si="136"/>
        <v>0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0</v>
      </c>
      <c r="CK36" s="33">
        <f t="shared" ref="CK36:CV36" si="137">IFERROR(IF($B$15="W",CK23,CK22),"0")</f>
        <v>3</v>
      </c>
      <c r="CL36" s="33">
        <f t="shared" si="137"/>
        <v>0</v>
      </c>
      <c r="CM36" s="33">
        <f t="shared" si="137"/>
        <v>0</v>
      </c>
      <c r="CN36" s="33">
        <f t="shared" si="137"/>
        <v>3</v>
      </c>
      <c r="CO36" s="33">
        <f t="shared" si="137"/>
        <v>1</v>
      </c>
      <c r="CP36" s="33">
        <f t="shared" si="137"/>
        <v>2</v>
      </c>
      <c r="CQ36" s="33">
        <f t="shared" si="137"/>
        <v>0</v>
      </c>
      <c r="CR36" s="33">
        <f t="shared" si="137"/>
        <v>0</v>
      </c>
      <c r="CS36" s="33">
        <f t="shared" si="137"/>
        <v>1</v>
      </c>
      <c r="CT36" s="33">
        <f t="shared" si="137"/>
        <v>2</v>
      </c>
      <c r="CU36" s="33">
        <f t="shared" si="137"/>
        <v>0</v>
      </c>
      <c r="CV36" s="33">
        <f t="shared" si="137"/>
        <v>5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6</v>
      </c>
      <c r="EW36" s="228" t="s">
        <v>224</v>
      </c>
      <c r="EX36" s="6">
        <f t="shared" si="94"/>
        <v>0</v>
      </c>
      <c r="EY36" s="6">
        <f t="shared" si="95"/>
        <v>0</v>
      </c>
      <c r="EZ36" s="6" t="str">
        <f t="shared" si="125"/>
        <v>0</v>
      </c>
    </row>
    <row r="37" spans="3:156" x14ac:dyDescent="0.2">
      <c r="C37" s="228" t="s">
        <v>112</v>
      </c>
      <c r="D37" s="28">
        <f>IFERROR(IF(B16="W",D23,D22),"0")</f>
        <v>12.350000000000001</v>
      </c>
      <c r="E37" s="86">
        <f t="shared" si="96"/>
        <v>2</v>
      </c>
      <c r="F37" s="33" t="s">
        <v>52</v>
      </c>
      <c r="G37" s="49">
        <f t="shared" si="97"/>
        <v>6</v>
      </c>
      <c r="H37" s="12" t="s">
        <v>53</v>
      </c>
      <c r="I37" s="33">
        <f t="shared" si="98"/>
        <v>1</v>
      </c>
      <c r="J37" s="49" t="s">
        <v>54</v>
      </c>
      <c r="K37" s="12">
        <f t="shared" si="99"/>
        <v>1</v>
      </c>
      <c r="L37" s="33" t="s">
        <v>52</v>
      </c>
      <c r="M37" s="49">
        <f t="shared" si="100"/>
        <v>2</v>
      </c>
      <c r="N37" s="12" t="s">
        <v>53</v>
      </c>
      <c r="O37" s="33">
        <f t="shared" si="101"/>
        <v>0</v>
      </c>
      <c r="P37" s="49" t="s">
        <v>54</v>
      </c>
      <c r="Q37" s="12">
        <f t="shared" si="102"/>
        <v>0</v>
      </c>
      <c r="R37" s="33" t="s">
        <v>52</v>
      </c>
      <c r="S37" s="49">
        <f t="shared" si="103"/>
        <v>1</v>
      </c>
      <c r="T37" s="12" t="s">
        <v>53</v>
      </c>
      <c r="U37" s="33">
        <f t="shared" si="104"/>
        <v>0</v>
      </c>
      <c r="V37" s="49" t="s">
        <v>54</v>
      </c>
      <c r="W37" s="12">
        <f t="shared" si="105"/>
        <v>1</v>
      </c>
      <c r="X37" s="33" t="s">
        <v>52</v>
      </c>
      <c r="Y37" s="49">
        <f t="shared" si="106"/>
        <v>3</v>
      </c>
      <c r="Z37" s="12" t="s">
        <v>53</v>
      </c>
      <c r="AA37" s="33">
        <f t="shared" si="107"/>
        <v>1</v>
      </c>
      <c r="AB37" s="49" t="s">
        <v>54</v>
      </c>
      <c r="AC37" s="12">
        <f t="shared" si="108"/>
        <v>0</v>
      </c>
      <c r="AD37" s="33" t="s">
        <v>52</v>
      </c>
      <c r="AE37" s="53">
        <f t="shared" si="109"/>
        <v>0</v>
      </c>
      <c r="AF37" s="12"/>
      <c r="AG37" s="43">
        <f t="shared" si="110"/>
        <v>2</v>
      </c>
      <c r="AH37" s="33" t="s">
        <v>52</v>
      </c>
      <c r="AI37" s="49">
        <f t="shared" si="111"/>
        <v>4</v>
      </c>
      <c r="AJ37" s="12" t="s">
        <v>53</v>
      </c>
      <c r="AK37" s="33">
        <f t="shared" si="112"/>
        <v>1</v>
      </c>
      <c r="AL37" s="49" t="s">
        <v>54</v>
      </c>
      <c r="AM37" s="12">
        <f t="shared" si="113"/>
        <v>1</v>
      </c>
      <c r="AN37" s="33" t="s">
        <v>52</v>
      </c>
      <c r="AO37" s="49">
        <f t="shared" si="114"/>
        <v>2</v>
      </c>
      <c r="AP37" s="12" t="s">
        <v>53</v>
      </c>
      <c r="AQ37" s="33">
        <f t="shared" si="115"/>
        <v>0</v>
      </c>
      <c r="AR37" s="49" t="s">
        <v>54</v>
      </c>
      <c r="AS37" s="12">
        <f t="shared" si="116"/>
        <v>0</v>
      </c>
      <c r="AT37" s="33" t="s">
        <v>52</v>
      </c>
      <c r="AU37" s="49">
        <f t="shared" si="117"/>
        <v>0</v>
      </c>
      <c r="AV37" s="12" t="s">
        <v>53</v>
      </c>
      <c r="AW37" s="33">
        <f t="shared" si="118"/>
        <v>0</v>
      </c>
      <c r="AX37" s="49" t="s">
        <v>54</v>
      </c>
      <c r="AY37" s="12">
        <f t="shared" si="119"/>
        <v>1</v>
      </c>
      <c r="AZ37" s="33" t="s">
        <v>52</v>
      </c>
      <c r="BA37" s="49">
        <f t="shared" si="120"/>
        <v>2</v>
      </c>
      <c r="BB37" s="12" t="s">
        <v>53</v>
      </c>
      <c r="BC37" s="33">
        <f t="shared" si="121"/>
        <v>1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0</v>
      </c>
      <c r="BJ37" s="12" t="str">
        <f t="shared" ref="BJ37:CI37" si="138">IFERROR(IF($B$16="W",BJ23,BJ22),"0")</f>
        <v>-</v>
      </c>
      <c r="BK37" s="49">
        <f t="shared" si="138"/>
        <v>2</v>
      </c>
      <c r="BL37" s="12" t="str">
        <f t="shared" si="138"/>
        <v>(</v>
      </c>
      <c r="BM37" s="33">
        <f t="shared" si="138"/>
        <v>0</v>
      </c>
      <c r="BN37" s="49" t="str">
        <f t="shared" si="138"/>
        <v>)</v>
      </c>
      <c r="BO37" s="12">
        <f t="shared" si="138"/>
        <v>0</v>
      </c>
      <c r="BP37" s="12" t="str">
        <f t="shared" si="138"/>
        <v>-</v>
      </c>
      <c r="BQ37" s="49">
        <f t="shared" si="138"/>
        <v>0</v>
      </c>
      <c r="BR37" s="12" t="str">
        <f t="shared" si="138"/>
        <v>(</v>
      </c>
      <c r="BS37" s="33">
        <f t="shared" si="138"/>
        <v>0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1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0</v>
      </c>
      <c r="CB37" s="12" t="str">
        <f t="shared" si="138"/>
        <v>-</v>
      </c>
      <c r="CC37" s="49">
        <f t="shared" si="138"/>
        <v>1</v>
      </c>
      <c r="CD37" s="12" t="str">
        <f t="shared" si="138"/>
        <v>(</v>
      </c>
      <c r="CE37" s="33">
        <f t="shared" si="138"/>
        <v>0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0</v>
      </c>
      <c r="CK37" s="33">
        <f t="shared" ref="CK37:CV37" si="139">IFERROR(IF($B$16="W",CK23,CK22),"0")</f>
        <v>3</v>
      </c>
      <c r="CL37" s="33">
        <f t="shared" si="139"/>
        <v>0</v>
      </c>
      <c r="CM37" s="33">
        <f t="shared" si="139"/>
        <v>0</v>
      </c>
      <c r="CN37" s="33">
        <f t="shared" si="139"/>
        <v>3</v>
      </c>
      <c r="CO37" s="33">
        <f t="shared" si="139"/>
        <v>1</v>
      </c>
      <c r="CP37" s="33">
        <f t="shared" si="139"/>
        <v>2</v>
      </c>
      <c r="CQ37" s="33">
        <f t="shared" si="139"/>
        <v>0</v>
      </c>
      <c r="CR37" s="33">
        <f t="shared" si="139"/>
        <v>0</v>
      </c>
      <c r="CS37" s="33">
        <f t="shared" si="139"/>
        <v>1</v>
      </c>
      <c r="CT37" s="33">
        <f t="shared" si="139"/>
        <v>2</v>
      </c>
      <c r="CU37" s="33">
        <f t="shared" si="139"/>
        <v>0</v>
      </c>
      <c r="CV37" s="33">
        <f t="shared" si="139"/>
        <v>5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6</v>
      </c>
      <c r="EW37" s="228" t="s">
        <v>112</v>
      </c>
      <c r="EX37" s="6">
        <f t="shared" si="94"/>
        <v>0</v>
      </c>
      <c r="EY37" s="6">
        <f t="shared" si="95"/>
        <v>0</v>
      </c>
      <c r="EZ37" s="6" t="str">
        <f>IFERROR(IF(B16="W",$EZ$23,$EZ$22),"0")</f>
        <v>0</v>
      </c>
    </row>
    <row r="38" spans="3:156" x14ac:dyDescent="0.2">
      <c r="C38" s="229" t="s">
        <v>81</v>
      </c>
      <c r="D38" s="28">
        <f>IFERROR(IF(B17="W",D23,D22),"0")</f>
        <v>12.350000000000001</v>
      </c>
      <c r="E38" s="86">
        <f t="shared" si="96"/>
        <v>2</v>
      </c>
      <c r="F38" s="33" t="s">
        <v>52</v>
      </c>
      <c r="G38" s="49">
        <f t="shared" si="97"/>
        <v>6</v>
      </c>
      <c r="H38" s="12" t="s">
        <v>53</v>
      </c>
      <c r="I38" s="33">
        <f t="shared" si="98"/>
        <v>1</v>
      </c>
      <c r="J38" s="49" t="s">
        <v>54</v>
      </c>
      <c r="K38" s="12">
        <f t="shared" si="99"/>
        <v>1</v>
      </c>
      <c r="L38" s="33" t="s">
        <v>52</v>
      </c>
      <c r="M38" s="49">
        <f t="shared" si="100"/>
        <v>2</v>
      </c>
      <c r="N38" s="12" t="s">
        <v>53</v>
      </c>
      <c r="O38" s="33">
        <f t="shared" si="101"/>
        <v>0</v>
      </c>
      <c r="P38" s="49" t="s">
        <v>54</v>
      </c>
      <c r="Q38" s="12">
        <f t="shared" si="102"/>
        <v>0</v>
      </c>
      <c r="R38" s="33" t="s">
        <v>52</v>
      </c>
      <c r="S38" s="49">
        <f t="shared" si="103"/>
        <v>1</v>
      </c>
      <c r="T38" s="12" t="s">
        <v>53</v>
      </c>
      <c r="U38" s="33">
        <f t="shared" si="104"/>
        <v>0</v>
      </c>
      <c r="V38" s="49" t="s">
        <v>54</v>
      </c>
      <c r="W38" s="12">
        <f t="shared" si="105"/>
        <v>1</v>
      </c>
      <c r="X38" s="33" t="s">
        <v>52</v>
      </c>
      <c r="Y38" s="49">
        <f t="shared" si="106"/>
        <v>3</v>
      </c>
      <c r="Z38" s="12" t="s">
        <v>53</v>
      </c>
      <c r="AA38" s="33">
        <f t="shared" si="107"/>
        <v>1</v>
      </c>
      <c r="AB38" s="49" t="s">
        <v>54</v>
      </c>
      <c r="AC38" s="12">
        <f t="shared" si="108"/>
        <v>0</v>
      </c>
      <c r="AD38" s="33" t="s">
        <v>52</v>
      </c>
      <c r="AE38" s="53">
        <f t="shared" si="109"/>
        <v>0</v>
      </c>
      <c r="AF38" s="12"/>
      <c r="AG38" s="43">
        <f t="shared" si="110"/>
        <v>2</v>
      </c>
      <c r="AH38" s="33" t="s">
        <v>52</v>
      </c>
      <c r="AI38" s="49">
        <f t="shared" si="111"/>
        <v>4</v>
      </c>
      <c r="AJ38" s="12" t="s">
        <v>53</v>
      </c>
      <c r="AK38" s="33">
        <f t="shared" si="112"/>
        <v>1</v>
      </c>
      <c r="AL38" s="49" t="s">
        <v>54</v>
      </c>
      <c r="AM38" s="12">
        <f t="shared" si="113"/>
        <v>1</v>
      </c>
      <c r="AN38" s="33" t="s">
        <v>52</v>
      </c>
      <c r="AO38" s="49">
        <f t="shared" si="114"/>
        <v>2</v>
      </c>
      <c r="AP38" s="12" t="s">
        <v>53</v>
      </c>
      <c r="AQ38" s="33">
        <f t="shared" si="115"/>
        <v>0</v>
      </c>
      <c r="AR38" s="49" t="s">
        <v>54</v>
      </c>
      <c r="AS38" s="12">
        <f t="shared" si="116"/>
        <v>0</v>
      </c>
      <c r="AT38" s="33" t="s">
        <v>52</v>
      </c>
      <c r="AU38" s="49">
        <f t="shared" si="117"/>
        <v>0</v>
      </c>
      <c r="AV38" s="12" t="s">
        <v>53</v>
      </c>
      <c r="AW38" s="33">
        <f t="shared" si="118"/>
        <v>0</v>
      </c>
      <c r="AX38" s="49" t="s">
        <v>54</v>
      </c>
      <c r="AY38" s="12">
        <f t="shared" si="119"/>
        <v>1</v>
      </c>
      <c r="AZ38" s="33" t="s">
        <v>52</v>
      </c>
      <c r="BA38" s="49">
        <f t="shared" si="120"/>
        <v>2</v>
      </c>
      <c r="BB38" s="12" t="s">
        <v>53</v>
      </c>
      <c r="BC38" s="33">
        <f t="shared" si="121"/>
        <v>1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0</v>
      </c>
      <c r="BJ38" s="12" t="str">
        <f t="shared" ref="BJ38:CI38" si="140">IFERROR(IF($B$17="W",BJ23,BJ22),"0")</f>
        <v>-</v>
      </c>
      <c r="BK38" s="49">
        <f t="shared" si="140"/>
        <v>2</v>
      </c>
      <c r="BL38" s="12" t="str">
        <f t="shared" si="140"/>
        <v>(</v>
      </c>
      <c r="BM38" s="33">
        <f t="shared" si="140"/>
        <v>0</v>
      </c>
      <c r="BN38" s="49" t="str">
        <f t="shared" si="140"/>
        <v>)</v>
      </c>
      <c r="BO38" s="12">
        <f t="shared" si="140"/>
        <v>0</v>
      </c>
      <c r="BP38" s="12" t="str">
        <f t="shared" si="140"/>
        <v>-</v>
      </c>
      <c r="BQ38" s="49">
        <f t="shared" si="140"/>
        <v>0</v>
      </c>
      <c r="BR38" s="12" t="str">
        <f t="shared" si="140"/>
        <v>(</v>
      </c>
      <c r="BS38" s="33">
        <f t="shared" si="140"/>
        <v>0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1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0</v>
      </c>
      <c r="CB38" s="12" t="str">
        <f t="shared" si="140"/>
        <v>-</v>
      </c>
      <c r="CC38" s="49">
        <f t="shared" si="140"/>
        <v>1</v>
      </c>
      <c r="CD38" s="12" t="str">
        <f t="shared" si="140"/>
        <v>(</v>
      </c>
      <c r="CE38" s="33">
        <f t="shared" si="140"/>
        <v>0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0</v>
      </c>
      <c r="CK38" s="33">
        <f t="shared" ref="CK38:CV38" si="141">IFERROR(IF($B$17="W",CK23,CK22),"0")</f>
        <v>3</v>
      </c>
      <c r="CL38" s="33">
        <f t="shared" si="141"/>
        <v>0</v>
      </c>
      <c r="CM38" s="33">
        <f t="shared" si="141"/>
        <v>0</v>
      </c>
      <c r="CN38" s="33">
        <f t="shared" si="141"/>
        <v>3</v>
      </c>
      <c r="CO38" s="33">
        <f t="shared" si="141"/>
        <v>1</v>
      </c>
      <c r="CP38" s="33">
        <f t="shared" si="141"/>
        <v>2</v>
      </c>
      <c r="CQ38" s="33">
        <f t="shared" si="141"/>
        <v>0</v>
      </c>
      <c r="CR38" s="33">
        <f t="shared" si="141"/>
        <v>0</v>
      </c>
      <c r="CS38" s="33">
        <f t="shared" si="141"/>
        <v>1</v>
      </c>
      <c r="CT38" s="33">
        <f t="shared" si="141"/>
        <v>2</v>
      </c>
      <c r="CU38" s="33">
        <f t="shared" si="141"/>
        <v>0</v>
      </c>
      <c r="CV38" s="33">
        <f t="shared" si="141"/>
        <v>5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6</v>
      </c>
      <c r="EW38" s="229" t="s">
        <v>81</v>
      </c>
      <c r="EX38" s="6">
        <f t="shared" si="94"/>
        <v>0</v>
      </c>
      <c r="EY38" s="6">
        <f t="shared" si="95"/>
        <v>0</v>
      </c>
      <c r="EZ38" s="6" t="str">
        <f t="shared" si="125"/>
        <v>0</v>
      </c>
    </row>
    <row r="39" spans="3:156" x14ac:dyDescent="0.2">
      <c r="C39" s="229" t="s">
        <v>225</v>
      </c>
      <c r="D39" s="28">
        <f>IFERROR(IF(B18="W",D23,D22),"0")</f>
        <v>12.350000000000001</v>
      </c>
      <c r="E39" s="86">
        <f t="shared" si="96"/>
        <v>3</v>
      </c>
      <c r="F39" s="33" t="s">
        <v>52</v>
      </c>
      <c r="G39" s="49">
        <f t="shared" si="97"/>
        <v>7</v>
      </c>
      <c r="H39" s="12" t="s">
        <v>53</v>
      </c>
      <c r="I39" s="33">
        <f t="shared" si="98"/>
        <v>2</v>
      </c>
      <c r="J39" s="49" t="s">
        <v>54</v>
      </c>
      <c r="K39" s="12">
        <f t="shared" si="99"/>
        <v>1</v>
      </c>
      <c r="L39" s="33" t="s">
        <v>52</v>
      </c>
      <c r="M39" s="49">
        <f t="shared" si="100"/>
        <v>1</v>
      </c>
      <c r="N39" s="12" t="s">
        <v>53</v>
      </c>
      <c r="O39" s="33">
        <f t="shared" si="101"/>
        <v>0</v>
      </c>
      <c r="P39" s="49" t="s">
        <v>54</v>
      </c>
      <c r="Q39" s="12">
        <f t="shared" si="102"/>
        <v>0</v>
      </c>
      <c r="R39" s="33" t="s">
        <v>52</v>
      </c>
      <c r="S39" s="49">
        <f t="shared" si="103"/>
        <v>0</v>
      </c>
      <c r="T39" s="12" t="s">
        <v>53</v>
      </c>
      <c r="U39" s="33">
        <f t="shared" si="104"/>
        <v>0</v>
      </c>
      <c r="V39" s="49" t="s">
        <v>54</v>
      </c>
      <c r="W39" s="12">
        <f t="shared" si="105"/>
        <v>2</v>
      </c>
      <c r="X39" s="33" t="s">
        <v>52</v>
      </c>
      <c r="Y39" s="49">
        <f t="shared" si="106"/>
        <v>6</v>
      </c>
      <c r="Z39" s="12" t="s">
        <v>53</v>
      </c>
      <c r="AA39" s="33">
        <f t="shared" si="107"/>
        <v>2</v>
      </c>
      <c r="AB39" s="49" t="s">
        <v>54</v>
      </c>
      <c r="AC39" s="12">
        <f t="shared" si="108"/>
        <v>0</v>
      </c>
      <c r="AD39" s="33" t="s">
        <v>52</v>
      </c>
      <c r="AE39" s="53">
        <f t="shared" si="109"/>
        <v>0</v>
      </c>
      <c r="AF39" s="12"/>
      <c r="AG39" s="43">
        <f t="shared" si="110"/>
        <v>2</v>
      </c>
      <c r="AH39" s="33" t="s">
        <v>52</v>
      </c>
      <c r="AI39" s="49">
        <f t="shared" si="111"/>
        <v>6</v>
      </c>
      <c r="AJ39" s="12" t="s">
        <v>53</v>
      </c>
      <c r="AK39" s="33">
        <f t="shared" si="112"/>
        <v>2</v>
      </c>
      <c r="AL39" s="49" t="s">
        <v>54</v>
      </c>
      <c r="AM39" s="12">
        <f t="shared" si="113"/>
        <v>0</v>
      </c>
      <c r="AN39" s="33" t="s">
        <v>52</v>
      </c>
      <c r="AO39" s="49">
        <f t="shared" si="114"/>
        <v>0</v>
      </c>
      <c r="AP39" s="12" t="s">
        <v>53</v>
      </c>
      <c r="AQ39" s="33">
        <f t="shared" si="115"/>
        <v>0</v>
      </c>
      <c r="AR39" s="49" t="s">
        <v>54</v>
      </c>
      <c r="AS39" s="12">
        <f t="shared" si="116"/>
        <v>0</v>
      </c>
      <c r="AT39" s="33" t="s">
        <v>52</v>
      </c>
      <c r="AU39" s="49">
        <f t="shared" si="117"/>
        <v>0</v>
      </c>
      <c r="AV39" s="12" t="s">
        <v>53</v>
      </c>
      <c r="AW39" s="33">
        <f t="shared" si="118"/>
        <v>0</v>
      </c>
      <c r="AX39" s="49" t="s">
        <v>54</v>
      </c>
      <c r="AY39" s="12">
        <f t="shared" si="119"/>
        <v>2</v>
      </c>
      <c r="AZ39" s="33" t="s">
        <v>52</v>
      </c>
      <c r="BA39" s="49">
        <f t="shared" si="120"/>
        <v>6</v>
      </c>
      <c r="BB39" s="12" t="s">
        <v>53</v>
      </c>
      <c r="BC39" s="33">
        <f t="shared" si="121"/>
        <v>2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1</v>
      </c>
      <c r="BJ39" s="12" t="str">
        <f t="shared" ref="BJ39:CI39" si="142">IFERROR(IF($B$18="W",BJ23,BJ22),"0")</f>
        <v>-</v>
      </c>
      <c r="BK39" s="49">
        <f t="shared" si="142"/>
        <v>1</v>
      </c>
      <c r="BL39" s="12" t="str">
        <f t="shared" si="142"/>
        <v>(</v>
      </c>
      <c r="BM39" s="33">
        <f t="shared" si="142"/>
        <v>0</v>
      </c>
      <c r="BN39" s="49" t="str">
        <f t="shared" si="142"/>
        <v>)</v>
      </c>
      <c r="BO39" s="12">
        <f t="shared" si="142"/>
        <v>1</v>
      </c>
      <c r="BP39" s="12" t="str">
        <f t="shared" si="142"/>
        <v>-</v>
      </c>
      <c r="BQ39" s="49">
        <f t="shared" si="142"/>
        <v>1</v>
      </c>
      <c r="BR39" s="12" t="str">
        <f t="shared" si="142"/>
        <v>(</v>
      </c>
      <c r="BS39" s="33">
        <f t="shared" si="142"/>
        <v>0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0</v>
      </c>
      <c r="CB39" s="12" t="str">
        <f t="shared" si="142"/>
        <v>-</v>
      </c>
      <c r="CC39" s="49">
        <f t="shared" si="142"/>
        <v>0</v>
      </c>
      <c r="CD39" s="12" t="str">
        <f t="shared" si="142"/>
        <v>(</v>
      </c>
      <c r="CE39" s="33">
        <f t="shared" si="142"/>
        <v>0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0</v>
      </c>
      <c r="CK39" s="33">
        <f t="shared" ref="CK39:CV39" si="143">IFERROR(IF($B$18="W",CK23,CK22),"0")</f>
        <v>5</v>
      </c>
      <c r="CL39" s="33">
        <f t="shared" si="143"/>
        <v>0</v>
      </c>
      <c r="CM39" s="33">
        <f t="shared" si="143"/>
        <v>0</v>
      </c>
      <c r="CN39" s="33">
        <f t="shared" si="143"/>
        <v>5</v>
      </c>
      <c r="CO39" s="33">
        <f t="shared" si="143"/>
        <v>2</v>
      </c>
      <c r="CP39" s="33">
        <f t="shared" si="143"/>
        <v>2</v>
      </c>
      <c r="CQ39" s="33">
        <f t="shared" si="143"/>
        <v>0</v>
      </c>
      <c r="CR39" s="33">
        <f t="shared" si="143"/>
        <v>0</v>
      </c>
      <c r="CS39" s="33">
        <f t="shared" si="143"/>
        <v>2</v>
      </c>
      <c r="CT39" s="33">
        <f t="shared" si="143"/>
        <v>2</v>
      </c>
      <c r="CU39" s="33">
        <f t="shared" si="143"/>
        <v>1</v>
      </c>
      <c r="CV39" s="33">
        <f t="shared" si="143"/>
        <v>8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6</v>
      </c>
      <c r="EW39" s="229" t="s">
        <v>225</v>
      </c>
      <c r="EX39" s="6">
        <f t="shared" si="94"/>
        <v>0</v>
      </c>
      <c r="EY39" s="6">
        <f t="shared" si="95"/>
        <v>0</v>
      </c>
      <c r="EZ39" s="6" t="str">
        <f t="shared" si="125"/>
        <v>0</v>
      </c>
    </row>
    <row r="40" spans="3:156" x14ac:dyDescent="0.2">
      <c r="C40" s="38" t="s">
        <v>42</v>
      </c>
      <c r="D40" s="28">
        <f t="shared" ref="D40:D54" si="144">IFERROR(IF(B4="W",D$22,D$23),"0")</f>
        <v>12.350000000000001</v>
      </c>
      <c r="E40" s="86">
        <f>IFERROR(IF(B4="W",$E$22,$E$23),"0")</f>
        <v>3</v>
      </c>
      <c r="F40" s="33" t="s">
        <v>52</v>
      </c>
      <c r="G40" s="49">
        <f>IFERROR(IF(B4="W",$G$22,$G$23),"0")</f>
        <v>7</v>
      </c>
      <c r="H40" s="12" t="s">
        <v>53</v>
      </c>
      <c r="I40" s="33">
        <f>IFERROR(IF(B4="W",I$22,I$23),"0")</f>
        <v>2</v>
      </c>
      <c r="J40" s="49" t="s">
        <v>54</v>
      </c>
      <c r="K40" s="12">
        <f>IFERROR(IF(B4="W",K$22,K$23),"0")</f>
        <v>1</v>
      </c>
      <c r="L40" s="33" t="s">
        <v>52</v>
      </c>
      <c r="M40" s="49">
        <f>IFERROR(IF(B4="W",M$22,M$23),"0")</f>
        <v>1</v>
      </c>
      <c r="N40" s="12" t="s">
        <v>53</v>
      </c>
      <c r="O40" s="33">
        <f>IFERROR(IF(B4="W",O$22,O$23),"0")</f>
        <v>0</v>
      </c>
      <c r="P40" s="49" t="s">
        <v>54</v>
      </c>
      <c r="Q40" s="12">
        <f>IFERROR(IF(B4="W",Q$22,Q$23),"0")</f>
        <v>0</v>
      </c>
      <c r="R40" s="33" t="s">
        <v>52</v>
      </c>
      <c r="S40" s="49">
        <f>IFERROR(IF(B4="W",S$22,S$23),"0")</f>
        <v>0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2</v>
      </c>
      <c r="X40" s="33" t="s">
        <v>52</v>
      </c>
      <c r="Y40" s="49">
        <f>IFERROR(IF(B4="W",Y$22,Y$23),"0")</f>
        <v>6</v>
      </c>
      <c r="Z40" s="12" t="s">
        <v>53</v>
      </c>
      <c r="AA40" s="33">
        <f>IFERROR(IF(B4="W",AA$22,AA$23),"0")</f>
        <v>2</v>
      </c>
      <c r="AB40" s="49" t="s">
        <v>54</v>
      </c>
      <c r="AC40" s="12">
        <f>IFERROR(IF(B4="W",AC$22,AC$23),"0")</f>
        <v>0</v>
      </c>
      <c r="AD40" s="33" t="s">
        <v>52</v>
      </c>
      <c r="AE40" s="53">
        <f>IFERROR(IF(B4="W",AE$22,AE$23),"0")</f>
        <v>0</v>
      </c>
      <c r="AF40" s="12"/>
      <c r="AG40" s="43">
        <f>IFERROR(IF(B4="W",AG$22,AG$23),"0")</f>
        <v>2</v>
      </c>
      <c r="AH40" s="33" t="s">
        <v>52</v>
      </c>
      <c r="AI40" s="49">
        <f>IFERROR(IF(B4="W",AI$22,AI$23),"0")</f>
        <v>6</v>
      </c>
      <c r="AJ40" s="12" t="s">
        <v>53</v>
      </c>
      <c r="AK40" s="33">
        <f>IFERROR(IF(B4="W",AK$22,AK$23),"0")</f>
        <v>2</v>
      </c>
      <c r="AL40" s="49" t="s">
        <v>54</v>
      </c>
      <c r="AM40" s="12">
        <f>IFERROR(IF(B4="W",AM$22,AM$23),"0")</f>
        <v>0</v>
      </c>
      <c r="AN40" s="33" t="s">
        <v>52</v>
      </c>
      <c r="AO40" s="49">
        <f>IFERROR(IF(B4="W",AO$22,AO$23),"0")</f>
        <v>0</v>
      </c>
      <c r="AP40" s="12" t="s">
        <v>53</v>
      </c>
      <c r="AQ40" s="33">
        <f>IFERROR(IF(B4="W",AQ$22,AQ$23),"0")</f>
        <v>0</v>
      </c>
      <c r="AR40" s="49" t="s">
        <v>54</v>
      </c>
      <c r="AS40" s="12">
        <f>IFERROR(IF(B4="W",AS$22,AS$23),"0")</f>
        <v>0</v>
      </c>
      <c r="AT40" s="33" t="s">
        <v>52</v>
      </c>
      <c r="AU40" s="49">
        <f>IFERROR(IF(B4="W",AU$22,AU$23),"0")</f>
        <v>0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2</v>
      </c>
      <c r="AZ40" s="33" t="s">
        <v>52</v>
      </c>
      <c r="BA40" s="49">
        <f>IFERROR(IF(B4="W",BA$22,BA$23),"0")</f>
        <v>6</v>
      </c>
      <c r="BB40" s="12" t="s">
        <v>53</v>
      </c>
      <c r="BC40" s="33">
        <f>IFERROR(IF(B4="W",BC$22,BC$23),"0")</f>
        <v>2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1</v>
      </c>
      <c r="BJ40" s="33" t="s">
        <v>52</v>
      </c>
      <c r="BK40" s="49">
        <f>IFERROR(IF($B$4="W",BK22,BK23),"0")</f>
        <v>1</v>
      </c>
      <c r="BL40" s="12" t="s">
        <v>53</v>
      </c>
      <c r="BM40" s="33">
        <f>IFERROR(IF($B$4="W",BM22,BM23),"0")</f>
        <v>0</v>
      </c>
      <c r="BN40" s="49" t="s">
        <v>54</v>
      </c>
      <c r="BO40" s="12">
        <f>IFERROR(IF($B$4="W",BO22,BO23),"0")</f>
        <v>1</v>
      </c>
      <c r="BP40" s="33" t="s">
        <v>52</v>
      </c>
      <c r="BQ40" s="49">
        <f>IFERROR(IF($B$4="W",BQ22,BQ23),"0")</f>
        <v>1</v>
      </c>
      <c r="BR40" s="12" t="s">
        <v>53</v>
      </c>
      <c r="BS40" s="33">
        <f>IFERROR(IF($B$4="W",BS22,BS23),"0")</f>
        <v>0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0</v>
      </c>
      <c r="CB40" s="33" t="s">
        <v>52</v>
      </c>
      <c r="CC40" s="49">
        <f>IFERROR(IF($B$4="W",CC22,CC23),"0")</f>
        <v>0</v>
      </c>
      <c r="CD40" s="12" t="s">
        <v>53</v>
      </c>
      <c r="CE40" s="33">
        <f>IFERROR(IF($B$4="W",CE22,CE23),"0")</f>
        <v>0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0</v>
      </c>
      <c r="CK40" s="33">
        <f t="shared" si="145"/>
        <v>5</v>
      </c>
      <c r="CL40" s="33">
        <f t="shared" si="145"/>
        <v>0</v>
      </c>
      <c r="CM40" s="33">
        <f t="shared" si="145"/>
        <v>0</v>
      </c>
      <c r="CN40" s="33">
        <f t="shared" si="145"/>
        <v>5</v>
      </c>
      <c r="CO40" s="33">
        <f t="shared" si="145"/>
        <v>2</v>
      </c>
      <c r="CP40" s="33">
        <f t="shared" si="145"/>
        <v>2</v>
      </c>
      <c r="CQ40" s="33">
        <f t="shared" si="145"/>
        <v>0</v>
      </c>
      <c r="CR40" s="33">
        <f t="shared" si="145"/>
        <v>0</v>
      </c>
      <c r="CS40" s="33">
        <f t="shared" si="145"/>
        <v>2</v>
      </c>
      <c r="CT40" s="33">
        <f t="shared" si="145"/>
        <v>2</v>
      </c>
      <c r="CU40" s="33">
        <f t="shared" si="145"/>
        <v>1</v>
      </c>
      <c r="CV40" s="58">
        <f t="shared" si="145"/>
        <v>8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6</v>
      </c>
      <c r="EW40" s="38" t="s">
        <v>42</v>
      </c>
      <c r="EX40" s="6">
        <f t="shared" ref="EX40:EX54" si="147">IFERROR(IF(B4="W",$EX$22,$EX$23),"0")</f>
        <v>0</v>
      </c>
      <c r="EY40" s="6">
        <f>IFERROR(IF(B4="W",$EY$22,$EY$23),"0")</f>
        <v>0</v>
      </c>
      <c r="EZ40" s="6" t="str">
        <f>IFERROR(IF(B4="W",$EZ$22,$EZ$23),"0")</f>
        <v>0</v>
      </c>
    </row>
    <row r="41" spans="3:156" x14ac:dyDescent="0.2">
      <c r="C41" s="38" t="s">
        <v>43</v>
      </c>
      <c r="D41" s="28">
        <f t="shared" si="144"/>
        <v>12.350000000000001</v>
      </c>
      <c r="E41" s="86">
        <f t="shared" ref="E41:E54" si="148">IFERROR(IF(B5="W",$E$22,$E$23),"0")</f>
        <v>3</v>
      </c>
      <c r="F41" s="33" t="s">
        <v>52</v>
      </c>
      <c r="G41" s="49">
        <f t="shared" ref="G41:G54" si="149">IFERROR(IF(B5="W",$G$22,$G$23),"0")</f>
        <v>7</v>
      </c>
      <c r="H41" s="12" t="s">
        <v>53</v>
      </c>
      <c r="I41" s="33">
        <f t="shared" ref="I41:I54" si="150">IFERROR(IF(B5="W",I$22,I$23),"0")</f>
        <v>2</v>
      </c>
      <c r="J41" s="49" t="s">
        <v>54</v>
      </c>
      <c r="K41" s="12">
        <f t="shared" ref="K41:K54" si="151">IFERROR(IF(B5="W",K$22,K$23),"0")</f>
        <v>1</v>
      </c>
      <c r="L41" s="33" t="s">
        <v>52</v>
      </c>
      <c r="M41" s="49">
        <f t="shared" ref="M41:M54" si="152">IFERROR(IF(B5="W",M$22,M$23),"0")</f>
        <v>1</v>
      </c>
      <c r="N41" s="12" t="s">
        <v>53</v>
      </c>
      <c r="O41" s="33">
        <f t="shared" ref="O41:O54" si="153">IFERROR(IF(B5="W",O$22,O$23),"0")</f>
        <v>0</v>
      </c>
      <c r="P41" s="49" t="s">
        <v>54</v>
      </c>
      <c r="Q41" s="12">
        <f t="shared" ref="Q41:Q54" si="154">IFERROR(IF(B5="W",Q$22,Q$23),"0")</f>
        <v>0</v>
      </c>
      <c r="R41" s="33" t="s">
        <v>52</v>
      </c>
      <c r="S41" s="49">
        <f t="shared" ref="S41:S54" si="155">IFERROR(IF(B5="W",S$22,S$23),"0")</f>
        <v>0</v>
      </c>
      <c r="T41" s="12" t="s">
        <v>53</v>
      </c>
      <c r="U41" s="33">
        <f t="shared" ref="U41:U54" si="156">IFERROR(IF(B5="W",U$22,U$23),"0")</f>
        <v>0</v>
      </c>
      <c r="V41" s="49" t="s">
        <v>54</v>
      </c>
      <c r="W41" s="12">
        <f t="shared" ref="W41:W54" si="157">IFERROR(IF(B5="W",W$22,W$23),"0")</f>
        <v>2</v>
      </c>
      <c r="X41" s="33" t="s">
        <v>52</v>
      </c>
      <c r="Y41" s="49">
        <f t="shared" ref="Y41:Y54" si="158">IFERROR(IF(B5="W",Y$22,Y$23),"0")</f>
        <v>6</v>
      </c>
      <c r="Z41" s="12" t="s">
        <v>53</v>
      </c>
      <c r="AA41" s="33">
        <f t="shared" ref="AA41:AA54" si="159">IFERROR(IF(B5="W",AA$22,AA$23),"0")</f>
        <v>2</v>
      </c>
      <c r="AB41" s="49" t="s">
        <v>54</v>
      </c>
      <c r="AC41" s="12">
        <f t="shared" ref="AC41:AC54" si="160">IFERROR(IF(B5="W",AC$22,AC$23),"0")</f>
        <v>0</v>
      </c>
      <c r="AD41" s="33" t="s">
        <v>52</v>
      </c>
      <c r="AE41" s="53">
        <f t="shared" ref="AE41:AE54" si="161">IFERROR(IF(B5="W",AE$22,AE$23),"0")</f>
        <v>0</v>
      </c>
      <c r="AF41" s="12"/>
      <c r="AG41" s="43">
        <f t="shared" ref="AG41:AG54" si="162">IFERROR(IF(B5="W",AG$22,AG$23),"0")</f>
        <v>2</v>
      </c>
      <c r="AH41" s="33" t="s">
        <v>52</v>
      </c>
      <c r="AI41" s="49">
        <f t="shared" ref="AI41:AI54" si="163">IFERROR(IF(B5="W",AI$22,AI$23),"0")</f>
        <v>6</v>
      </c>
      <c r="AJ41" s="12" t="s">
        <v>53</v>
      </c>
      <c r="AK41" s="33">
        <f t="shared" ref="AK41:AK54" si="164">IFERROR(IF(B5="W",AK$22,AK$23),"0")</f>
        <v>2</v>
      </c>
      <c r="AL41" s="49" t="s">
        <v>54</v>
      </c>
      <c r="AM41" s="12">
        <f t="shared" ref="AM41:AM54" si="165">IFERROR(IF(B5="W",AM$22,AM$23),"0")</f>
        <v>0</v>
      </c>
      <c r="AN41" s="33" t="s">
        <v>52</v>
      </c>
      <c r="AO41" s="49">
        <f t="shared" ref="AO41:AO54" si="166">IFERROR(IF(B5="W",AO$22,AO$23),"0")</f>
        <v>0</v>
      </c>
      <c r="AP41" s="12" t="s">
        <v>53</v>
      </c>
      <c r="AQ41" s="33">
        <f t="shared" ref="AQ41:AQ54" si="167">IFERROR(IF(B5="W",AQ$22,AQ$23),"0")</f>
        <v>0</v>
      </c>
      <c r="AR41" s="49" t="s">
        <v>54</v>
      </c>
      <c r="AS41" s="12">
        <f t="shared" ref="AS41:AS54" si="168">IFERROR(IF(B5="W",AS$22,AS$23),"0")</f>
        <v>0</v>
      </c>
      <c r="AT41" s="33" t="s">
        <v>52</v>
      </c>
      <c r="AU41" s="49">
        <f t="shared" ref="AU41:AU54" si="169">IFERROR(IF(B5="W",AU$22,AU$23),"0")</f>
        <v>0</v>
      </c>
      <c r="AV41" s="12" t="s">
        <v>53</v>
      </c>
      <c r="AW41" s="33">
        <f t="shared" ref="AW41:AW54" si="170">IFERROR(IF(B5="W",AW$22,AW$23),"0")</f>
        <v>0</v>
      </c>
      <c r="AX41" s="49" t="s">
        <v>54</v>
      </c>
      <c r="AY41" s="12">
        <f t="shared" ref="AY41:AY54" si="171">IFERROR(IF(B5="W",AY$22,AY$23),"0")</f>
        <v>2</v>
      </c>
      <c r="AZ41" s="33" t="s">
        <v>52</v>
      </c>
      <c r="BA41" s="49">
        <f t="shared" ref="BA41:BA54" si="172">IFERROR(IF(B5="W",BA$22,BA$23),"0")</f>
        <v>6</v>
      </c>
      <c r="BB41" s="12" t="s">
        <v>53</v>
      </c>
      <c r="BC41" s="33">
        <f t="shared" ref="BC41:BC54" si="173">IFERROR(IF(B5="W",BC$22,BC$23),"0")</f>
        <v>2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1</v>
      </c>
      <c r="BJ41" s="33" t="s">
        <v>52</v>
      </c>
      <c r="BK41" s="49">
        <f>IFERROR(IF($B$5="W",BK22,BK23),"0")</f>
        <v>1</v>
      </c>
      <c r="BL41" s="12" t="s">
        <v>53</v>
      </c>
      <c r="BM41" s="33">
        <f>IFERROR(IF($B$5="W",BM22,BM23),"0")</f>
        <v>0</v>
      </c>
      <c r="BN41" s="49" t="s">
        <v>54</v>
      </c>
      <c r="BO41" s="12">
        <f>IFERROR(IF($B$5="W",BO22,BO23),"0")</f>
        <v>1</v>
      </c>
      <c r="BP41" s="33" t="s">
        <v>52</v>
      </c>
      <c r="BQ41" s="49">
        <f>IFERROR(IF($B$5="W",BQ22,BQ23),"0")</f>
        <v>1</v>
      </c>
      <c r="BR41" s="12" t="s">
        <v>53</v>
      </c>
      <c r="BS41" s="33">
        <f>IFERROR(IF($B$5="W",BS22,BS23),"0")</f>
        <v>0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0</v>
      </c>
      <c r="CB41" s="33" t="s">
        <v>52</v>
      </c>
      <c r="CC41" s="49">
        <f>IFERROR(IF($B$5="W",CC22,CC23),"0")</f>
        <v>0</v>
      </c>
      <c r="CD41" s="12" t="s">
        <v>53</v>
      </c>
      <c r="CE41" s="33">
        <f>IFERROR(IF($B$5="W",CE22,CE23),"0")</f>
        <v>0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0</v>
      </c>
      <c r="CK41" s="33">
        <f t="shared" si="176"/>
        <v>5</v>
      </c>
      <c r="CL41" s="33">
        <f t="shared" si="176"/>
        <v>0</v>
      </c>
      <c r="CM41" s="33">
        <f t="shared" si="176"/>
        <v>0</v>
      </c>
      <c r="CN41" s="33">
        <f t="shared" si="176"/>
        <v>5</v>
      </c>
      <c r="CO41" s="33">
        <f t="shared" si="176"/>
        <v>2</v>
      </c>
      <c r="CP41" s="33">
        <f t="shared" si="176"/>
        <v>2</v>
      </c>
      <c r="CQ41" s="33">
        <f t="shared" si="176"/>
        <v>0</v>
      </c>
      <c r="CR41" s="33">
        <f t="shared" si="176"/>
        <v>0</v>
      </c>
      <c r="CS41" s="33">
        <f t="shared" si="176"/>
        <v>2</v>
      </c>
      <c r="CT41" s="33">
        <f t="shared" si="176"/>
        <v>2</v>
      </c>
      <c r="CU41" s="33">
        <f t="shared" si="176"/>
        <v>1</v>
      </c>
      <c r="CV41" s="58">
        <f t="shared" si="176"/>
        <v>8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6</v>
      </c>
      <c r="EW41" s="38" t="s">
        <v>43</v>
      </c>
      <c r="EX41" s="6">
        <f t="shared" si="147"/>
        <v>0</v>
      </c>
      <c r="EY41" s="6">
        <f t="shared" ref="EY41:EY54" si="177">IFERROR(IF(B5="W",$EY$22,$EY$23),"0")</f>
        <v>0</v>
      </c>
      <c r="EZ41" s="6" t="str">
        <f t="shared" ref="EZ41:EZ54" si="178">IFERROR(IF(B5="W",$EZ$22,$EZ$23),"0")</f>
        <v>0</v>
      </c>
    </row>
    <row r="42" spans="3:156" x14ac:dyDescent="0.2">
      <c r="C42" s="38" t="s">
        <v>44</v>
      </c>
      <c r="D42" s="28">
        <f t="shared" si="144"/>
        <v>12.350000000000001</v>
      </c>
      <c r="E42" s="86">
        <f t="shared" si="148"/>
        <v>2</v>
      </c>
      <c r="F42" s="33" t="s">
        <v>52</v>
      </c>
      <c r="G42" s="49">
        <f t="shared" si="149"/>
        <v>6</v>
      </c>
      <c r="H42" s="12" t="s">
        <v>53</v>
      </c>
      <c r="I42" s="33">
        <f t="shared" si="150"/>
        <v>1</v>
      </c>
      <c r="J42" s="49" t="s">
        <v>54</v>
      </c>
      <c r="K42" s="12">
        <f t="shared" si="151"/>
        <v>1</v>
      </c>
      <c r="L42" s="33" t="s">
        <v>52</v>
      </c>
      <c r="M42" s="49">
        <f t="shared" si="152"/>
        <v>2</v>
      </c>
      <c r="N42" s="12" t="s">
        <v>53</v>
      </c>
      <c r="O42" s="33">
        <f t="shared" si="153"/>
        <v>0</v>
      </c>
      <c r="P42" s="49" t="s">
        <v>54</v>
      </c>
      <c r="Q42" s="12">
        <f t="shared" si="154"/>
        <v>0</v>
      </c>
      <c r="R42" s="33" t="s">
        <v>52</v>
      </c>
      <c r="S42" s="49">
        <f t="shared" si="155"/>
        <v>1</v>
      </c>
      <c r="T42" s="12" t="s">
        <v>53</v>
      </c>
      <c r="U42" s="33">
        <f t="shared" si="156"/>
        <v>0</v>
      </c>
      <c r="V42" s="49" t="s">
        <v>54</v>
      </c>
      <c r="W42" s="12">
        <f t="shared" si="157"/>
        <v>1</v>
      </c>
      <c r="X42" s="33" t="s">
        <v>52</v>
      </c>
      <c r="Y42" s="49">
        <f t="shared" si="158"/>
        <v>3</v>
      </c>
      <c r="Z42" s="12" t="s">
        <v>53</v>
      </c>
      <c r="AA42" s="33">
        <f t="shared" si="159"/>
        <v>1</v>
      </c>
      <c r="AB42" s="49" t="s">
        <v>54</v>
      </c>
      <c r="AC42" s="12">
        <f t="shared" si="160"/>
        <v>0</v>
      </c>
      <c r="AD42" s="33" t="s">
        <v>52</v>
      </c>
      <c r="AE42" s="53">
        <f t="shared" si="161"/>
        <v>0</v>
      </c>
      <c r="AF42" s="12"/>
      <c r="AG42" s="43">
        <f t="shared" si="162"/>
        <v>2</v>
      </c>
      <c r="AH42" s="33" t="s">
        <v>52</v>
      </c>
      <c r="AI42" s="49">
        <f t="shared" si="163"/>
        <v>4</v>
      </c>
      <c r="AJ42" s="12" t="s">
        <v>53</v>
      </c>
      <c r="AK42" s="33">
        <f t="shared" si="164"/>
        <v>1</v>
      </c>
      <c r="AL42" s="49" t="s">
        <v>54</v>
      </c>
      <c r="AM42" s="12">
        <f t="shared" si="165"/>
        <v>1</v>
      </c>
      <c r="AN42" s="33" t="s">
        <v>52</v>
      </c>
      <c r="AO42" s="49">
        <f t="shared" si="166"/>
        <v>2</v>
      </c>
      <c r="AP42" s="12" t="s">
        <v>53</v>
      </c>
      <c r="AQ42" s="33">
        <f t="shared" si="167"/>
        <v>0</v>
      </c>
      <c r="AR42" s="49" t="s">
        <v>54</v>
      </c>
      <c r="AS42" s="12">
        <f t="shared" si="168"/>
        <v>0</v>
      </c>
      <c r="AT42" s="33" t="s">
        <v>52</v>
      </c>
      <c r="AU42" s="49">
        <f t="shared" si="169"/>
        <v>0</v>
      </c>
      <c r="AV42" s="12" t="s">
        <v>53</v>
      </c>
      <c r="AW42" s="33">
        <f t="shared" si="170"/>
        <v>0</v>
      </c>
      <c r="AX42" s="49" t="s">
        <v>54</v>
      </c>
      <c r="AY42" s="12">
        <f t="shared" si="171"/>
        <v>1</v>
      </c>
      <c r="AZ42" s="33" t="s">
        <v>52</v>
      </c>
      <c r="BA42" s="49">
        <f t="shared" si="172"/>
        <v>2</v>
      </c>
      <c r="BB42" s="12" t="s">
        <v>53</v>
      </c>
      <c r="BC42" s="33">
        <f t="shared" si="173"/>
        <v>1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0</v>
      </c>
      <c r="BJ42" s="33" t="s">
        <v>52</v>
      </c>
      <c r="BK42" s="49">
        <f>IFERROR(IF($B$6="W",BK22,BK23),"0")</f>
        <v>2</v>
      </c>
      <c r="BL42" s="12" t="s">
        <v>53</v>
      </c>
      <c r="BM42" s="33">
        <f>IFERROR(IF($B$6="W",BM22,BM23),"0")</f>
        <v>0</v>
      </c>
      <c r="BN42" s="49" t="s">
        <v>54</v>
      </c>
      <c r="BO42" s="12">
        <f>IFERROR(IF($B$6="W",BO22,BO23),"0")</f>
        <v>0</v>
      </c>
      <c r="BP42" s="33" t="s">
        <v>52</v>
      </c>
      <c r="BQ42" s="49">
        <f>IFERROR(IF($B$6="W",BQ22,BQ23),"0")</f>
        <v>0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1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0</v>
      </c>
      <c r="CB42" s="33" t="s">
        <v>52</v>
      </c>
      <c r="CC42" s="49">
        <f>IFERROR(IF($B$6="W",CC22,CC23),"0")</f>
        <v>1</v>
      </c>
      <c r="CD42" s="12" t="s">
        <v>53</v>
      </c>
      <c r="CE42" s="33">
        <f>IFERROR(IF($B$6="W",CE22,CE23),"0")</f>
        <v>0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0</v>
      </c>
      <c r="CK42" s="33">
        <f t="shared" si="179"/>
        <v>3</v>
      </c>
      <c r="CL42" s="33">
        <f t="shared" si="179"/>
        <v>0</v>
      </c>
      <c r="CM42" s="33">
        <f t="shared" si="179"/>
        <v>0</v>
      </c>
      <c r="CN42" s="33">
        <f t="shared" si="179"/>
        <v>3</v>
      </c>
      <c r="CO42" s="33">
        <f t="shared" si="179"/>
        <v>1</v>
      </c>
      <c r="CP42" s="33">
        <f t="shared" si="179"/>
        <v>2</v>
      </c>
      <c r="CQ42" s="33">
        <f t="shared" si="179"/>
        <v>0</v>
      </c>
      <c r="CR42" s="33">
        <f t="shared" si="179"/>
        <v>0</v>
      </c>
      <c r="CS42" s="33">
        <f t="shared" si="179"/>
        <v>1</v>
      </c>
      <c r="CT42" s="33">
        <f t="shared" si="179"/>
        <v>2</v>
      </c>
      <c r="CU42" s="33">
        <f t="shared" si="179"/>
        <v>0</v>
      </c>
      <c r="CV42" s="58">
        <f t="shared" si="179"/>
        <v>5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6</v>
      </c>
      <c r="EW42" s="38" t="s">
        <v>44</v>
      </c>
      <c r="EX42" s="6">
        <f t="shared" si="147"/>
        <v>0</v>
      </c>
      <c r="EY42" s="6">
        <f t="shared" si="177"/>
        <v>0</v>
      </c>
      <c r="EZ42" s="6" t="str">
        <f t="shared" si="178"/>
        <v>0</v>
      </c>
    </row>
    <row r="43" spans="3:156" x14ac:dyDescent="0.2">
      <c r="C43" s="38" t="s">
        <v>45</v>
      </c>
      <c r="D43" s="28">
        <f t="shared" si="144"/>
        <v>12.350000000000001</v>
      </c>
      <c r="E43" s="86">
        <f t="shared" si="148"/>
        <v>3</v>
      </c>
      <c r="F43" s="33" t="s">
        <v>52</v>
      </c>
      <c r="G43" s="49">
        <f t="shared" si="149"/>
        <v>7</v>
      </c>
      <c r="H43" s="12" t="s">
        <v>53</v>
      </c>
      <c r="I43" s="33">
        <f t="shared" si="150"/>
        <v>2</v>
      </c>
      <c r="J43" s="49" t="s">
        <v>54</v>
      </c>
      <c r="K43" s="12">
        <f t="shared" si="151"/>
        <v>1</v>
      </c>
      <c r="L43" s="33" t="s">
        <v>52</v>
      </c>
      <c r="M43" s="49">
        <f t="shared" si="152"/>
        <v>1</v>
      </c>
      <c r="N43" s="12" t="s">
        <v>53</v>
      </c>
      <c r="O43" s="33">
        <f t="shared" si="153"/>
        <v>0</v>
      </c>
      <c r="P43" s="49" t="s">
        <v>54</v>
      </c>
      <c r="Q43" s="12">
        <f t="shared" si="154"/>
        <v>0</v>
      </c>
      <c r="R43" s="33" t="s">
        <v>52</v>
      </c>
      <c r="S43" s="49">
        <f t="shared" si="155"/>
        <v>0</v>
      </c>
      <c r="T43" s="12" t="s">
        <v>53</v>
      </c>
      <c r="U43" s="33">
        <f t="shared" si="156"/>
        <v>0</v>
      </c>
      <c r="V43" s="49" t="s">
        <v>54</v>
      </c>
      <c r="W43" s="12">
        <f t="shared" si="157"/>
        <v>2</v>
      </c>
      <c r="X43" s="33" t="s">
        <v>52</v>
      </c>
      <c r="Y43" s="49">
        <f t="shared" si="158"/>
        <v>6</v>
      </c>
      <c r="Z43" s="12" t="s">
        <v>53</v>
      </c>
      <c r="AA43" s="33">
        <f t="shared" si="159"/>
        <v>2</v>
      </c>
      <c r="AB43" s="49" t="s">
        <v>54</v>
      </c>
      <c r="AC43" s="12">
        <f t="shared" si="160"/>
        <v>0</v>
      </c>
      <c r="AD43" s="33" t="s">
        <v>52</v>
      </c>
      <c r="AE43" s="53">
        <f t="shared" si="161"/>
        <v>0</v>
      </c>
      <c r="AF43" s="12"/>
      <c r="AG43" s="43">
        <f t="shared" si="162"/>
        <v>2</v>
      </c>
      <c r="AH43" s="33" t="s">
        <v>52</v>
      </c>
      <c r="AI43" s="49">
        <f t="shared" si="163"/>
        <v>6</v>
      </c>
      <c r="AJ43" s="12" t="s">
        <v>53</v>
      </c>
      <c r="AK43" s="33">
        <f t="shared" si="164"/>
        <v>2</v>
      </c>
      <c r="AL43" s="49" t="s">
        <v>54</v>
      </c>
      <c r="AM43" s="12">
        <f t="shared" si="165"/>
        <v>0</v>
      </c>
      <c r="AN43" s="33" t="s">
        <v>52</v>
      </c>
      <c r="AO43" s="49">
        <f t="shared" si="166"/>
        <v>0</v>
      </c>
      <c r="AP43" s="12" t="s">
        <v>53</v>
      </c>
      <c r="AQ43" s="33">
        <f t="shared" si="167"/>
        <v>0</v>
      </c>
      <c r="AR43" s="49" t="s">
        <v>54</v>
      </c>
      <c r="AS43" s="12">
        <f t="shared" si="168"/>
        <v>0</v>
      </c>
      <c r="AT43" s="33" t="s">
        <v>52</v>
      </c>
      <c r="AU43" s="49">
        <f t="shared" si="169"/>
        <v>0</v>
      </c>
      <c r="AV43" s="12" t="s">
        <v>53</v>
      </c>
      <c r="AW43" s="33">
        <f t="shared" si="170"/>
        <v>0</v>
      </c>
      <c r="AX43" s="49" t="s">
        <v>54</v>
      </c>
      <c r="AY43" s="12">
        <f t="shared" si="171"/>
        <v>2</v>
      </c>
      <c r="AZ43" s="33" t="s">
        <v>52</v>
      </c>
      <c r="BA43" s="49">
        <f t="shared" si="172"/>
        <v>6</v>
      </c>
      <c r="BB43" s="12" t="s">
        <v>53</v>
      </c>
      <c r="BC43" s="33">
        <f t="shared" si="173"/>
        <v>2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1</v>
      </c>
      <c r="BJ43" s="33" t="s">
        <v>52</v>
      </c>
      <c r="BK43" s="49">
        <f>IFERROR(IF($B$7="W",BK22,BK23),"0")</f>
        <v>1</v>
      </c>
      <c r="BL43" s="12" t="s">
        <v>53</v>
      </c>
      <c r="BM43" s="33">
        <f>IFERROR(IF($B$7="W",BM22,BM23),"0")</f>
        <v>0</v>
      </c>
      <c r="BN43" s="49" t="s">
        <v>54</v>
      </c>
      <c r="BO43" s="12">
        <f>IFERROR(IF($B$7="W",BO22,BO23),"0")</f>
        <v>1</v>
      </c>
      <c r="BP43" s="33" t="s">
        <v>52</v>
      </c>
      <c r="BQ43" s="49">
        <f>IFERROR(IF($B$7="W",BQ22,BQ23),"0")</f>
        <v>1</v>
      </c>
      <c r="BR43" s="12" t="s">
        <v>53</v>
      </c>
      <c r="BS43" s="33">
        <f>IFERROR(IF($B$7="W",BS22,BS23),"0")</f>
        <v>0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0</v>
      </c>
      <c r="CB43" s="33" t="s">
        <v>52</v>
      </c>
      <c r="CC43" s="49">
        <f>IFERROR(IF($B$7="W",CC22,CC23),"0")</f>
        <v>0</v>
      </c>
      <c r="CD43" s="12" t="s">
        <v>53</v>
      </c>
      <c r="CE43" s="33">
        <f>IFERROR(IF($B$7="W",CE22,CE23),"0")</f>
        <v>0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0</v>
      </c>
      <c r="CK43" s="33">
        <f t="shared" si="180"/>
        <v>5</v>
      </c>
      <c r="CL43" s="33">
        <f t="shared" si="180"/>
        <v>0</v>
      </c>
      <c r="CM43" s="33">
        <f t="shared" si="180"/>
        <v>0</v>
      </c>
      <c r="CN43" s="33">
        <f t="shared" si="180"/>
        <v>5</v>
      </c>
      <c r="CO43" s="33">
        <f t="shared" si="180"/>
        <v>2</v>
      </c>
      <c r="CP43" s="33">
        <f t="shared" si="180"/>
        <v>2</v>
      </c>
      <c r="CQ43" s="33">
        <f t="shared" si="180"/>
        <v>0</v>
      </c>
      <c r="CR43" s="33">
        <f t="shared" si="180"/>
        <v>0</v>
      </c>
      <c r="CS43" s="33">
        <f t="shared" si="180"/>
        <v>2</v>
      </c>
      <c r="CT43" s="33">
        <f t="shared" si="180"/>
        <v>2</v>
      </c>
      <c r="CU43" s="33">
        <f t="shared" si="180"/>
        <v>1</v>
      </c>
      <c r="CV43" s="58">
        <f t="shared" si="180"/>
        <v>8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6</v>
      </c>
      <c r="EW43" s="38" t="s">
        <v>45</v>
      </c>
      <c r="EX43" s="6">
        <f t="shared" si="147"/>
        <v>0</v>
      </c>
      <c r="EY43" s="6">
        <f t="shared" si="177"/>
        <v>0</v>
      </c>
      <c r="EZ43" s="6" t="str">
        <f t="shared" si="178"/>
        <v>0</v>
      </c>
    </row>
    <row r="44" spans="3:156" x14ac:dyDescent="0.2">
      <c r="C44" s="38" t="s">
        <v>226</v>
      </c>
      <c r="D44" s="28">
        <f t="shared" si="144"/>
        <v>12.350000000000001</v>
      </c>
      <c r="E44" s="86">
        <f t="shared" si="148"/>
        <v>2</v>
      </c>
      <c r="F44" s="33" t="s">
        <v>52</v>
      </c>
      <c r="G44" s="49">
        <f t="shared" si="149"/>
        <v>6</v>
      </c>
      <c r="H44" s="12" t="s">
        <v>53</v>
      </c>
      <c r="I44" s="33">
        <f t="shared" si="150"/>
        <v>1</v>
      </c>
      <c r="J44" s="49" t="s">
        <v>54</v>
      </c>
      <c r="K44" s="12">
        <f t="shared" si="151"/>
        <v>1</v>
      </c>
      <c r="L44" s="33" t="s">
        <v>52</v>
      </c>
      <c r="M44" s="49">
        <f t="shared" si="152"/>
        <v>2</v>
      </c>
      <c r="N44" s="12" t="s">
        <v>53</v>
      </c>
      <c r="O44" s="33">
        <f t="shared" si="153"/>
        <v>0</v>
      </c>
      <c r="P44" s="49" t="s">
        <v>54</v>
      </c>
      <c r="Q44" s="12">
        <f t="shared" si="154"/>
        <v>0</v>
      </c>
      <c r="R44" s="33" t="s">
        <v>52</v>
      </c>
      <c r="S44" s="49">
        <f t="shared" si="155"/>
        <v>1</v>
      </c>
      <c r="T44" s="12" t="s">
        <v>53</v>
      </c>
      <c r="U44" s="33">
        <f t="shared" si="156"/>
        <v>0</v>
      </c>
      <c r="V44" s="49" t="s">
        <v>54</v>
      </c>
      <c r="W44" s="12">
        <f t="shared" si="157"/>
        <v>1</v>
      </c>
      <c r="X44" s="33" t="s">
        <v>52</v>
      </c>
      <c r="Y44" s="49">
        <f t="shared" si="158"/>
        <v>3</v>
      </c>
      <c r="Z44" s="12" t="s">
        <v>53</v>
      </c>
      <c r="AA44" s="33">
        <f t="shared" si="159"/>
        <v>1</v>
      </c>
      <c r="AB44" s="49" t="s">
        <v>54</v>
      </c>
      <c r="AC44" s="12">
        <f t="shared" si="160"/>
        <v>0</v>
      </c>
      <c r="AD44" s="33" t="s">
        <v>52</v>
      </c>
      <c r="AE44" s="53">
        <f t="shared" si="161"/>
        <v>0</v>
      </c>
      <c r="AF44" s="12"/>
      <c r="AG44" s="43">
        <f t="shared" si="162"/>
        <v>2</v>
      </c>
      <c r="AH44" s="33" t="s">
        <v>52</v>
      </c>
      <c r="AI44" s="49">
        <f t="shared" si="163"/>
        <v>4</v>
      </c>
      <c r="AJ44" s="12" t="s">
        <v>53</v>
      </c>
      <c r="AK44" s="33">
        <f t="shared" si="164"/>
        <v>1</v>
      </c>
      <c r="AL44" s="49" t="s">
        <v>54</v>
      </c>
      <c r="AM44" s="12">
        <f t="shared" si="165"/>
        <v>1</v>
      </c>
      <c r="AN44" s="33" t="s">
        <v>52</v>
      </c>
      <c r="AO44" s="49">
        <f t="shared" si="166"/>
        <v>2</v>
      </c>
      <c r="AP44" s="12" t="s">
        <v>53</v>
      </c>
      <c r="AQ44" s="33">
        <f t="shared" si="167"/>
        <v>0</v>
      </c>
      <c r="AR44" s="49" t="s">
        <v>54</v>
      </c>
      <c r="AS44" s="12">
        <f t="shared" si="168"/>
        <v>0</v>
      </c>
      <c r="AT44" s="33" t="s">
        <v>52</v>
      </c>
      <c r="AU44" s="49">
        <f t="shared" si="169"/>
        <v>0</v>
      </c>
      <c r="AV44" s="12" t="s">
        <v>53</v>
      </c>
      <c r="AW44" s="33">
        <f t="shared" si="170"/>
        <v>0</v>
      </c>
      <c r="AX44" s="49" t="s">
        <v>54</v>
      </c>
      <c r="AY44" s="12">
        <f t="shared" si="171"/>
        <v>1</v>
      </c>
      <c r="AZ44" s="33" t="s">
        <v>52</v>
      </c>
      <c r="BA44" s="49">
        <f t="shared" si="172"/>
        <v>2</v>
      </c>
      <c r="BB44" s="12" t="s">
        <v>53</v>
      </c>
      <c r="BC44" s="33">
        <f t="shared" si="173"/>
        <v>1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0</v>
      </c>
      <c r="BJ44" s="33" t="s">
        <v>52</v>
      </c>
      <c r="BK44" s="49">
        <f>IFERROR(IF($B$8="W",BK22,BK23),"0")</f>
        <v>2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0</v>
      </c>
      <c r="BP44" s="33" t="s">
        <v>52</v>
      </c>
      <c r="BQ44" s="49">
        <f>IFERROR(IF($B$8="W",BQ22,BQ23),"0")</f>
        <v>0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1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0</v>
      </c>
      <c r="CB44" s="33" t="s">
        <v>52</v>
      </c>
      <c r="CC44" s="49">
        <f>IFERROR(IF($B$8="W",CC22,CC23),"0")</f>
        <v>1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0</v>
      </c>
      <c r="CK44" s="33">
        <f t="shared" si="181"/>
        <v>3</v>
      </c>
      <c r="CL44" s="33">
        <f t="shared" si="181"/>
        <v>0</v>
      </c>
      <c r="CM44" s="33">
        <f t="shared" si="181"/>
        <v>0</v>
      </c>
      <c r="CN44" s="33">
        <f t="shared" si="181"/>
        <v>3</v>
      </c>
      <c r="CO44" s="33">
        <f t="shared" si="181"/>
        <v>1</v>
      </c>
      <c r="CP44" s="33">
        <f t="shared" si="181"/>
        <v>2</v>
      </c>
      <c r="CQ44" s="33">
        <f t="shared" si="181"/>
        <v>0</v>
      </c>
      <c r="CR44" s="33">
        <f t="shared" si="181"/>
        <v>0</v>
      </c>
      <c r="CS44" s="33">
        <f t="shared" si="181"/>
        <v>1</v>
      </c>
      <c r="CT44" s="33">
        <f t="shared" si="181"/>
        <v>2</v>
      </c>
      <c r="CU44" s="33">
        <f t="shared" si="181"/>
        <v>0</v>
      </c>
      <c r="CV44" s="58">
        <f t="shared" si="181"/>
        <v>5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6</v>
      </c>
      <c r="EW44" s="38" t="s">
        <v>226</v>
      </c>
      <c r="EX44" s="6">
        <f t="shared" si="147"/>
        <v>0</v>
      </c>
      <c r="EY44" s="6">
        <f t="shared" si="177"/>
        <v>0</v>
      </c>
      <c r="EZ44" s="6" t="str">
        <f t="shared" si="178"/>
        <v>0</v>
      </c>
    </row>
    <row r="45" spans="3:156" x14ac:dyDescent="0.2">
      <c r="C45" s="38" t="s">
        <v>46</v>
      </c>
      <c r="D45" s="28">
        <f t="shared" si="144"/>
        <v>12.350000000000001</v>
      </c>
      <c r="E45" s="86">
        <f t="shared" si="148"/>
        <v>2</v>
      </c>
      <c r="F45" s="33" t="s">
        <v>52</v>
      </c>
      <c r="G45" s="49">
        <f t="shared" si="149"/>
        <v>6</v>
      </c>
      <c r="H45" s="12" t="s">
        <v>53</v>
      </c>
      <c r="I45" s="33">
        <f t="shared" si="150"/>
        <v>1</v>
      </c>
      <c r="J45" s="49" t="s">
        <v>54</v>
      </c>
      <c r="K45" s="12">
        <f t="shared" si="151"/>
        <v>1</v>
      </c>
      <c r="L45" s="33" t="s">
        <v>52</v>
      </c>
      <c r="M45" s="49">
        <f t="shared" si="152"/>
        <v>2</v>
      </c>
      <c r="N45" s="12" t="s">
        <v>53</v>
      </c>
      <c r="O45" s="33">
        <f t="shared" si="153"/>
        <v>0</v>
      </c>
      <c r="P45" s="49" t="s">
        <v>54</v>
      </c>
      <c r="Q45" s="12">
        <f t="shared" si="154"/>
        <v>0</v>
      </c>
      <c r="R45" s="33" t="s">
        <v>52</v>
      </c>
      <c r="S45" s="49">
        <f t="shared" si="155"/>
        <v>1</v>
      </c>
      <c r="T45" s="12" t="s">
        <v>53</v>
      </c>
      <c r="U45" s="33">
        <f t="shared" si="156"/>
        <v>0</v>
      </c>
      <c r="V45" s="49" t="s">
        <v>54</v>
      </c>
      <c r="W45" s="12">
        <f t="shared" si="157"/>
        <v>1</v>
      </c>
      <c r="X45" s="33" t="s">
        <v>52</v>
      </c>
      <c r="Y45" s="49">
        <f t="shared" si="158"/>
        <v>3</v>
      </c>
      <c r="Z45" s="12" t="s">
        <v>53</v>
      </c>
      <c r="AA45" s="33">
        <f t="shared" si="159"/>
        <v>1</v>
      </c>
      <c r="AB45" s="49" t="s">
        <v>54</v>
      </c>
      <c r="AC45" s="12">
        <f t="shared" si="160"/>
        <v>0</v>
      </c>
      <c r="AD45" s="33" t="s">
        <v>52</v>
      </c>
      <c r="AE45" s="53">
        <f t="shared" si="161"/>
        <v>0</v>
      </c>
      <c r="AF45" s="12"/>
      <c r="AG45" s="43">
        <f t="shared" si="162"/>
        <v>2</v>
      </c>
      <c r="AH45" s="33" t="s">
        <v>52</v>
      </c>
      <c r="AI45" s="49">
        <f t="shared" si="163"/>
        <v>4</v>
      </c>
      <c r="AJ45" s="12" t="s">
        <v>53</v>
      </c>
      <c r="AK45" s="33">
        <f t="shared" si="164"/>
        <v>1</v>
      </c>
      <c r="AL45" s="49" t="s">
        <v>54</v>
      </c>
      <c r="AM45" s="12">
        <f t="shared" si="165"/>
        <v>1</v>
      </c>
      <c r="AN45" s="33" t="s">
        <v>52</v>
      </c>
      <c r="AO45" s="49">
        <f t="shared" si="166"/>
        <v>2</v>
      </c>
      <c r="AP45" s="12" t="s">
        <v>53</v>
      </c>
      <c r="AQ45" s="33">
        <f t="shared" si="167"/>
        <v>0</v>
      </c>
      <c r="AR45" s="49" t="s">
        <v>54</v>
      </c>
      <c r="AS45" s="12">
        <f t="shared" si="168"/>
        <v>0</v>
      </c>
      <c r="AT45" s="33" t="s">
        <v>52</v>
      </c>
      <c r="AU45" s="49">
        <f t="shared" si="169"/>
        <v>0</v>
      </c>
      <c r="AV45" s="12" t="s">
        <v>53</v>
      </c>
      <c r="AW45" s="33">
        <f t="shared" si="170"/>
        <v>0</v>
      </c>
      <c r="AX45" s="49" t="s">
        <v>54</v>
      </c>
      <c r="AY45" s="12">
        <f t="shared" si="171"/>
        <v>1</v>
      </c>
      <c r="AZ45" s="33" t="s">
        <v>52</v>
      </c>
      <c r="BA45" s="49">
        <f t="shared" si="172"/>
        <v>2</v>
      </c>
      <c r="BB45" s="12" t="s">
        <v>53</v>
      </c>
      <c r="BC45" s="33">
        <f t="shared" si="173"/>
        <v>1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0</v>
      </c>
      <c r="BJ45" s="33" t="s">
        <v>52</v>
      </c>
      <c r="BK45" s="49">
        <f>IFERROR(IF($B$9="W",BK22,BK23),"0")</f>
        <v>2</v>
      </c>
      <c r="BL45" s="12" t="s">
        <v>53</v>
      </c>
      <c r="BM45" s="33">
        <f>IFERROR(IF($B$9="W",BM22,BM23),"0")</f>
        <v>0</v>
      </c>
      <c r="BN45" s="49" t="s">
        <v>54</v>
      </c>
      <c r="BO45" s="12">
        <f>IFERROR(IF($B$9="W",BO22,BO23),"0")</f>
        <v>0</v>
      </c>
      <c r="BP45" s="33" t="s">
        <v>52</v>
      </c>
      <c r="BQ45" s="49">
        <f>IFERROR(IF($B$9="W",BQ22,BQ23),"0")</f>
        <v>0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1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0</v>
      </c>
      <c r="CB45" s="33" t="s">
        <v>52</v>
      </c>
      <c r="CC45" s="49">
        <f>IFERROR(IF($B$9="W",CC22,CC23),"0")</f>
        <v>1</v>
      </c>
      <c r="CD45" s="12" t="s">
        <v>53</v>
      </c>
      <c r="CE45" s="33">
        <f>IFERROR(IF($B$9="W",CE22,CE23),"0")</f>
        <v>0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0</v>
      </c>
      <c r="CK45" s="33">
        <f t="shared" si="182"/>
        <v>3</v>
      </c>
      <c r="CL45" s="33">
        <f t="shared" si="182"/>
        <v>0</v>
      </c>
      <c r="CM45" s="33">
        <f t="shared" si="182"/>
        <v>0</v>
      </c>
      <c r="CN45" s="33">
        <f t="shared" si="182"/>
        <v>3</v>
      </c>
      <c r="CO45" s="33">
        <f t="shared" si="182"/>
        <v>1</v>
      </c>
      <c r="CP45" s="33">
        <f t="shared" si="182"/>
        <v>2</v>
      </c>
      <c r="CQ45" s="33">
        <f t="shared" si="182"/>
        <v>0</v>
      </c>
      <c r="CR45" s="33">
        <f t="shared" si="182"/>
        <v>0</v>
      </c>
      <c r="CS45" s="33">
        <f t="shared" si="182"/>
        <v>1</v>
      </c>
      <c r="CT45" s="33">
        <f t="shared" si="182"/>
        <v>2</v>
      </c>
      <c r="CU45" s="33">
        <f t="shared" si="182"/>
        <v>0</v>
      </c>
      <c r="CV45" s="58">
        <f t="shared" si="182"/>
        <v>5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6</v>
      </c>
      <c r="EW45" s="38" t="s">
        <v>46</v>
      </c>
      <c r="EX45" s="6">
        <f t="shared" si="147"/>
        <v>0</v>
      </c>
      <c r="EY45" s="6">
        <f t="shared" si="177"/>
        <v>0</v>
      </c>
      <c r="EZ45" s="6" t="str">
        <f t="shared" si="178"/>
        <v>0</v>
      </c>
    </row>
    <row r="46" spans="3:156" x14ac:dyDescent="0.2">
      <c r="C46" s="38" t="s">
        <v>47</v>
      </c>
      <c r="D46" s="28">
        <f t="shared" si="144"/>
        <v>12.350000000000001</v>
      </c>
      <c r="E46" s="86">
        <f t="shared" si="148"/>
        <v>2</v>
      </c>
      <c r="F46" s="33" t="s">
        <v>52</v>
      </c>
      <c r="G46" s="49">
        <f t="shared" si="149"/>
        <v>6</v>
      </c>
      <c r="H46" s="12" t="s">
        <v>53</v>
      </c>
      <c r="I46" s="33">
        <f t="shared" si="150"/>
        <v>1</v>
      </c>
      <c r="J46" s="49" t="s">
        <v>54</v>
      </c>
      <c r="K46" s="12">
        <f t="shared" si="151"/>
        <v>1</v>
      </c>
      <c r="L46" s="33" t="s">
        <v>52</v>
      </c>
      <c r="M46" s="49">
        <f t="shared" si="152"/>
        <v>2</v>
      </c>
      <c r="N46" s="12" t="s">
        <v>53</v>
      </c>
      <c r="O46" s="33">
        <f t="shared" si="153"/>
        <v>0</v>
      </c>
      <c r="P46" s="49" t="s">
        <v>54</v>
      </c>
      <c r="Q46" s="12">
        <f t="shared" si="154"/>
        <v>0</v>
      </c>
      <c r="R46" s="33" t="s">
        <v>52</v>
      </c>
      <c r="S46" s="49">
        <f t="shared" si="155"/>
        <v>1</v>
      </c>
      <c r="T46" s="12" t="s">
        <v>53</v>
      </c>
      <c r="U46" s="33">
        <f t="shared" si="156"/>
        <v>0</v>
      </c>
      <c r="V46" s="49" t="s">
        <v>54</v>
      </c>
      <c r="W46" s="12">
        <f t="shared" si="157"/>
        <v>1</v>
      </c>
      <c r="X46" s="33" t="s">
        <v>52</v>
      </c>
      <c r="Y46" s="49">
        <f t="shared" si="158"/>
        <v>3</v>
      </c>
      <c r="Z46" s="12" t="s">
        <v>53</v>
      </c>
      <c r="AA46" s="33">
        <f t="shared" si="159"/>
        <v>1</v>
      </c>
      <c r="AB46" s="49" t="s">
        <v>54</v>
      </c>
      <c r="AC46" s="12">
        <f t="shared" si="160"/>
        <v>0</v>
      </c>
      <c r="AD46" s="33" t="s">
        <v>52</v>
      </c>
      <c r="AE46" s="53">
        <f t="shared" si="161"/>
        <v>0</v>
      </c>
      <c r="AF46" s="12"/>
      <c r="AG46" s="43">
        <f t="shared" si="162"/>
        <v>2</v>
      </c>
      <c r="AH46" s="33" t="s">
        <v>52</v>
      </c>
      <c r="AI46" s="49">
        <f t="shared" si="163"/>
        <v>4</v>
      </c>
      <c r="AJ46" s="12" t="s">
        <v>53</v>
      </c>
      <c r="AK46" s="33">
        <f t="shared" si="164"/>
        <v>1</v>
      </c>
      <c r="AL46" s="49" t="s">
        <v>54</v>
      </c>
      <c r="AM46" s="12">
        <f t="shared" si="165"/>
        <v>1</v>
      </c>
      <c r="AN46" s="33" t="s">
        <v>52</v>
      </c>
      <c r="AO46" s="49">
        <f t="shared" si="166"/>
        <v>2</v>
      </c>
      <c r="AP46" s="12" t="s">
        <v>53</v>
      </c>
      <c r="AQ46" s="33">
        <f t="shared" si="167"/>
        <v>0</v>
      </c>
      <c r="AR46" s="49" t="s">
        <v>54</v>
      </c>
      <c r="AS46" s="12">
        <f t="shared" si="168"/>
        <v>0</v>
      </c>
      <c r="AT46" s="33" t="s">
        <v>52</v>
      </c>
      <c r="AU46" s="49">
        <f t="shared" si="169"/>
        <v>0</v>
      </c>
      <c r="AV46" s="12" t="s">
        <v>53</v>
      </c>
      <c r="AW46" s="33">
        <f t="shared" si="170"/>
        <v>0</v>
      </c>
      <c r="AX46" s="49" t="s">
        <v>54</v>
      </c>
      <c r="AY46" s="12">
        <f t="shared" si="171"/>
        <v>1</v>
      </c>
      <c r="AZ46" s="33" t="s">
        <v>52</v>
      </c>
      <c r="BA46" s="49">
        <f t="shared" si="172"/>
        <v>2</v>
      </c>
      <c r="BB46" s="12" t="s">
        <v>53</v>
      </c>
      <c r="BC46" s="33">
        <f t="shared" si="173"/>
        <v>1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0</v>
      </c>
      <c r="BJ46" s="33" t="s">
        <v>52</v>
      </c>
      <c r="BK46" s="49">
        <f>IFERROR(IF($B$10="W",BK22,BK23),"0")</f>
        <v>2</v>
      </c>
      <c r="BL46" s="12" t="s">
        <v>53</v>
      </c>
      <c r="BM46" s="33">
        <f>IFERROR(IF($B$10="W",BM22,BM23),"0")</f>
        <v>0</v>
      </c>
      <c r="BN46" s="49" t="s">
        <v>54</v>
      </c>
      <c r="BO46" s="12">
        <f>IFERROR(IF($B$10="W",BO22,BO23),"0")</f>
        <v>0</v>
      </c>
      <c r="BP46" s="33" t="s">
        <v>52</v>
      </c>
      <c r="BQ46" s="49">
        <f>IFERROR(IF($B$10="W",BQ22,BQ23),"0")</f>
        <v>0</v>
      </c>
      <c r="BR46" s="12" t="s">
        <v>53</v>
      </c>
      <c r="BS46" s="33">
        <f>IFERROR(IF($B$10="W",BS22,BS23),"0")</f>
        <v>0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1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0</v>
      </c>
      <c r="CB46" s="33" t="s">
        <v>52</v>
      </c>
      <c r="CC46" s="49">
        <f>IFERROR(IF($B$10="W",CC22,CC23),"0")</f>
        <v>1</v>
      </c>
      <c r="CD46" s="12" t="s">
        <v>53</v>
      </c>
      <c r="CE46" s="33">
        <f>IFERROR(IF($B$10="W",CE22,CE23),"0")</f>
        <v>0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0</v>
      </c>
      <c r="CK46" s="33">
        <f t="shared" si="183"/>
        <v>3</v>
      </c>
      <c r="CL46" s="33">
        <f t="shared" si="183"/>
        <v>0</v>
      </c>
      <c r="CM46" s="33">
        <f t="shared" si="183"/>
        <v>0</v>
      </c>
      <c r="CN46" s="33">
        <f t="shared" si="183"/>
        <v>3</v>
      </c>
      <c r="CO46" s="33">
        <f t="shared" si="183"/>
        <v>1</v>
      </c>
      <c r="CP46" s="33">
        <f t="shared" si="183"/>
        <v>2</v>
      </c>
      <c r="CQ46" s="33">
        <f t="shared" si="183"/>
        <v>0</v>
      </c>
      <c r="CR46" s="33">
        <f t="shared" si="183"/>
        <v>0</v>
      </c>
      <c r="CS46" s="33">
        <f t="shared" si="183"/>
        <v>1</v>
      </c>
      <c r="CT46" s="33">
        <f t="shared" si="183"/>
        <v>2</v>
      </c>
      <c r="CU46" s="33">
        <f t="shared" si="183"/>
        <v>0</v>
      </c>
      <c r="CV46" s="58">
        <f t="shared" si="183"/>
        <v>5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6</v>
      </c>
      <c r="EW46" s="38" t="s">
        <v>47</v>
      </c>
      <c r="EX46" s="6">
        <f t="shared" si="147"/>
        <v>0</v>
      </c>
      <c r="EY46" s="6">
        <f t="shared" si="177"/>
        <v>0</v>
      </c>
      <c r="EZ46" s="6" t="str">
        <f t="shared" si="178"/>
        <v>0</v>
      </c>
    </row>
    <row r="47" spans="3:156" x14ac:dyDescent="0.2">
      <c r="C47" s="38" t="s">
        <v>48</v>
      </c>
      <c r="D47" s="28">
        <f t="shared" si="144"/>
        <v>12.350000000000001</v>
      </c>
      <c r="E47" s="86">
        <f t="shared" si="148"/>
        <v>3</v>
      </c>
      <c r="F47" s="33" t="s">
        <v>52</v>
      </c>
      <c r="G47" s="49">
        <f t="shared" si="149"/>
        <v>7</v>
      </c>
      <c r="H47" s="12" t="s">
        <v>53</v>
      </c>
      <c r="I47" s="33">
        <f t="shared" si="150"/>
        <v>2</v>
      </c>
      <c r="J47" s="49" t="s">
        <v>54</v>
      </c>
      <c r="K47" s="12">
        <f t="shared" si="151"/>
        <v>1</v>
      </c>
      <c r="L47" s="33" t="s">
        <v>52</v>
      </c>
      <c r="M47" s="49">
        <f t="shared" si="152"/>
        <v>1</v>
      </c>
      <c r="N47" s="12" t="s">
        <v>53</v>
      </c>
      <c r="O47" s="33">
        <f t="shared" si="153"/>
        <v>0</v>
      </c>
      <c r="P47" s="49" t="s">
        <v>54</v>
      </c>
      <c r="Q47" s="12">
        <f t="shared" si="154"/>
        <v>0</v>
      </c>
      <c r="R47" s="33" t="s">
        <v>52</v>
      </c>
      <c r="S47" s="49">
        <f t="shared" si="155"/>
        <v>0</v>
      </c>
      <c r="T47" s="12" t="s">
        <v>53</v>
      </c>
      <c r="U47" s="33">
        <f t="shared" si="156"/>
        <v>0</v>
      </c>
      <c r="V47" s="49" t="s">
        <v>54</v>
      </c>
      <c r="W47" s="12">
        <f t="shared" si="157"/>
        <v>2</v>
      </c>
      <c r="X47" s="33" t="s">
        <v>52</v>
      </c>
      <c r="Y47" s="49">
        <f t="shared" si="158"/>
        <v>6</v>
      </c>
      <c r="Z47" s="12" t="s">
        <v>53</v>
      </c>
      <c r="AA47" s="33">
        <f t="shared" si="159"/>
        <v>2</v>
      </c>
      <c r="AB47" s="49" t="s">
        <v>54</v>
      </c>
      <c r="AC47" s="12">
        <f t="shared" si="160"/>
        <v>0</v>
      </c>
      <c r="AD47" s="33" t="s">
        <v>52</v>
      </c>
      <c r="AE47" s="53">
        <f t="shared" si="161"/>
        <v>0</v>
      </c>
      <c r="AF47" s="12"/>
      <c r="AG47" s="43">
        <f t="shared" si="162"/>
        <v>2</v>
      </c>
      <c r="AH47" s="33" t="s">
        <v>52</v>
      </c>
      <c r="AI47" s="49">
        <f t="shared" si="163"/>
        <v>6</v>
      </c>
      <c r="AJ47" s="12" t="s">
        <v>53</v>
      </c>
      <c r="AK47" s="33">
        <f t="shared" si="164"/>
        <v>2</v>
      </c>
      <c r="AL47" s="49" t="s">
        <v>54</v>
      </c>
      <c r="AM47" s="12">
        <f t="shared" si="165"/>
        <v>0</v>
      </c>
      <c r="AN47" s="33" t="s">
        <v>52</v>
      </c>
      <c r="AO47" s="49">
        <f t="shared" si="166"/>
        <v>0</v>
      </c>
      <c r="AP47" s="12" t="s">
        <v>53</v>
      </c>
      <c r="AQ47" s="33">
        <f t="shared" si="167"/>
        <v>0</v>
      </c>
      <c r="AR47" s="49" t="s">
        <v>54</v>
      </c>
      <c r="AS47" s="12">
        <f t="shared" si="168"/>
        <v>0</v>
      </c>
      <c r="AT47" s="33" t="s">
        <v>52</v>
      </c>
      <c r="AU47" s="49">
        <f t="shared" si="169"/>
        <v>0</v>
      </c>
      <c r="AV47" s="12" t="s">
        <v>53</v>
      </c>
      <c r="AW47" s="33">
        <f t="shared" si="170"/>
        <v>0</v>
      </c>
      <c r="AX47" s="49" t="s">
        <v>54</v>
      </c>
      <c r="AY47" s="12">
        <f t="shared" si="171"/>
        <v>2</v>
      </c>
      <c r="AZ47" s="33" t="s">
        <v>52</v>
      </c>
      <c r="BA47" s="49">
        <f t="shared" si="172"/>
        <v>6</v>
      </c>
      <c r="BB47" s="12" t="s">
        <v>53</v>
      </c>
      <c r="BC47" s="33">
        <f t="shared" si="173"/>
        <v>2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1</v>
      </c>
      <c r="BJ47" s="33" t="s">
        <v>52</v>
      </c>
      <c r="BK47" s="49">
        <f>IFERROR(IF($B$11="W",BK22,BK23),"0")</f>
        <v>1</v>
      </c>
      <c r="BL47" s="12" t="s">
        <v>53</v>
      </c>
      <c r="BM47" s="33">
        <f>IFERROR(IF($B$11="W",BM22,BM23),"0")</f>
        <v>0</v>
      </c>
      <c r="BN47" s="49" t="s">
        <v>54</v>
      </c>
      <c r="BO47" s="12">
        <f>IFERROR(IF($B$11="W",BO22,BO23),"0")</f>
        <v>1</v>
      </c>
      <c r="BP47" s="33" t="s">
        <v>52</v>
      </c>
      <c r="BQ47" s="49">
        <f>IFERROR(IF($B$11="W",BQ22,BQ23),"0")</f>
        <v>1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0</v>
      </c>
      <c r="CB47" s="33" t="s">
        <v>52</v>
      </c>
      <c r="CC47" s="49">
        <f>IFERROR(IF($B$11="W",CC22,CC23),"0")</f>
        <v>0</v>
      </c>
      <c r="CD47" s="12" t="s">
        <v>53</v>
      </c>
      <c r="CE47" s="33">
        <f>IFERROR(IF($B$11="W",CE22,CE23),"0")</f>
        <v>0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0</v>
      </c>
      <c r="CK47" s="33">
        <f t="shared" si="184"/>
        <v>5</v>
      </c>
      <c r="CL47" s="33">
        <f t="shared" si="184"/>
        <v>0</v>
      </c>
      <c r="CM47" s="33">
        <f t="shared" si="184"/>
        <v>0</v>
      </c>
      <c r="CN47" s="33">
        <f t="shared" si="184"/>
        <v>5</v>
      </c>
      <c r="CO47" s="33">
        <f t="shared" si="184"/>
        <v>2</v>
      </c>
      <c r="CP47" s="33">
        <f t="shared" si="184"/>
        <v>2</v>
      </c>
      <c r="CQ47" s="33">
        <f t="shared" si="184"/>
        <v>0</v>
      </c>
      <c r="CR47" s="33">
        <f t="shared" si="184"/>
        <v>0</v>
      </c>
      <c r="CS47" s="33">
        <f t="shared" si="184"/>
        <v>2</v>
      </c>
      <c r="CT47" s="33">
        <f t="shared" si="184"/>
        <v>2</v>
      </c>
      <c r="CU47" s="33">
        <f t="shared" si="184"/>
        <v>1</v>
      </c>
      <c r="CV47" s="58">
        <f t="shared" si="184"/>
        <v>8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6</v>
      </c>
      <c r="EW47" s="38" t="s">
        <v>48</v>
      </c>
      <c r="EX47" s="6">
        <f t="shared" si="147"/>
        <v>0</v>
      </c>
      <c r="EY47" s="6">
        <f t="shared" si="177"/>
        <v>0</v>
      </c>
      <c r="EZ47" s="6" t="str">
        <f t="shared" si="178"/>
        <v>0</v>
      </c>
    </row>
    <row r="48" spans="3:156" x14ac:dyDescent="0.2">
      <c r="C48" s="38" t="s">
        <v>115</v>
      </c>
      <c r="D48" s="28">
        <f t="shared" si="144"/>
        <v>12.350000000000001</v>
      </c>
      <c r="E48" s="86">
        <f t="shared" si="148"/>
        <v>3</v>
      </c>
      <c r="F48" s="33" t="s">
        <v>52</v>
      </c>
      <c r="G48" s="49">
        <f t="shared" si="149"/>
        <v>7</v>
      </c>
      <c r="H48" s="12" t="s">
        <v>53</v>
      </c>
      <c r="I48" s="33">
        <f t="shared" si="150"/>
        <v>2</v>
      </c>
      <c r="J48" s="49" t="s">
        <v>54</v>
      </c>
      <c r="K48" s="12">
        <f t="shared" si="151"/>
        <v>1</v>
      </c>
      <c r="L48" s="33" t="s">
        <v>52</v>
      </c>
      <c r="M48" s="49">
        <f t="shared" si="152"/>
        <v>1</v>
      </c>
      <c r="N48" s="12" t="s">
        <v>53</v>
      </c>
      <c r="O48" s="33">
        <f t="shared" si="153"/>
        <v>0</v>
      </c>
      <c r="P48" s="49" t="s">
        <v>54</v>
      </c>
      <c r="Q48" s="12">
        <f t="shared" si="154"/>
        <v>0</v>
      </c>
      <c r="R48" s="33" t="s">
        <v>52</v>
      </c>
      <c r="S48" s="49">
        <f t="shared" si="155"/>
        <v>0</v>
      </c>
      <c r="T48" s="12" t="s">
        <v>53</v>
      </c>
      <c r="U48" s="33">
        <f t="shared" si="156"/>
        <v>0</v>
      </c>
      <c r="V48" s="49" t="s">
        <v>54</v>
      </c>
      <c r="W48" s="12">
        <f t="shared" si="157"/>
        <v>2</v>
      </c>
      <c r="X48" s="33" t="s">
        <v>52</v>
      </c>
      <c r="Y48" s="49">
        <f t="shared" si="158"/>
        <v>6</v>
      </c>
      <c r="Z48" s="12" t="s">
        <v>53</v>
      </c>
      <c r="AA48" s="33">
        <f t="shared" si="159"/>
        <v>2</v>
      </c>
      <c r="AB48" s="49" t="s">
        <v>54</v>
      </c>
      <c r="AC48" s="12">
        <f t="shared" si="160"/>
        <v>0</v>
      </c>
      <c r="AD48" s="33" t="s">
        <v>52</v>
      </c>
      <c r="AE48" s="53">
        <f t="shared" si="161"/>
        <v>0</v>
      </c>
      <c r="AF48" s="12"/>
      <c r="AG48" s="43">
        <f t="shared" si="162"/>
        <v>2</v>
      </c>
      <c r="AH48" s="33" t="s">
        <v>52</v>
      </c>
      <c r="AI48" s="49">
        <f t="shared" si="163"/>
        <v>6</v>
      </c>
      <c r="AJ48" s="12" t="s">
        <v>53</v>
      </c>
      <c r="AK48" s="33">
        <f t="shared" si="164"/>
        <v>2</v>
      </c>
      <c r="AL48" s="49" t="s">
        <v>54</v>
      </c>
      <c r="AM48" s="12">
        <f t="shared" si="165"/>
        <v>0</v>
      </c>
      <c r="AN48" s="33" t="s">
        <v>52</v>
      </c>
      <c r="AO48" s="49">
        <f t="shared" si="166"/>
        <v>0</v>
      </c>
      <c r="AP48" s="12" t="s">
        <v>53</v>
      </c>
      <c r="AQ48" s="33">
        <f t="shared" si="167"/>
        <v>0</v>
      </c>
      <c r="AR48" s="49" t="s">
        <v>54</v>
      </c>
      <c r="AS48" s="12">
        <f t="shared" si="168"/>
        <v>0</v>
      </c>
      <c r="AT48" s="33" t="s">
        <v>52</v>
      </c>
      <c r="AU48" s="49">
        <f t="shared" si="169"/>
        <v>0</v>
      </c>
      <c r="AV48" s="12" t="s">
        <v>53</v>
      </c>
      <c r="AW48" s="33">
        <f t="shared" si="170"/>
        <v>0</v>
      </c>
      <c r="AX48" s="49" t="s">
        <v>54</v>
      </c>
      <c r="AY48" s="12">
        <f t="shared" si="171"/>
        <v>2</v>
      </c>
      <c r="AZ48" s="33" t="s">
        <v>52</v>
      </c>
      <c r="BA48" s="49">
        <f t="shared" si="172"/>
        <v>6</v>
      </c>
      <c r="BB48" s="12" t="s">
        <v>53</v>
      </c>
      <c r="BC48" s="33">
        <f t="shared" si="173"/>
        <v>2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1</v>
      </c>
      <c r="BJ48" s="33" t="s">
        <v>52</v>
      </c>
      <c r="BK48" s="49">
        <f>IFERROR(IF($B$12="W",BK22,BK23),"0")</f>
        <v>1</v>
      </c>
      <c r="BL48" s="12" t="s">
        <v>53</v>
      </c>
      <c r="BM48" s="33">
        <f>IFERROR(IF($B$12="W",BM22,BM23),"0")</f>
        <v>0</v>
      </c>
      <c r="BN48" s="49" t="s">
        <v>54</v>
      </c>
      <c r="BO48" s="12">
        <f>IFERROR(IF($B$12="W",BO22,BO23),"0")</f>
        <v>1</v>
      </c>
      <c r="BP48" s="33" t="s">
        <v>52</v>
      </c>
      <c r="BQ48" s="49">
        <f>IFERROR(IF($B$12="W",BQ22,BQ23),"0")</f>
        <v>1</v>
      </c>
      <c r="BR48" s="12" t="s">
        <v>53</v>
      </c>
      <c r="BS48" s="33">
        <f>IFERROR(IF($B$12="W",BS22,BS23),"0")</f>
        <v>0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0</v>
      </c>
      <c r="CB48" s="33" t="s">
        <v>52</v>
      </c>
      <c r="CC48" s="49">
        <f>IFERROR(IF($B$12="W",CC22,CC23),"0")</f>
        <v>0</v>
      </c>
      <c r="CD48" s="12" t="s">
        <v>53</v>
      </c>
      <c r="CE48" s="33">
        <f>IFERROR(IF($B$12="W",CE22,CE23),"0")</f>
        <v>0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0</v>
      </c>
      <c r="CK48" s="33">
        <f t="shared" si="185"/>
        <v>5</v>
      </c>
      <c r="CL48" s="33">
        <f t="shared" si="185"/>
        <v>0</v>
      </c>
      <c r="CM48" s="33">
        <f t="shared" si="185"/>
        <v>0</v>
      </c>
      <c r="CN48" s="33">
        <f t="shared" si="185"/>
        <v>5</v>
      </c>
      <c r="CO48" s="33">
        <f t="shared" si="185"/>
        <v>2</v>
      </c>
      <c r="CP48" s="33">
        <f t="shared" si="185"/>
        <v>2</v>
      </c>
      <c r="CQ48" s="33">
        <f t="shared" si="185"/>
        <v>0</v>
      </c>
      <c r="CR48" s="33">
        <f t="shared" si="185"/>
        <v>0</v>
      </c>
      <c r="CS48" s="33">
        <f t="shared" si="185"/>
        <v>2</v>
      </c>
      <c r="CT48" s="33">
        <f t="shared" si="185"/>
        <v>2</v>
      </c>
      <c r="CU48" s="33">
        <f t="shared" si="185"/>
        <v>1</v>
      </c>
      <c r="CV48" s="58">
        <f t="shared" si="185"/>
        <v>8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6</v>
      </c>
      <c r="EW48" s="38" t="s">
        <v>115</v>
      </c>
      <c r="EX48" s="6">
        <f t="shared" si="147"/>
        <v>0</v>
      </c>
      <c r="EY48" s="6">
        <f t="shared" si="177"/>
        <v>0</v>
      </c>
      <c r="EZ48" s="6" t="str">
        <f t="shared" si="178"/>
        <v>0</v>
      </c>
    </row>
    <row r="49" spans="3:156" x14ac:dyDescent="0.2">
      <c r="C49" s="38" t="s">
        <v>227</v>
      </c>
      <c r="D49" s="28">
        <f t="shared" si="144"/>
        <v>12.350000000000001</v>
      </c>
      <c r="E49" s="86">
        <f t="shared" si="148"/>
        <v>3</v>
      </c>
      <c r="F49" s="33" t="s">
        <v>52</v>
      </c>
      <c r="G49" s="49">
        <f t="shared" si="149"/>
        <v>7</v>
      </c>
      <c r="H49" s="12" t="s">
        <v>53</v>
      </c>
      <c r="I49" s="33">
        <f t="shared" si="150"/>
        <v>2</v>
      </c>
      <c r="J49" s="49" t="s">
        <v>54</v>
      </c>
      <c r="K49" s="12">
        <f t="shared" si="151"/>
        <v>1</v>
      </c>
      <c r="L49" s="33" t="s">
        <v>52</v>
      </c>
      <c r="M49" s="49">
        <f t="shared" si="152"/>
        <v>1</v>
      </c>
      <c r="N49" s="12" t="s">
        <v>53</v>
      </c>
      <c r="O49" s="33">
        <f t="shared" si="153"/>
        <v>0</v>
      </c>
      <c r="P49" s="49" t="s">
        <v>54</v>
      </c>
      <c r="Q49" s="12">
        <f t="shared" si="154"/>
        <v>0</v>
      </c>
      <c r="R49" s="33" t="s">
        <v>52</v>
      </c>
      <c r="S49" s="49">
        <f t="shared" si="155"/>
        <v>0</v>
      </c>
      <c r="T49" s="12" t="s">
        <v>53</v>
      </c>
      <c r="U49" s="33">
        <f t="shared" si="156"/>
        <v>0</v>
      </c>
      <c r="V49" s="49" t="s">
        <v>54</v>
      </c>
      <c r="W49" s="12">
        <f t="shared" si="157"/>
        <v>2</v>
      </c>
      <c r="X49" s="33" t="s">
        <v>52</v>
      </c>
      <c r="Y49" s="49">
        <f t="shared" si="158"/>
        <v>6</v>
      </c>
      <c r="Z49" s="12" t="s">
        <v>53</v>
      </c>
      <c r="AA49" s="33">
        <f t="shared" si="159"/>
        <v>2</v>
      </c>
      <c r="AB49" s="49" t="s">
        <v>54</v>
      </c>
      <c r="AC49" s="12">
        <f t="shared" si="160"/>
        <v>0</v>
      </c>
      <c r="AD49" s="33" t="s">
        <v>52</v>
      </c>
      <c r="AE49" s="53">
        <f t="shared" si="161"/>
        <v>0</v>
      </c>
      <c r="AF49" s="12"/>
      <c r="AG49" s="43">
        <f t="shared" si="162"/>
        <v>2</v>
      </c>
      <c r="AH49" s="33" t="s">
        <v>52</v>
      </c>
      <c r="AI49" s="49">
        <f t="shared" si="163"/>
        <v>6</v>
      </c>
      <c r="AJ49" s="12" t="s">
        <v>53</v>
      </c>
      <c r="AK49" s="33">
        <f t="shared" si="164"/>
        <v>2</v>
      </c>
      <c r="AL49" s="49" t="s">
        <v>54</v>
      </c>
      <c r="AM49" s="12">
        <f t="shared" si="165"/>
        <v>0</v>
      </c>
      <c r="AN49" s="33" t="s">
        <v>52</v>
      </c>
      <c r="AO49" s="49">
        <f t="shared" si="166"/>
        <v>0</v>
      </c>
      <c r="AP49" s="12" t="s">
        <v>53</v>
      </c>
      <c r="AQ49" s="33">
        <f t="shared" si="167"/>
        <v>0</v>
      </c>
      <c r="AR49" s="49" t="s">
        <v>54</v>
      </c>
      <c r="AS49" s="12">
        <f t="shared" si="168"/>
        <v>0</v>
      </c>
      <c r="AT49" s="33" t="s">
        <v>52</v>
      </c>
      <c r="AU49" s="49">
        <f t="shared" si="169"/>
        <v>0</v>
      </c>
      <c r="AV49" s="12" t="s">
        <v>53</v>
      </c>
      <c r="AW49" s="33">
        <f t="shared" si="170"/>
        <v>0</v>
      </c>
      <c r="AX49" s="49" t="s">
        <v>54</v>
      </c>
      <c r="AY49" s="12">
        <f t="shared" si="171"/>
        <v>2</v>
      </c>
      <c r="AZ49" s="33" t="s">
        <v>52</v>
      </c>
      <c r="BA49" s="49">
        <f t="shared" si="172"/>
        <v>6</v>
      </c>
      <c r="BB49" s="12" t="s">
        <v>53</v>
      </c>
      <c r="BC49" s="33">
        <f t="shared" si="173"/>
        <v>2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1</v>
      </c>
      <c r="BJ49" s="33" t="s">
        <v>52</v>
      </c>
      <c r="BK49" s="49">
        <f>IFERROR(IF($B$13="W",BK22,BK23),"0")</f>
        <v>1</v>
      </c>
      <c r="BL49" s="12" t="s">
        <v>53</v>
      </c>
      <c r="BM49" s="33">
        <f>IFERROR(IF($B$13="W",BM22,BM23),"0")</f>
        <v>0</v>
      </c>
      <c r="BN49" s="49" t="s">
        <v>54</v>
      </c>
      <c r="BO49" s="12">
        <f>IFERROR(IF($B$13="W",BO22,BO23),"0")</f>
        <v>1</v>
      </c>
      <c r="BP49" s="33" t="s">
        <v>52</v>
      </c>
      <c r="BQ49" s="49">
        <f>IFERROR(IF($B$13="W",BQ22,BQ23),"0")</f>
        <v>1</v>
      </c>
      <c r="BR49" s="12" t="s">
        <v>53</v>
      </c>
      <c r="BS49" s="33">
        <f>IFERROR(IF($B$13="W",BS22,BS23),"0")</f>
        <v>0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0</v>
      </c>
      <c r="CB49" s="33" t="s">
        <v>52</v>
      </c>
      <c r="CC49" s="49">
        <f>IFERROR(IF($B$13="W",CC22,CC23),"0")</f>
        <v>0</v>
      </c>
      <c r="CD49" s="12" t="s">
        <v>53</v>
      </c>
      <c r="CE49" s="33">
        <f>IFERROR(IF($B$13="W",CE22,CE23),"0")</f>
        <v>0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0</v>
      </c>
      <c r="CK49" s="33">
        <f t="shared" si="186"/>
        <v>5</v>
      </c>
      <c r="CL49" s="33">
        <f t="shared" si="186"/>
        <v>0</v>
      </c>
      <c r="CM49" s="33">
        <f t="shared" si="186"/>
        <v>0</v>
      </c>
      <c r="CN49" s="33">
        <f t="shared" si="186"/>
        <v>5</v>
      </c>
      <c r="CO49" s="33">
        <f t="shared" si="186"/>
        <v>2</v>
      </c>
      <c r="CP49" s="33">
        <f t="shared" si="186"/>
        <v>2</v>
      </c>
      <c r="CQ49" s="33">
        <f t="shared" si="186"/>
        <v>0</v>
      </c>
      <c r="CR49" s="33">
        <f t="shared" si="186"/>
        <v>0</v>
      </c>
      <c r="CS49" s="33">
        <f t="shared" si="186"/>
        <v>2</v>
      </c>
      <c r="CT49" s="33">
        <f t="shared" si="186"/>
        <v>2</v>
      </c>
      <c r="CU49" s="33">
        <f t="shared" si="186"/>
        <v>1</v>
      </c>
      <c r="CV49" s="58">
        <f t="shared" si="186"/>
        <v>8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6</v>
      </c>
      <c r="EW49" s="38" t="s">
        <v>227</v>
      </c>
      <c r="EX49" s="6">
        <f t="shared" si="147"/>
        <v>0</v>
      </c>
      <c r="EY49" s="6">
        <f t="shared" si="177"/>
        <v>0</v>
      </c>
      <c r="EZ49" s="6" t="str">
        <f t="shared" si="178"/>
        <v>0</v>
      </c>
    </row>
    <row r="50" spans="3:156" x14ac:dyDescent="0.2">
      <c r="C50" s="38" t="s">
        <v>228</v>
      </c>
      <c r="D50" s="28">
        <f t="shared" si="144"/>
        <v>12.350000000000001</v>
      </c>
      <c r="E50" s="86">
        <f t="shared" si="148"/>
        <v>2</v>
      </c>
      <c r="F50" s="33" t="s">
        <v>52</v>
      </c>
      <c r="G50" s="49">
        <f t="shared" si="149"/>
        <v>6</v>
      </c>
      <c r="H50" s="12" t="s">
        <v>53</v>
      </c>
      <c r="I50" s="33">
        <f t="shared" si="150"/>
        <v>1</v>
      </c>
      <c r="J50" s="49" t="s">
        <v>54</v>
      </c>
      <c r="K50" s="12">
        <f t="shared" si="151"/>
        <v>1</v>
      </c>
      <c r="L50" s="33" t="s">
        <v>52</v>
      </c>
      <c r="M50" s="49">
        <f t="shared" si="152"/>
        <v>2</v>
      </c>
      <c r="N50" s="12" t="s">
        <v>53</v>
      </c>
      <c r="O50" s="33">
        <f t="shared" si="153"/>
        <v>0</v>
      </c>
      <c r="P50" s="49" t="s">
        <v>54</v>
      </c>
      <c r="Q50" s="12">
        <f t="shared" si="154"/>
        <v>0</v>
      </c>
      <c r="R50" s="33" t="s">
        <v>52</v>
      </c>
      <c r="S50" s="49">
        <f t="shared" si="155"/>
        <v>1</v>
      </c>
      <c r="T50" s="12" t="s">
        <v>53</v>
      </c>
      <c r="U50" s="33">
        <f t="shared" si="156"/>
        <v>0</v>
      </c>
      <c r="V50" s="49" t="s">
        <v>54</v>
      </c>
      <c r="W50" s="12">
        <f t="shared" si="157"/>
        <v>1</v>
      </c>
      <c r="X50" s="33" t="s">
        <v>52</v>
      </c>
      <c r="Y50" s="49">
        <f t="shared" si="158"/>
        <v>3</v>
      </c>
      <c r="Z50" s="12" t="s">
        <v>53</v>
      </c>
      <c r="AA50" s="33">
        <f t="shared" si="159"/>
        <v>1</v>
      </c>
      <c r="AB50" s="49" t="s">
        <v>54</v>
      </c>
      <c r="AC50" s="12">
        <f t="shared" si="160"/>
        <v>0</v>
      </c>
      <c r="AD50" s="33" t="s">
        <v>52</v>
      </c>
      <c r="AE50" s="53">
        <f t="shared" si="161"/>
        <v>0</v>
      </c>
      <c r="AF50" s="12"/>
      <c r="AG50" s="43">
        <f t="shared" si="162"/>
        <v>2</v>
      </c>
      <c r="AH50" s="33" t="s">
        <v>52</v>
      </c>
      <c r="AI50" s="49">
        <f t="shared" si="163"/>
        <v>4</v>
      </c>
      <c r="AJ50" s="12" t="s">
        <v>53</v>
      </c>
      <c r="AK50" s="33">
        <f t="shared" si="164"/>
        <v>1</v>
      </c>
      <c r="AL50" s="49" t="s">
        <v>54</v>
      </c>
      <c r="AM50" s="12">
        <f t="shared" si="165"/>
        <v>1</v>
      </c>
      <c r="AN50" s="33" t="s">
        <v>52</v>
      </c>
      <c r="AO50" s="49">
        <f t="shared" si="166"/>
        <v>2</v>
      </c>
      <c r="AP50" s="12" t="s">
        <v>53</v>
      </c>
      <c r="AQ50" s="33">
        <f t="shared" si="167"/>
        <v>0</v>
      </c>
      <c r="AR50" s="49" t="s">
        <v>54</v>
      </c>
      <c r="AS50" s="12">
        <f t="shared" si="168"/>
        <v>0</v>
      </c>
      <c r="AT50" s="33" t="s">
        <v>52</v>
      </c>
      <c r="AU50" s="49">
        <f t="shared" si="169"/>
        <v>0</v>
      </c>
      <c r="AV50" s="12" t="s">
        <v>53</v>
      </c>
      <c r="AW50" s="33">
        <f t="shared" si="170"/>
        <v>0</v>
      </c>
      <c r="AX50" s="49" t="s">
        <v>54</v>
      </c>
      <c r="AY50" s="12">
        <f t="shared" si="171"/>
        <v>1</v>
      </c>
      <c r="AZ50" s="33" t="s">
        <v>52</v>
      </c>
      <c r="BA50" s="49">
        <f t="shared" si="172"/>
        <v>2</v>
      </c>
      <c r="BB50" s="12" t="s">
        <v>53</v>
      </c>
      <c r="BC50" s="33">
        <f t="shared" si="173"/>
        <v>1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0</v>
      </c>
      <c r="BJ50" s="12" t="str">
        <f t="shared" ref="BJ50:CI50" si="187">IFERROR(IF($B$14="W",BJ22,BJ23),"0")</f>
        <v>-</v>
      </c>
      <c r="BK50" s="49">
        <f t="shared" si="187"/>
        <v>2</v>
      </c>
      <c r="BL50" s="12" t="str">
        <f t="shared" si="187"/>
        <v>(</v>
      </c>
      <c r="BM50" s="33">
        <f t="shared" si="187"/>
        <v>0</v>
      </c>
      <c r="BN50" s="49" t="str">
        <f t="shared" si="187"/>
        <v>)</v>
      </c>
      <c r="BO50" s="12">
        <f t="shared" si="187"/>
        <v>0</v>
      </c>
      <c r="BP50" s="12" t="str">
        <f t="shared" si="187"/>
        <v>-</v>
      </c>
      <c r="BQ50" s="49">
        <f t="shared" si="187"/>
        <v>0</v>
      </c>
      <c r="BR50" s="12" t="str">
        <f t="shared" si="187"/>
        <v>(</v>
      </c>
      <c r="BS50" s="33">
        <f t="shared" si="187"/>
        <v>0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1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0</v>
      </c>
      <c r="CB50" s="12" t="str">
        <f t="shared" si="187"/>
        <v>-</v>
      </c>
      <c r="CC50" s="49">
        <f t="shared" si="187"/>
        <v>1</v>
      </c>
      <c r="CD50" s="12" t="str">
        <f t="shared" si="187"/>
        <v>(</v>
      </c>
      <c r="CE50" s="33">
        <f t="shared" si="187"/>
        <v>0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0</v>
      </c>
      <c r="CK50" s="33">
        <f t="shared" ref="CK50:CV50" si="188">IFERROR(IF($B$14="W",CK22,CK23),"0")</f>
        <v>3</v>
      </c>
      <c r="CL50" s="33">
        <f t="shared" si="188"/>
        <v>0</v>
      </c>
      <c r="CM50" s="33">
        <f t="shared" si="188"/>
        <v>0</v>
      </c>
      <c r="CN50" s="33">
        <f t="shared" si="188"/>
        <v>3</v>
      </c>
      <c r="CO50" s="33">
        <f t="shared" si="188"/>
        <v>1</v>
      </c>
      <c r="CP50" s="33">
        <f t="shared" si="188"/>
        <v>2</v>
      </c>
      <c r="CQ50" s="33">
        <f t="shared" si="188"/>
        <v>0</v>
      </c>
      <c r="CR50" s="33">
        <f t="shared" si="188"/>
        <v>0</v>
      </c>
      <c r="CS50" s="33">
        <f t="shared" si="188"/>
        <v>1</v>
      </c>
      <c r="CT50" s="33">
        <f t="shared" si="188"/>
        <v>2</v>
      </c>
      <c r="CU50" s="33">
        <f t="shared" si="188"/>
        <v>0</v>
      </c>
      <c r="CV50" s="33">
        <f t="shared" si="188"/>
        <v>5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6</v>
      </c>
      <c r="EW50" s="38" t="s">
        <v>228</v>
      </c>
      <c r="EX50" s="6">
        <f t="shared" si="147"/>
        <v>0</v>
      </c>
      <c r="EY50" s="6">
        <f t="shared" si="177"/>
        <v>0</v>
      </c>
      <c r="EZ50" s="6" t="str">
        <f t="shared" si="178"/>
        <v>0</v>
      </c>
    </row>
    <row r="51" spans="3:156" x14ac:dyDescent="0.2">
      <c r="C51" s="38" t="s">
        <v>229</v>
      </c>
      <c r="D51" s="28">
        <f t="shared" si="144"/>
        <v>12.350000000000001</v>
      </c>
      <c r="E51" s="86">
        <f t="shared" si="148"/>
        <v>3</v>
      </c>
      <c r="F51" s="33" t="s">
        <v>52</v>
      </c>
      <c r="G51" s="49">
        <f t="shared" si="149"/>
        <v>7</v>
      </c>
      <c r="H51" s="12" t="s">
        <v>53</v>
      </c>
      <c r="I51" s="33">
        <f t="shared" si="150"/>
        <v>2</v>
      </c>
      <c r="J51" s="49" t="s">
        <v>54</v>
      </c>
      <c r="K51" s="12">
        <f t="shared" si="151"/>
        <v>1</v>
      </c>
      <c r="L51" s="33" t="s">
        <v>52</v>
      </c>
      <c r="M51" s="49">
        <f t="shared" si="152"/>
        <v>1</v>
      </c>
      <c r="N51" s="12" t="s">
        <v>53</v>
      </c>
      <c r="O51" s="33">
        <f t="shared" si="153"/>
        <v>0</v>
      </c>
      <c r="P51" s="49" t="s">
        <v>54</v>
      </c>
      <c r="Q51" s="12">
        <f t="shared" si="154"/>
        <v>0</v>
      </c>
      <c r="R51" s="33" t="s">
        <v>52</v>
      </c>
      <c r="S51" s="49">
        <f t="shared" si="155"/>
        <v>0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2</v>
      </c>
      <c r="X51" s="33" t="s">
        <v>52</v>
      </c>
      <c r="Y51" s="49">
        <f t="shared" si="158"/>
        <v>6</v>
      </c>
      <c r="Z51" s="12" t="s">
        <v>53</v>
      </c>
      <c r="AA51" s="33">
        <f t="shared" si="159"/>
        <v>2</v>
      </c>
      <c r="AB51" s="49" t="s">
        <v>54</v>
      </c>
      <c r="AC51" s="12">
        <f t="shared" si="160"/>
        <v>0</v>
      </c>
      <c r="AD51" s="33" t="s">
        <v>52</v>
      </c>
      <c r="AE51" s="53">
        <f t="shared" si="161"/>
        <v>0</v>
      </c>
      <c r="AF51" s="12"/>
      <c r="AG51" s="43">
        <f t="shared" si="162"/>
        <v>2</v>
      </c>
      <c r="AH51" s="33" t="s">
        <v>52</v>
      </c>
      <c r="AI51" s="49">
        <f t="shared" si="163"/>
        <v>6</v>
      </c>
      <c r="AJ51" s="12" t="s">
        <v>53</v>
      </c>
      <c r="AK51" s="33">
        <f t="shared" si="164"/>
        <v>2</v>
      </c>
      <c r="AL51" s="49" t="s">
        <v>54</v>
      </c>
      <c r="AM51" s="12">
        <f t="shared" si="165"/>
        <v>0</v>
      </c>
      <c r="AN51" s="33" t="s">
        <v>52</v>
      </c>
      <c r="AO51" s="49">
        <f t="shared" si="166"/>
        <v>0</v>
      </c>
      <c r="AP51" s="12" t="s">
        <v>53</v>
      </c>
      <c r="AQ51" s="33">
        <f t="shared" si="167"/>
        <v>0</v>
      </c>
      <c r="AR51" s="49" t="s">
        <v>54</v>
      </c>
      <c r="AS51" s="12">
        <f t="shared" si="168"/>
        <v>0</v>
      </c>
      <c r="AT51" s="33" t="s">
        <v>52</v>
      </c>
      <c r="AU51" s="49">
        <f t="shared" si="169"/>
        <v>0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2</v>
      </c>
      <c r="AZ51" s="33" t="s">
        <v>52</v>
      </c>
      <c r="BA51" s="49">
        <f t="shared" si="172"/>
        <v>6</v>
      </c>
      <c r="BB51" s="12" t="s">
        <v>53</v>
      </c>
      <c r="BC51" s="33">
        <f t="shared" si="173"/>
        <v>2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1</v>
      </c>
      <c r="BJ51" s="12" t="str">
        <f t="shared" ref="BJ51:CI51" si="189">IFERROR(IF($B$15="W",BJ22,BJ23),"0")</f>
        <v>-</v>
      </c>
      <c r="BK51" s="49">
        <f t="shared" si="189"/>
        <v>1</v>
      </c>
      <c r="BL51" s="12" t="str">
        <f t="shared" si="189"/>
        <v>(</v>
      </c>
      <c r="BM51" s="33">
        <f t="shared" si="189"/>
        <v>0</v>
      </c>
      <c r="BN51" s="49" t="str">
        <f t="shared" si="189"/>
        <v>)</v>
      </c>
      <c r="BO51" s="12">
        <f t="shared" si="189"/>
        <v>1</v>
      </c>
      <c r="BP51" s="12" t="str">
        <f t="shared" si="189"/>
        <v>-</v>
      </c>
      <c r="BQ51" s="49">
        <f t="shared" si="189"/>
        <v>1</v>
      </c>
      <c r="BR51" s="12" t="str">
        <f t="shared" si="189"/>
        <v>(</v>
      </c>
      <c r="BS51" s="33">
        <f t="shared" si="189"/>
        <v>0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0</v>
      </c>
      <c r="CB51" s="12" t="str">
        <f t="shared" si="189"/>
        <v>-</v>
      </c>
      <c r="CC51" s="49">
        <f t="shared" si="189"/>
        <v>0</v>
      </c>
      <c r="CD51" s="12" t="str">
        <f t="shared" si="189"/>
        <v>(</v>
      </c>
      <c r="CE51" s="33">
        <f t="shared" si="189"/>
        <v>0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0</v>
      </c>
      <c r="CK51" s="33">
        <f t="shared" ref="CK51:CV51" si="190">IFERROR(IF($B$15="W",CK22,CK23),"0")</f>
        <v>5</v>
      </c>
      <c r="CL51" s="33">
        <f t="shared" si="190"/>
        <v>0</v>
      </c>
      <c r="CM51" s="33">
        <f t="shared" si="190"/>
        <v>0</v>
      </c>
      <c r="CN51" s="33">
        <f t="shared" si="190"/>
        <v>5</v>
      </c>
      <c r="CO51" s="33">
        <f t="shared" si="190"/>
        <v>2</v>
      </c>
      <c r="CP51" s="33">
        <f t="shared" si="190"/>
        <v>2</v>
      </c>
      <c r="CQ51" s="33">
        <f t="shared" si="190"/>
        <v>0</v>
      </c>
      <c r="CR51" s="33">
        <f t="shared" si="190"/>
        <v>0</v>
      </c>
      <c r="CS51" s="33">
        <f t="shared" si="190"/>
        <v>2</v>
      </c>
      <c r="CT51" s="33">
        <f t="shared" si="190"/>
        <v>2</v>
      </c>
      <c r="CU51" s="33">
        <f t="shared" si="190"/>
        <v>1</v>
      </c>
      <c r="CV51" s="33">
        <f t="shared" si="190"/>
        <v>8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6</v>
      </c>
      <c r="EW51" s="38" t="s">
        <v>229</v>
      </c>
      <c r="EX51" s="6">
        <f t="shared" si="147"/>
        <v>0</v>
      </c>
      <c r="EY51" s="6">
        <f t="shared" si="177"/>
        <v>0</v>
      </c>
      <c r="EZ51" s="6" t="str">
        <f t="shared" si="178"/>
        <v>0</v>
      </c>
    </row>
    <row r="52" spans="3:156" x14ac:dyDescent="0.2">
      <c r="C52" s="38" t="s">
        <v>113</v>
      </c>
      <c r="D52" s="28">
        <f t="shared" si="144"/>
        <v>12.350000000000001</v>
      </c>
      <c r="E52" s="86">
        <f t="shared" si="148"/>
        <v>3</v>
      </c>
      <c r="F52" s="33" t="s">
        <v>52</v>
      </c>
      <c r="G52" s="49">
        <f t="shared" si="149"/>
        <v>7</v>
      </c>
      <c r="H52" s="12" t="s">
        <v>53</v>
      </c>
      <c r="I52" s="33">
        <f t="shared" si="150"/>
        <v>2</v>
      </c>
      <c r="J52" s="49" t="s">
        <v>54</v>
      </c>
      <c r="K52" s="12">
        <f t="shared" si="151"/>
        <v>1</v>
      </c>
      <c r="L52" s="33" t="s">
        <v>52</v>
      </c>
      <c r="M52" s="49">
        <f t="shared" si="152"/>
        <v>1</v>
      </c>
      <c r="N52" s="12" t="s">
        <v>53</v>
      </c>
      <c r="O52" s="33">
        <f t="shared" si="153"/>
        <v>0</v>
      </c>
      <c r="P52" s="49" t="s">
        <v>54</v>
      </c>
      <c r="Q52" s="12">
        <f t="shared" si="154"/>
        <v>0</v>
      </c>
      <c r="R52" s="33" t="s">
        <v>52</v>
      </c>
      <c r="S52" s="49">
        <f t="shared" si="155"/>
        <v>0</v>
      </c>
      <c r="T52" s="12" t="s">
        <v>53</v>
      </c>
      <c r="U52" s="33">
        <f t="shared" si="156"/>
        <v>0</v>
      </c>
      <c r="V52" s="49" t="s">
        <v>54</v>
      </c>
      <c r="W52" s="12">
        <f t="shared" si="157"/>
        <v>2</v>
      </c>
      <c r="X52" s="33" t="s">
        <v>52</v>
      </c>
      <c r="Y52" s="49">
        <f t="shared" si="158"/>
        <v>6</v>
      </c>
      <c r="Z52" s="12" t="s">
        <v>53</v>
      </c>
      <c r="AA52" s="33">
        <f t="shared" si="159"/>
        <v>2</v>
      </c>
      <c r="AB52" s="49" t="s">
        <v>54</v>
      </c>
      <c r="AC52" s="12">
        <f t="shared" si="160"/>
        <v>0</v>
      </c>
      <c r="AD52" s="33" t="s">
        <v>52</v>
      </c>
      <c r="AE52" s="53">
        <f t="shared" si="161"/>
        <v>0</v>
      </c>
      <c r="AF52" s="12"/>
      <c r="AG52" s="43">
        <f t="shared" si="162"/>
        <v>2</v>
      </c>
      <c r="AH52" s="33" t="s">
        <v>52</v>
      </c>
      <c r="AI52" s="49">
        <f t="shared" si="163"/>
        <v>6</v>
      </c>
      <c r="AJ52" s="12" t="s">
        <v>53</v>
      </c>
      <c r="AK52" s="33">
        <f t="shared" si="164"/>
        <v>2</v>
      </c>
      <c r="AL52" s="49" t="s">
        <v>54</v>
      </c>
      <c r="AM52" s="12">
        <f t="shared" si="165"/>
        <v>0</v>
      </c>
      <c r="AN52" s="33" t="s">
        <v>52</v>
      </c>
      <c r="AO52" s="49">
        <f t="shared" si="166"/>
        <v>0</v>
      </c>
      <c r="AP52" s="12" t="s">
        <v>53</v>
      </c>
      <c r="AQ52" s="33">
        <f t="shared" si="167"/>
        <v>0</v>
      </c>
      <c r="AR52" s="49" t="s">
        <v>54</v>
      </c>
      <c r="AS52" s="12">
        <f t="shared" si="168"/>
        <v>0</v>
      </c>
      <c r="AT52" s="33" t="s">
        <v>52</v>
      </c>
      <c r="AU52" s="49">
        <f t="shared" si="169"/>
        <v>0</v>
      </c>
      <c r="AV52" s="12" t="s">
        <v>53</v>
      </c>
      <c r="AW52" s="33">
        <f t="shared" si="170"/>
        <v>0</v>
      </c>
      <c r="AX52" s="49" t="s">
        <v>54</v>
      </c>
      <c r="AY52" s="12">
        <f t="shared" si="171"/>
        <v>2</v>
      </c>
      <c r="AZ52" s="33" t="s">
        <v>52</v>
      </c>
      <c r="BA52" s="49">
        <f t="shared" si="172"/>
        <v>6</v>
      </c>
      <c r="BB52" s="12" t="s">
        <v>53</v>
      </c>
      <c r="BC52" s="33">
        <f t="shared" si="173"/>
        <v>2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1</v>
      </c>
      <c r="BJ52" s="12" t="str">
        <f t="shared" ref="BJ52:CI52" si="191">IFERROR(IF($B$16="W",BJ22,BJ23),"0")</f>
        <v>-</v>
      </c>
      <c r="BK52" s="49">
        <f t="shared" si="191"/>
        <v>1</v>
      </c>
      <c r="BL52" s="12" t="str">
        <f t="shared" si="191"/>
        <v>(</v>
      </c>
      <c r="BM52" s="33">
        <f t="shared" si="191"/>
        <v>0</v>
      </c>
      <c r="BN52" s="49" t="str">
        <f t="shared" si="191"/>
        <v>)</v>
      </c>
      <c r="BO52" s="12">
        <f t="shared" si="191"/>
        <v>1</v>
      </c>
      <c r="BP52" s="12" t="str">
        <f t="shared" si="191"/>
        <v>-</v>
      </c>
      <c r="BQ52" s="49">
        <f t="shared" si="191"/>
        <v>1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0</v>
      </c>
      <c r="CB52" s="12" t="str">
        <f t="shared" si="191"/>
        <v>-</v>
      </c>
      <c r="CC52" s="49">
        <f t="shared" si="191"/>
        <v>0</v>
      </c>
      <c r="CD52" s="12" t="str">
        <f t="shared" si="191"/>
        <v>(</v>
      </c>
      <c r="CE52" s="33">
        <f t="shared" si="191"/>
        <v>0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0</v>
      </c>
      <c r="CK52" s="33">
        <f t="shared" ref="CK52:CV52" si="192">IFERROR(IF($B$16="W",CK22,CK23),"0")</f>
        <v>5</v>
      </c>
      <c r="CL52" s="33">
        <f t="shared" si="192"/>
        <v>0</v>
      </c>
      <c r="CM52" s="33">
        <f t="shared" si="192"/>
        <v>0</v>
      </c>
      <c r="CN52" s="33">
        <f t="shared" si="192"/>
        <v>5</v>
      </c>
      <c r="CO52" s="33">
        <f t="shared" si="192"/>
        <v>2</v>
      </c>
      <c r="CP52" s="33">
        <f t="shared" si="192"/>
        <v>2</v>
      </c>
      <c r="CQ52" s="33">
        <f t="shared" si="192"/>
        <v>0</v>
      </c>
      <c r="CR52" s="33">
        <f t="shared" si="192"/>
        <v>0</v>
      </c>
      <c r="CS52" s="33">
        <f t="shared" si="192"/>
        <v>2</v>
      </c>
      <c r="CT52" s="33">
        <f t="shared" si="192"/>
        <v>2</v>
      </c>
      <c r="CU52" s="33">
        <f t="shared" si="192"/>
        <v>1</v>
      </c>
      <c r="CV52" s="33">
        <f t="shared" si="192"/>
        <v>8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6</v>
      </c>
      <c r="EW52" s="38" t="s">
        <v>113</v>
      </c>
      <c r="EX52" s="6">
        <f t="shared" si="147"/>
        <v>0</v>
      </c>
      <c r="EY52" s="6">
        <f t="shared" si="177"/>
        <v>0</v>
      </c>
      <c r="EZ52" s="6" t="str">
        <f t="shared" si="178"/>
        <v>0</v>
      </c>
    </row>
    <row r="53" spans="3:156" x14ac:dyDescent="0.2">
      <c r="C53" s="38" t="s">
        <v>49</v>
      </c>
      <c r="D53" s="28">
        <f t="shared" si="144"/>
        <v>12.350000000000001</v>
      </c>
      <c r="E53" s="86">
        <f t="shared" si="148"/>
        <v>3</v>
      </c>
      <c r="F53" s="33" t="s">
        <v>52</v>
      </c>
      <c r="G53" s="49">
        <f t="shared" si="149"/>
        <v>7</v>
      </c>
      <c r="H53" s="12" t="s">
        <v>53</v>
      </c>
      <c r="I53" s="33">
        <f t="shared" si="150"/>
        <v>2</v>
      </c>
      <c r="J53" s="49" t="s">
        <v>54</v>
      </c>
      <c r="K53" s="12">
        <f t="shared" si="151"/>
        <v>1</v>
      </c>
      <c r="L53" s="33" t="s">
        <v>52</v>
      </c>
      <c r="M53" s="49">
        <f t="shared" si="152"/>
        <v>1</v>
      </c>
      <c r="N53" s="12" t="s">
        <v>53</v>
      </c>
      <c r="O53" s="33">
        <f t="shared" si="153"/>
        <v>0</v>
      </c>
      <c r="P53" s="49" t="s">
        <v>54</v>
      </c>
      <c r="Q53" s="12">
        <f t="shared" si="154"/>
        <v>0</v>
      </c>
      <c r="R53" s="33" t="s">
        <v>52</v>
      </c>
      <c r="S53" s="49">
        <f t="shared" si="155"/>
        <v>0</v>
      </c>
      <c r="T53" s="12" t="s">
        <v>53</v>
      </c>
      <c r="U53" s="33">
        <f t="shared" si="156"/>
        <v>0</v>
      </c>
      <c r="V53" s="49" t="s">
        <v>54</v>
      </c>
      <c r="W53" s="12">
        <f t="shared" si="157"/>
        <v>2</v>
      </c>
      <c r="X53" s="33" t="s">
        <v>52</v>
      </c>
      <c r="Y53" s="49">
        <f t="shared" si="158"/>
        <v>6</v>
      </c>
      <c r="Z53" s="12" t="s">
        <v>53</v>
      </c>
      <c r="AA53" s="33">
        <f t="shared" si="159"/>
        <v>2</v>
      </c>
      <c r="AB53" s="49" t="s">
        <v>54</v>
      </c>
      <c r="AC53" s="12">
        <f t="shared" si="160"/>
        <v>0</v>
      </c>
      <c r="AD53" s="33" t="s">
        <v>52</v>
      </c>
      <c r="AE53" s="53">
        <f t="shared" si="161"/>
        <v>0</v>
      </c>
      <c r="AF53" s="12"/>
      <c r="AG53" s="43">
        <f t="shared" si="162"/>
        <v>2</v>
      </c>
      <c r="AH53" s="33" t="s">
        <v>52</v>
      </c>
      <c r="AI53" s="49">
        <f t="shared" si="163"/>
        <v>6</v>
      </c>
      <c r="AJ53" s="12" t="s">
        <v>53</v>
      </c>
      <c r="AK53" s="33">
        <f t="shared" si="164"/>
        <v>2</v>
      </c>
      <c r="AL53" s="49" t="s">
        <v>54</v>
      </c>
      <c r="AM53" s="12">
        <f t="shared" si="165"/>
        <v>0</v>
      </c>
      <c r="AN53" s="33" t="s">
        <v>52</v>
      </c>
      <c r="AO53" s="49">
        <f t="shared" si="166"/>
        <v>0</v>
      </c>
      <c r="AP53" s="12" t="s">
        <v>53</v>
      </c>
      <c r="AQ53" s="33">
        <f t="shared" si="167"/>
        <v>0</v>
      </c>
      <c r="AR53" s="49" t="s">
        <v>54</v>
      </c>
      <c r="AS53" s="12">
        <f t="shared" si="168"/>
        <v>0</v>
      </c>
      <c r="AT53" s="33" t="s">
        <v>52</v>
      </c>
      <c r="AU53" s="49">
        <f t="shared" si="169"/>
        <v>0</v>
      </c>
      <c r="AV53" s="12" t="s">
        <v>53</v>
      </c>
      <c r="AW53" s="33">
        <f t="shared" si="170"/>
        <v>0</v>
      </c>
      <c r="AX53" s="49" t="s">
        <v>54</v>
      </c>
      <c r="AY53" s="12">
        <f t="shared" si="171"/>
        <v>2</v>
      </c>
      <c r="AZ53" s="33" t="s">
        <v>52</v>
      </c>
      <c r="BA53" s="49">
        <f t="shared" si="172"/>
        <v>6</v>
      </c>
      <c r="BB53" s="12" t="s">
        <v>53</v>
      </c>
      <c r="BC53" s="33">
        <f t="shared" si="173"/>
        <v>2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1</v>
      </c>
      <c r="BJ53" s="12" t="str">
        <f t="shared" ref="BJ53:CI53" si="193">IFERROR(IF($B$17="W",BJ22,BJ23),"0")</f>
        <v>-</v>
      </c>
      <c r="BK53" s="49">
        <f t="shared" si="193"/>
        <v>1</v>
      </c>
      <c r="BL53" s="12" t="str">
        <f t="shared" si="193"/>
        <v>(</v>
      </c>
      <c r="BM53" s="33">
        <f t="shared" si="193"/>
        <v>0</v>
      </c>
      <c r="BN53" s="49" t="str">
        <f t="shared" si="193"/>
        <v>)</v>
      </c>
      <c r="BO53" s="12">
        <f t="shared" si="193"/>
        <v>1</v>
      </c>
      <c r="BP53" s="12" t="str">
        <f t="shared" si="193"/>
        <v>-</v>
      </c>
      <c r="BQ53" s="49">
        <f t="shared" si="193"/>
        <v>1</v>
      </c>
      <c r="BR53" s="12" t="str">
        <f t="shared" si="193"/>
        <v>(</v>
      </c>
      <c r="BS53" s="33">
        <f t="shared" si="193"/>
        <v>0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0</v>
      </c>
      <c r="CB53" s="12" t="str">
        <f t="shared" si="193"/>
        <v>-</v>
      </c>
      <c r="CC53" s="49">
        <f t="shared" si="193"/>
        <v>0</v>
      </c>
      <c r="CD53" s="12" t="str">
        <f t="shared" si="193"/>
        <v>(</v>
      </c>
      <c r="CE53" s="33">
        <f t="shared" si="193"/>
        <v>0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0</v>
      </c>
      <c r="CK53" s="33">
        <f t="shared" ref="CK53:CV53" si="194">IFERROR(IF($B$17="W",CK22,CK23),"0")</f>
        <v>5</v>
      </c>
      <c r="CL53" s="33">
        <f t="shared" si="194"/>
        <v>0</v>
      </c>
      <c r="CM53" s="33">
        <f t="shared" si="194"/>
        <v>0</v>
      </c>
      <c r="CN53" s="33">
        <f t="shared" si="194"/>
        <v>5</v>
      </c>
      <c r="CO53" s="33">
        <f t="shared" si="194"/>
        <v>2</v>
      </c>
      <c r="CP53" s="33">
        <f t="shared" si="194"/>
        <v>2</v>
      </c>
      <c r="CQ53" s="33">
        <f t="shared" si="194"/>
        <v>0</v>
      </c>
      <c r="CR53" s="33">
        <f t="shared" si="194"/>
        <v>0</v>
      </c>
      <c r="CS53" s="33">
        <f t="shared" si="194"/>
        <v>2</v>
      </c>
      <c r="CT53" s="33">
        <f t="shared" si="194"/>
        <v>2</v>
      </c>
      <c r="CU53" s="33">
        <f t="shared" si="194"/>
        <v>1</v>
      </c>
      <c r="CV53" s="33">
        <f t="shared" si="194"/>
        <v>8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6</v>
      </c>
      <c r="EW53" s="38" t="s">
        <v>49</v>
      </c>
      <c r="EX53" s="6">
        <f t="shared" si="147"/>
        <v>0</v>
      </c>
      <c r="EY53" s="6">
        <f t="shared" si="177"/>
        <v>0</v>
      </c>
      <c r="EZ53" s="6" t="str">
        <f t="shared" si="178"/>
        <v>0</v>
      </c>
    </row>
    <row r="54" spans="3:156" ht="17" thickBot="1" x14ac:dyDescent="0.25">
      <c r="C54" s="38" t="s">
        <v>230</v>
      </c>
      <c r="D54" s="28">
        <f t="shared" si="144"/>
        <v>12.350000000000001</v>
      </c>
      <c r="E54" s="87">
        <f t="shared" si="148"/>
        <v>2</v>
      </c>
      <c r="F54" s="55" t="s">
        <v>52</v>
      </c>
      <c r="G54" s="54">
        <f t="shared" si="149"/>
        <v>6</v>
      </c>
      <c r="H54" s="45" t="s">
        <v>53</v>
      </c>
      <c r="I54" s="55">
        <f t="shared" si="150"/>
        <v>1</v>
      </c>
      <c r="J54" s="54" t="s">
        <v>54</v>
      </c>
      <c r="K54" s="45">
        <f t="shared" si="151"/>
        <v>1</v>
      </c>
      <c r="L54" s="55" t="s">
        <v>52</v>
      </c>
      <c r="M54" s="54">
        <f t="shared" si="152"/>
        <v>2</v>
      </c>
      <c r="N54" s="45" t="s">
        <v>53</v>
      </c>
      <c r="O54" s="55">
        <f t="shared" si="153"/>
        <v>0</v>
      </c>
      <c r="P54" s="54" t="s">
        <v>54</v>
      </c>
      <c r="Q54" s="45">
        <f t="shared" si="154"/>
        <v>0</v>
      </c>
      <c r="R54" s="55" t="s">
        <v>52</v>
      </c>
      <c r="S54" s="54">
        <f t="shared" si="155"/>
        <v>1</v>
      </c>
      <c r="T54" s="45" t="s">
        <v>53</v>
      </c>
      <c r="U54" s="55">
        <f t="shared" si="156"/>
        <v>0</v>
      </c>
      <c r="V54" s="54" t="s">
        <v>54</v>
      </c>
      <c r="W54" s="45">
        <f t="shared" si="157"/>
        <v>1</v>
      </c>
      <c r="X54" s="55" t="s">
        <v>52</v>
      </c>
      <c r="Y54" s="54">
        <f t="shared" si="158"/>
        <v>3</v>
      </c>
      <c r="Z54" s="45" t="s">
        <v>53</v>
      </c>
      <c r="AA54" s="55">
        <f t="shared" si="159"/>
        <v>1</v>
      </c>
      <c r="AB54" s="54" t="s">
        <v>54</v>
      </c>
      <c r="AC54" s="45">
        <f t="shared" si="160"/>
        <v>0</v>
      </c>
      <c r="AD54" s="55" t="s">
        <v>52</v>
      </c>
      <c r="AE54" s="56">
        <f t="shared" si="161"/>
        <v>0</v>
      </c>
      <c r="AF54" s="1"/>
      <c r="AG54" s="44">
        <f t="shared" si="162"/>
        <v>2</v>
      </c>
      <c r="AH54" s="55" t="s">
        <v>52</v>
      </c>
      <c r="AI54" s="54">
        <f t="shared" si="163"/>
        <v>4</v>
      </c>
      <c r="AJ54" s="45" t="s">
        <v>53</v>
      </c>
      <c r="AK54" s="55">
        <f t="shared" si="164"/>
        <v>1</v>
      </c>
      <c r="AL54" s="54" t="s">
        <v>54</v>
      </c>
      <c r="AM54" s="45">
        <f t="shared" si="165"/>
        <v>1</v>
      </c>
      <c r="AN54" s="55" t="s">
        <v>52</v>
      </c>
      <c r="AO54" s="54">
        <f t="shared" si="166"/>
        <v>2</v>
      </c>
      <c r="AP54" s="45" t="s">
        <v>53</v>
      </c>
      <c r="AQ54" s="55">
        <f t="shared" si="167"/>
        <v>0</v>
      </c>
      <c r="AR54" s="54" t="s">
        <v>54</v>
      </c>
      <c r="AS54" s="45">
        <f t="shared" si="168"/>
        <v>0</v>
      </c>
      <c r="AT54" s="55" t="s">
        <v>52</v>
      </c>
      <c r="AU54" s="54">
        <f t="shared" si="169"/>
        <v>0</v>
      </c>
      <c r="AV54" s="45" t="s">
        <v>53</v>
      </c>
      <c r="AW54" s="55">
        <f t="shared" si="170"/>
        <v>0</v>
      </c>
      <c r="AX54" s="54" t="s">
        <v>54</v>
      </c>
      <c r="AY54" s="45">
        <f t="shared" si="171"/>
        <v>1</v>
      </c>
      <c r="AZ54" s="55" t="s">
        <v>52</v>
      </c>
      <c r="BA54" s="54">
        <f t="shared" si="172"/>
        <v>2</v>
      </c>
      <c r="BB54" s="45" t="s">
        <v>53</v>
      </c>
      <c r="BC54" s="55">
        <f t="shared" si="173"/>
        <v>1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0</v>
      </c>
      <c r="BJ54" s="45" t="str">
        <f t="shared" ref="BJ54:CV54" si="195">IFERROR(IF($B$18="W",BJ22,BJ23),"0")</f>
        <v>-</v>
      </c>
      <c r="BK54" s="54">
        <f t="shared" si="195"/>
        <v>2</v>
      </c>
      <c r="BL54" s="45" t="str">
        <f t="shared" si="195"/>
        <v>(</v>
      </c>
      <c r="BM54" s="55">
        <f t="shared" si="195"/>
        <v>0</v>
      </c>
      <c r="BN54" s="54" t="str">
        <f t="shared" si="195"/>
        <v>)</v>
      </c>
      <c r="BO54" s="45">
        <f t="shared" si="195"/>
        <v>0</v>
      </c>
      <c r="BP54" s="45" t="str">
        <f t="shared" si="195"/>
        <v>-</v>
      </c>
      <c r="BQ54" s="54">
        <f t="shared" si="195"/>
        <v>0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1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0</v>
      </c>
      <c r="CB54" s="45" t="str">
        <f t="shared" si="195"/>
        <v>-</v>
      </c>
      <c r="CC54" s="54">
        <f t="shared" si="195"/>
        <v>1</v>
      </c>
      <c r="CD54" s="45" t="str">
        <f t="shared" si="195"/>
        <v>(</v>
      </c>
      <c r="CE54" s="55">
        <f t="shared" si="195"/>
        <v>0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0</v>
      </c>
      <c r="CK54" s="33">
        <f t="shared" si="195"/>
        <v>3</v>
      </c>
      <c r="CL54" s="33">
        <f t="shared" si="195"/>
        <v>0</v>
      </c>
      <c r="CM54" s="33">
        <f>IFERROR(IF($B$18="W",CM22,CM23),"0")</f>
        <v>0</v>
      </c>
      <c r="CN54" s="33">
        <f t="shared" si="195"/>
        <v>3</v>
      </c>
      <c r="CO54" s="33">
        <f t="shared" si="195"/>
        <v>1</v>
      </c>
      <c r="CP54" s="33">
        <f t="shared" si="195"/>
        <v>2</v>
      </c>
      <c r="CQ54" s="33">
        <f t="shared" si="195"/>
        <v>0</v>
      </c>
      <c r="CR54" s="33">
        <f t="shared" si="195"/>
        <v>0</v>
      </c>
      <c r="CS54" s="33">
        <f t="shared" si="195"/>
        <v>1</v>
      </c>
      <c r="CT54" s="33">
        <f t="shared" si="195"/>
        <v>2</v>
      </c>
      <c r="CU54" s="33">
        <f t="shared" si="195"/>
        <v>0</v>
      </c>
      <c r="CV54" s="33">
        <f t="shared" si="195"/>
        <v>5</v>
      </c>
      <c r="CW54" s="33"/>
      <c r="CX54" s="1"/>
      <c r="CY54" s="1"/>
      <c r="CZ54" s="1"/>
      <c r="EF54" s="38" t="s">
        <v>230</v>
      </c>
      <c r="EG54" s="6">
        <f t="shared" si="146"/>
        <v>6</v>
      </c>
      <c r="EW54" s="38" t="s">
        <v>230</v>
      </c>
      <c r="EX54" s="6">
        <f t="shared" si="147"/>
        <v>0</v>
      </c>
      <c r="EY54" s="6">
        <f t="shared" si="177"/>
        <v>0</v>
      </c>
      <c r="EZ54" s="6" t="str">
        <f t="shared" si="178"/>
        <v>0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489"/>
      <c r="J57" s="51"/>
      <c r="K57" s="48"/>
      <c r="M57" s="51"/>
      <c r="N57" s="48"/>
      <c r="O57" s="489"/>
      <c r="P57" s="51"/>
      <c r="Q57" s="48"/>
      <c r="S57" s="51"/>
      <c r="T57" s="48"/>
      <c r="U57" s="489"/>
      <c r="V57" s="51"/>
      <c r="W57" s="48"/>
      <c r="Y57" s="51"/>
      <c r="Z57" s="48"/>
      <c r="AA57" s="489"/>
      <c r="AB57" s="51"/>
      <c r="AC57" s="48"/>
      <c r="AE57" s="51"/>
      <c r="AG57" s="48"/>
      <c r="AI57" s="51"/>
      <c r="AJ57" s="48"/>
      <c r="AK57" s="489"/>
      <c r="AL57" s="51"/>
      <c r="AM57" s="48"/>
      <c r="AO57" s="51"/>
      <c r="AP57" s="48"/>
      <c r="AQ57" s="489"/>
      <c r="AR57" s="51"/>
      <c r="AS57" s="48"/>
      <c r="AU57" s="51"/>
      <c r="AV57" s="48"/>
      <c r="AW57" s="489"/>
      <c r="AX57" s="51"/>
      <c r="AY57" s="48"/>
      <c r="BA57" s="51"/>
      <c r="BB57" s="48"/>
      <c r="BC57" s="489"/>
      <c r="BD57" s="51"/>
      <c r="BE57" s="48"/>
      <c r="BG57" s="51"/>
      <c r="BH57" s="51"/>
      <c r="BI57" s="48"/>
      <c r="BK57" s="51"/>
      <c r="BL57" s="48"/>
      <c r="BM57" s="489"/>
      <c r="BN57" s="51"/>
      <c r="BO57" s="48"/>
      <c r="BQ57" s="51"/>
      <c r="BR57" s="48"/>
      <c r="BS57" s="489"/>
      <c r="BT57" s="51"/>
      <c r="BU57" s="48"/>
      <c r="BW57" s="51"/>
      <c r="BX57" s="48"/>
      <c r="BY57" s="489"/>
      <c r="BZ57" s="51"/>
      <c r="CA57" s="48"/>
      <c r="CC57" s="51"/>
      <c r="CD57" s="48"/>
      <c r="CE57" s="489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489"/>
      <c r="J58" s="51"/>
      <c r="K58" s="48"/>
      <c r="M58" s="51"/>
      <c r="N58" s="48"/>
      <c r="O58" s="489"/>
      <c r="P58" s="51"/>
      <c r="Q58" s="48"/>
      <c r="S58" s="51"/>
      <c r="T58" s="48"/>
      <c r="U58" s="489"/>
      <c r="V58" s="51"/>
      <c r="W58" s="48"/>
      <c r="Y58" s="51"/>
      <c r="Z58" s="48"/>
      <c r="AA58" s="489"/>
      <c r="AB58" s="51"/>
      <c r="AC58" s="48"/>
      <c r="AE58" s="51"/>
      <c r="AG58" s="48"/>
      <c r="AI58" s="51"/>
      <c r="AJ58" s="48"/>
      <c r="AK58" s="489"/>
      <c r="AL58" s="51"/>
      <c r="AM58" s="48"/>
      <c r="AO58" s="51"/>
      <c r="AP58" s="48"/>
      <c r="AQ58" s="489"/>
      <c r="AR58" s="51"/>
      <c r="AS58" s="48"/>
      <c r="AU58" s="51"/>
      <c r="AV58" s="48"/>
      <c r="AW58" s="489"/>
      <c r="AX58" s="51"/>
      <c r="AY58" s="48"/>
      <c r="BA58" s="51"/>
      <c r="BB58" s="48"/>
      <c r="BC58" s="489"/>
      <c r="BD58" s="51"/>
      <c r="BE58" s="48"/>
      <c r="BG58" s="51"/>
      <c r="BH58" s="51"/>
      <c r="BI58" s="48"/>
      <c r="BK58" s="51"/>
      <c r="BL58" s="48"/>
      <c r="BM58" s="489"/>
      <c r="BN58" s="51"/>
      <c r="BO58" s="48"/>
      <c r="BQ58" s="51"/>
      <c r="BR58" s="48"/>
      <c r="BS58" s="489"/>
      <c r="BT58" s="51"/>
      <c r="BU58" s="48"/>
      <c r="BW58" s="51"/>
      <c r="BX58" s="48"/>
      <c r="BY58" s="489"/>
      <c r="BZ58" s="51"/>
      <c r="CA58" s="48"/>
      <c r="CC58" s="51"/>
      <c r="CD58" s="48"/>
      <c r="CE58" s="489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489"/>
      <c r="DE62" s="489"/>
      <c r="DF62" s="489"/>
      <c r="DG62" s="489"/>
      <c r="DH62" s="23"/>
      <c r="DI62" s="489"/>
      <c r="DJ62" s="489"/>
      <c r="DK62" s="489"/>
      <c r="DL62" s="489"/>
      <c r="DM62" s="489"/>
      <c r="DN62" s="489"/>
      <c r="DO62" s="489"/>
      <c r="DP62" s="489"/>
      <c r="DQ62" s="489"/>
      <c r="DR62" s="489"/>
      <c r="DS62" s="489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489"/>
      <c r="DE63" s="489"/>
      <c r="DF63" s="489"/>
      <c r="DG63" s="489"/>
      <c r="DH63" s="23"/>
      <c r="DI63" s="489"/>
      <c r="DJ63" s="489"/>
      <c r="DK63" s="489"/>
      <c r="DL63" s="489"/>
      <c r="DM63" s="489"/>
      <c r="DN63" s="489"/>
      <c r="DO63" s="489"/>
      <c r="DP63" s="489"/>
      <c r="DQ63" s="489"/>
      <c r="DR63" s="489"/>
      <c r="DS63" s="489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489"/>
      <c r="DE64" s="489"/>
      <c r="DF64" s="489"/>
      <c r="DG64" s="489"/>
      <c r="DH64" s="23"/>
      <c r="DI64" s="489"/>
      <c r="DJ64" s="489"/>
      <c r="DK64" s="489"/>
      <c r="DL64" s="489"/>
      <c r="DM64" s="489"/>
      <c r="DN64" s="489"/>
      <c r="DO64" s="489"/>
      <c r="DP64" s="489"/>
      <c r="DQ64" s="489"/>
      <c r="DR64" s="489"/>
      <c r="DS64" s="489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489"/>
      <c r="DE65" s="489"/>
      <c r="DF65" s="489"/>
      <c r="DG65" s="489"/>
      <c r="DH65" s="23"/>
      <c r="DI65" s="489"/>
      <c r="DJ65" s="489"/>
      <c r="DK65" s="489"/>
      <c r="DL65" s="489"/>
      <c r="DM65" s="489"/>
      <c r="DN65" s="489"/>
      <c r="DO65" s="489"/>
      <c r="DP65" s="489"/>
      <c r="DQ65" s="489"/>
      <c r="DR65" s="489"/>
      <c r="DS65" s="489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489"/>
      <c r="DE66" s="489"/>
      <c r="DF66" s="489"/>
      <c r="DG66" s="489"/>
      <c r="DH66" s="23"/>
      <c r="DI66" s="489"/>
      <c r="DJ66" s="489"/>
      <c r="DK66" s="489"/>
      <c r="DL66" s="489"/>
      <c r="DM66" s="489"/>
      <c r="DN66" s="489"/>
      <c r="DO66" s="489"/>
      <c r="DP66" s="489"/>
      <c r="DQ66" s="489"/>
      <c r="DR66" s="489"/>
      <c r="DS66" s="489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489"/>
      <c r="DE67" s="489"/>
      <c r="DF67" s="489"/>
      <c r="DG67" s="489"/>
      <c r="DH67" s="23"/>
      <c r="DI67" s="489"/>
      <c r="DJ67" s="489"/>
      <c r="DK67" s="489"/>
      <c r="DL67" s="489"/>
      <c r="DM67" s="489"/>
      <c r="DN67" s="489"/>
      <c r="DO67" s="489"/>
      <c r="DP67" s="489"/>
      <c r="DQ67" s="489"/>
      <c r="DR67" s="489"/>
      <c r="DS67" s="489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489"/>
      <c r="DE68" s="489"/>
      <c r="DF68" s="489"/>
      <c r="DG68" s="489"/>
      <c r="DH68" s="23"/>
      <c r="DI68" s="489"/>
      <c r="DJ68" s="489"/>
      <c r="DK68" s="489"/>
      <c r="DL68" s="489"/>
      <c r="DM68" s="489"/>
      <c r="DN68" s="489"/>
      <c r="DO68" s="489"/>
      <c r="DP68" s="489"/>
      <c r="DQ68" s="489"/>
      <c r="DR68" s="489"/>
      <c r="DS68" s="489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489"/>
      <c r="DE69" s="489"/>
      <c r="DF69" s="489"/>
      <c r="DG69" s="489"/>
      <c r="DH69" s="23"/>
      <c r="DI69" s="489"/>
      <c r="DJ69" s="489"/>
      <c r="DK69" s="489"/>
      <c r="DL69" s="489"/>
      <c r="DM69" s="489"/>
      <c r="DN69" s="489"/>
      <c r="DO69" s="489"/>
      <c r="DP69" s="489"/>
      <c r="DQ69" s="489"/>
      <c r="DR69" s="489"/>
      <c r="DS69" s="489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489"/>
      <c r="DE70" s="489"/>
      <c r="DF70" s="489"/>
      <c r="DG70" s="489"/>
      <c r="DH70" s="23"/>
      <c r="DI70" s="489"/>
      <c r="DJ70" s="489"/>
      <c r="DK70" s="489"/>
      <c r="DL70" s="489"/>
      <c r="DM70" s="489"/>
      <c r="DN70" s="489"/>
      <c r="DO70" s="489"/>
      <c r="DP70" s="489"/>
      <c r="DQ70" s="489"/>
      <c r="DR70" s="489"/>
      <c r="DS70" s="489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489"/>
      <c r="DE71" s="489"/>
      <c r="DF71" s="489"/>
      <c r="DG71" s="489"/>
      <c r="DH71" s="23"/>
      <c r="DI71" s="489"/>
      <c r="DJ71" s="489"/>
      <c r="DK71" s="489"/>
      <c r="DL71" s="489"/>
      <c r="DM71" s="489"/>
      <c r="DN71" s="489"/>
      <c r="DO71" s="489"/>
      <c r="DP71" s="489"/>
      <c r="DQ71" s="489"/>
      <c r="DR71" s="489"/>
      <c r="DS71" s="489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89"/>
      <c r="DE72" s="489"/>
      <c r="DF72" s="489"/>
      <c r="DG72" s="489"/>
      <c r="DH72" s="23"/>
      <c r="DI72" s="489"/>
      <c r="DJ72" s="489"/>
      <c r="DK72" s="489"/>
      <c r="DL72" s="489"/>
      <c r="DM72" s="489"/>
      <c r="DN72" s="489"/>
      <c r="DO72" s="489"/>
      <c r="DP72" s="489"/>
      <c r="DQ72" s="489"/>
      <c r="DR72" s="489"/>
      <c r="DS72" s="489"/>
    </row>
    <row r="73" spans="3:123" x14ac:dyDescent="0.2">
      <c r="CJ73" s="489"/>
      <c r="CK73" s="489"/>
      <c r="CL73" s="489"/>
      <c r="CM73" s="489"/>
      <c r="CN73" s="489"/>
      <c r="CO73" s="489"/>
      <c r="CP73" s="489"/>
      <c r="CQ73" s="489"/>
      <c r="CR73" s="489"/>
      <c r="CS73" s="22"/>
      <c r="CT73" s="489"/>
      <c r="CU73" s="489"/>
      <c r="CV73" s="489"/>
      <c r="CW73" s="489"/>
      <c r="CX73" s="489"/>
      <c r="CY73" s="489"/>
      <c r="CZ73" s="489"/>
      <c r="DA73" s="489"/>
      <c r="DB73" s="489"/>
      <c r="DC73" s="489"/>
      <c r="DD73" s="489"/>
      <c r="DE73" s="489"/>
      <c r="DF73" s="489"/>
      <c r="DG73" s="489"/>
      <c r="DH73" s="489"/>
      <c r="DI73" s="489"/>
      <c r="DJ73" s="489"/>
      <c r="DK73" s="489"/>
      <c r="DL73" s="489"/>
      <c r="DM73" s="489"/>
      <c r="DN73" s="489"/>
      <c r="DO73" s="489"/>
      <c r="DP73" s="489"/>
      <c r="DQ73" s="489"/>
      <c r="DR73" s="489"/>
      <c r="DS73" s="489"/>
    </row>
  </sheetData>
  <dataConsolidate/>
  <mergeCells count="26">
    <mergeCell ref="C2:D2"/>
    <mergeCell ref="E2:AE2"/>
    <mergeCell ref="AG2:BG2"/>
    <mergeCell ref="BI2:CI2"/>
    <mergeCell ref="CJ2:CN2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Y29:CZ29"/>
    <mergeCell ref="BE3:BG3"/>
    <mergeCell ref="BI3:BN3"/>
    <mergeCell ref="BO3:BT3"/>
    <mergeCell ref="BU3:BZ3"/>
    <mergeCell ref="CA3:CF3"/>
    <mergeCell ref="CG3:C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8ABEF-59AA-E548-9692-C98919973E41}">
  <sheetPr codeName="Sheet72"/>
  <dimension ref="A1:GO73"/>
  <sheetViews>
    <sheetView showRuler="0" zoomScale="136" zoomScaleNormal="136" workbookViewId="0">
      <pane xSplit="3" topLeftCell="AB1" activePane="topRight" state="frozen"/>
      <selection pane="topRight" activeCell="EG23" sqref="EG23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2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customWidth="1" outlineLevel="1"/>
    <col min="33" max="33" width="3.33203125" customWidth="1" outlineLevel="1"/>
    <col min="34" max="34" width="1.33203125" customWidth="1" outlineLevel="1"/>
    <col min="35" max="35" width="3.33203125" customWidth="1" outlineLevel="1"/>
    <col min="36" max="36" width="1.6640625" customWidth="1" outlineLevel="1"/>
    <col min="37" max="37" width="2.1640625" customWidth="1" outlineLevel="1"/>
    <col min="38" max="38" width="3" customWidth="1" outlineLevel="1"/>
    <col min="39" max="39" width="3.33203125" customWidth="1" outlineLevel="1"/>
    <col min="40" max="40" width="1.33203125" customWidth="1" outlineLevel="1"/>
    <col min="41" max="41" width="2.6640625" customWidth="1" outlineLevel="1"/>
    <col min="42" max="42" width="1.6640625" customWidth="1" outlineLevel="1"/>
    <col min="43" max="43" width="2" customWidth="1" outlineLevel="1"/>
    <col min="44" max="45" width="3.33203125" customWidth="1" outlineLevel="1"/>
    <col min="46" max="46" width="1.33203125" customWidth="1" outlineLevel="1"/>
    <col min="47" max="47" width="2.6640625" customWidth="1" outlineLevel="1"/>
    <col min="48" max="48" width="1.6640625" customWidth="1" outlineLevel="1"/>
    <col min="49" max="49" width="2.33203125" customWidth="1" outlineLevel="1"/>
    <col min="50" max="50" width="3.83203125" customWidth="1" outlineLevel="1"/>
    <col min="51" max="51" width="3.33203125" customWidth="1" outlineLevel="1"/>
    <col min="52" max="52" width="1.33203125" customWidth="1" outlineLevel="1"/>
    <col min="53" max="53" width="3.33203125" customWidth="1" outlineLevel="1"/>
    <col min="54" max="54" width="1.6640625" customWidth="1" outlineLevel="1"/>
    <col min="55" max="55" width="2.1640625" customWidth="1" outlineLevel="1"/>
    <col min="56" max="56" width="3.83203125" customWidth="1" outlineLevel="1"/>
    <col min="57" max="57" width="3.33203125" customWidth="1" outlineLevel="1"/>
    <col min="58" max="58" width="1.33203125" customWidth="1" outlineLevel="1"/>
    <col min="59" max="59" width="3.6640625" customWidth="1" outlineLevel="1"/>
    <col min="60" max="60" width="2.5" customWidth="1" outlineLevel="1"/>
    <col min="61" max="61" width="3.33203125" customWidth="1" outlineLevel="1"/>
    <col min="62" max="62" width="1.33203125" customWidth="1" outlineLevel="1"/>
    <col min="63" max="63" width="2.83203125" customWidth="1" outlineLevel="1"/>
    <col min="64" max="64" width="1.6640625" customWidth="1" outlineLevel="1"/>
    <col min="65" max="65" width="2.1640625" customWidth="1" outlineLevel="1"/>
    <col min="66" max="66" width="2.33203125" customWidth="1" outlineLevel="1"/>
    <col min="67" max="67" width="3.33203125" customWidth="1" outlineLevel="1"/>
    <col min="68" max="68" width="1.33203125" customWidth="1" outlineLevel="1"/>
    <col min="69" max="69" width="2.6640625" customWidth="1" outlineLevel="1"/>
    <col min="70" max="70" width="1.6640625" customWidth="1" outlineLevel="1"/>
    <col min="71" max="71" width="2.1640625" customWidth="1" outlineLevel="1"/>
    <col min="72" max="72" width="2.83203125" customWidth="1" outlineLevel="1"/>
    <col min="73" max="73" width="3.33203125" customWidth="1" outlineLevel="1"/>
    <col min="74" max="74" width="1.33203125" customWidth="1" outlineLevel="1"/>
    <col min="75" max="75" width="2.6640625" customWidth="1" outlineLevel="1"/>
    <col min="76" max="76" width="1.6640625" customWidth="1" outlineLevel="1"/>
    <col min="77" max="77" width="2" customWidth="1" outlineLevel="1"/>
    <col min="78" max="78" width="3.83203125" customWidth="1" outlineLevel="1"/>
    <col min="79" max="79" width="3.33203125" customWidth="1" outlineLevel="1"/>
    <col min="80" max="80" width="1.33203125" customWidth="1" outlineLevel="1"/>
    <col min="81" max="81" width="2.6640625" customWidth="1" outlineLevel="1"/>
    <col min="82" max="82" width="1.6640625" customWidth="1" outlineLevel="1"/>
    <col min="83" max="83" width="2.5" customWidth="1" outlineLevel="1"/>
    <col min="84" max="84" width="3.83203125" customWidth="1" outlineLevel="1"/>
    <col min="85" max="85" width="3.33203125" customWidth="1" outlineLevel="1"/>
    <col min="86" max="86" width="1.33203125" customWidth="1" outlineLevel="1"/>
    <col min="87" max="87" width="3.6640625" customWidth="1" outlineLevel="1"/>
    <col min="88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484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485"/>
      <c r="CX2" s="139"/>
      <c r="CY2" s="139"/>
      <c r="CZ2" s="139"/>
      <c r="DA2" s="139"/>
      <c r="DB2" s="485" t="s">
        <v>68</v>
      </c>
      <c r="DC2" s="485"/>
      <c r="DD2" s="346"/>
      <c r="DE2" s="346"/>
      <c r="DH2" s="346"/>
      <c r="DI2" s="346"/>
      <c r="DT2" s="489"/>
      <c r="DU2" s="489"/>
      <c r="DV2" s="489"/>
      <c r="DW2" s="489"/>
      <c r="DX2" s="489"/>
      <c r="DY2" s="489"/>
      <c r="DZ2" s="489"/>
      <c r="EA2" s="489"/>
      <c r="EB2" s="489"/>
      <c r="EC2" s="489"/>
      <c r="ED2" s="489"/>
      <c r="EE2" s="489"/>
      <c r="EF2" s="489"/>
      <c r="EG2" s="489"/>
      <c r="EH2" s="489"/>
      <c r="EI2" s="489"/>
      <c r="EJ2" s="489"/>
      <c r="EK2" s="489"/>
      <c r="EV2" s="489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485"/>
      <c r="GO2" s="489"/>
    </row>
    <row r="3" spans="1:197" ht="20" thickBot="1" x14ac:dyDescent="0.3">
      <c r="A3" s="139"/>
      <c r="B3" s="139"/>
      <c r="C3" s="112" t="s">
        <v>0</v>
      </c>
      <c r="D3" s="486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486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486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486" t="s">
        <v>57</v>
      </c>
      <c r="CK3" s="486" t="s">
        <v>58</v>
      </c>
      <c r="CL3" s="486" t="s">
        <v>247</v>
      </c>
      <c r="CM3" s="486" t="s">
        <v>248</v>
      </c>
      <c r="CN3" s="486" t="s">
        <v>59</v>
      </c>
      <c r="CO3" s="174" t="s">
        <v>61</v>
      </c>
      <c r="CP3" s="486" t="s">
        <v>221</v>
      </c>
      <c r="CQ3" s="174" t="s">
        <v>62</v>
      </c>
      <c r="CR3" s="486" t="s">
        <v>63</v>
      </c>
      <c r="CS3" s="486" t="s">
        <v>64</v>
      </c>
      <c r="CT3" s="486" t="s">
        <v>1</v>
      </c>
      <c r="CU3" s="486" t="s">
        <v>65</v>
      </c>
      <c r="CV3" s="486" t="s">
        <v>66</v>
      </c>
      <c r="CW3" s="486" t="s">
        <v>180</v>
      </c>
      <c r="CX3" s="486" t="s">
        <v>105</v>
      </c>
      <c r="CY3" s="486" t="s">
        <v>28</v>
      </c>
      <c r="CZ3" s="486" t="s">
        <v>100</v>
      </c>
      <c r="DA3" s="486" t="s">
        <v>36</v>
      </c>
      <c r="DB3" s="486" t="s">
        <v>67</v>
      </c>
      <c r="DC3" s="486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486" t="s">
        <v>38</v>
      </c>
      <c r="FG3" s="548" t="s">
        <v>39</v>
      </c>
      <c r="FH3" s="549"/>
      <c r="FI3" s="549"/>
      <c r="FJ3" s="488" t="s">
        <v>102</v>
      </c>
      <c r="FK3" s="550" t="s">
        <v>103</v>
      </c>
      <c r="FL3" s="550"/>
      <c r="FM3" s="550"/>
      <c r="FN3" s="488" t="s">
        <v>102</v>
      </c>
      <c r="FO3" s="549" t="s">
        <v>41</v>
      </c>
      <c r="FP3" s="549"/>
      <c r="FQ3" s="549"/>
      <c r="FR3" s="189" t="s">
        <v>102</v>
      </c>
      <c r="FS3" s="486" t="s">
        <v>57</v>
      </c>
      <c r="FT3" s="486" t="s">
        <v>58</v>
      </c>
      <c r="FU3" s="486" t="s">
        <v>59</v>
      </c>
      <c r="FV3" s="174" t="s">
        <v>61</v>
      </c>
      <c r="FW3" s="486" t="s">
        <v>98</v>
      </c>
      <c r="FX3" s="486" t="s">
        <v>62</v>
      </c>
      <c r="FY3" s="486" t="s">
        <v>63</v>
      </c>
      <c r="FZ3" s="486" t="s">
        <v>64</v>
      </c>
      <c r="GA3" s="486" t="s">
        <v>1</v>
      </c>
      <c r="GB3" s="486" t="s">
        <v>65</v>
      </c>
      <c r="GC3" s="174" t="s">
        <v>66</v>
      </c>
      <c r="GD3" s="199" t="s">
        <v>105</v>
      </c>
      <c r="GE3" s="486" t="s">
        <v>28</v>
      </c>
      <c r="GF3" s="486" t="s">
        <v>100</v>
      </c>
      <c r="GG3" s="173" t="s">
        <v>36</v>
      </c>
      <c r="GH3" s="486"/>
      <c r="GJ3" s="487" t="s">
        <v>106</v>
      </c>
      <c r="GK3" s="488" t="s">
        <v>107</v>
      </c>
      <c r="GL3" s="16" t="s">
        <v>108</v>
      </c>
      <c r="GM3" s="16" t="s">
        <v>109</v>
      </c>
      <c r="GN3" s="488" t="s">
        <v>110</v>
      </c>
      <c r="GO3" s="214" t="s">
        <v>111</v>
      </c>
    </row>
    <row r="4" spans="1:197" x14ac:dyDescent="0.2">
      <c r="A4" s="139"/>
      <c r="B4" s="489" t="s">
        <v>82</v>
      </c>
      <c r="C4" s="41" t="s">
        <v>205</v>
      </c>
      <c r="D4" s="161">
        <v>5.67</v>
      </c>
      <c r="E4" s="114">
        <f t="shared" ref="E4:E18" si="0">IFERROR(AG4+BI4,"0")</f>
        <v>2</v>
      </c>
      <c r="F4" s="484" t="s">
        <v>52</v>
      </c>
      <c r="G4" s="115">
        <f t="shared" ref="G4:G18" si="1">IFERROR(AI4+BK4,"0")</f>
        <v>3</v>
      </c>
      <c r="H4" s="116" t="s">
        <v>53</v>
      </c>
      <c r="I4" s="484">
        <f>IFERROR(AK4+BM4,"0")</f>
        <v>2</v>
      </c>
      <c r="J4" s="115" t="s">
        <v>54</v>
      </c>
      <c r="K4" s="116">
        <f t="shared" ref="K4:K18" si="2">IFERROR(AM4+BO4,"0")</f>
        <v>2</v>
      </c>
      <c r="L4" s="484" t="s">
        <v>52</v>
      </c>
      <c r="M4" s="115">
        <f t="shared" ref="M4:M18" si="3">IFERROR(AO4+BQ4,"0")</f>
        <v>2</v>
      </c>
      <c r="N4" s="116" t="s">
        <v>53</v>
      </c>
      <c r="O4" s="484">
        <f t="shared" ref="O4:O18" si="4">IFERROR(AQ4+BS4,"0")</f>
        <v>2</v>
      </c>
      <c r="P4" s="115" t="s">
        <v>54</v>
      </c>
      <c r="Q4" s="116">
        <f t="shared" ref="Q4:Q18" si="5">IFERROR(AS4+BU4,"0")</f>
        <v>0</v>
      </c>
      <c r="R4" s="484" t="s">
        <v>52</v>
      </c>
      <c r="S4" s="115">
        <f>IFERROR(AU4+BW4,"0")</f>
        <v>0</v>
      </c>
      <c r="T4" s="116" t="s">
        <v>53</v>
      </c>
      <c r="U4" s="484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484" t="s">
        <v>52</v>
      </c>
      <c r="Y4" s="115">
        <f t="shared" ref="Y4:Y18" si="8">IFERROR(BA4+CC4,"0")</f>
        <v>1</v>
      </c>
      <c r="Z4" s="116" t="s">
        <v>53</v>
      </c>
      <c r="AA4" s="484">
        <f t="shared" ref="AA4:AA18" si="9">IFERROR(BC4+CE4,"0")</f>
        <v>0</v>
      </c>
      <c r="AB4" s="115" t="s">
        <v>54</v>
      </c>
      <c r="AC4" s="116">
        <f>IFERROR((AE4*EZ4),"0")</f>
        <v>0</v>
      </c>
      <c r="AD4" s="484" t="s">
        <v>52</v>
      </c>
      <c r="AE4" s="117">
        <f>IFERROR((CR4*1),"0")</f>
        <v>0</v>
      </c>
      <c r="AF4" s="485"/>
      <c r="AG4" s="114">
        <f>IFERROR(AM4+AS4+AY4,"0")</f>
        <v>2</v>
      </c>
      <c r="AH4" s="484" t="s">
        <v>52</v>
      </c>
      <c r="AI4" s="115">
        <f t="shared" ref="AI4:AI18" si="10">IFERROR(AO4+AU4+BA4,"0")</f>
        <v>3</v>
      </c>
      <c r="AJ4" s="116" t="s">
        <v>53</v>
      </c>
      <c r="AK4" s="484">
        <f t="shared" ref="AK4:AK18" si="11">IFERROR(AQ4+AW4+BC4,"0")</f>
        <v>2</v>
      </c>
      <c r="AL4" s="115" t="s">
        <v>54</v>
      </c>
      <c r="AM4" s="246">
        <v>2</v>
      </c>
      <c r="AN4" s="244" t="s">
        <v>52</v>
      </c>
      <c r="AO4" s="245">
        <v>2</v>
      </c>
      <c r="AP4" s="246" t="s">
        <v>53</v>
      </c>
      <c r="AQ4" s="244">
        <v>2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1</v>
      </c>
      <c r="BB4" s="246" t="s">
        <v>53</v>
      </c>
      <c r="BC4" s="244">
        <v>0</v>
      </c>
      <c r="BD4" s="245" t="s">
        <v>54</v>
      </c>
      <c r="BE4" s="116">
        <v>0</v>
      </c>
      <c r="BF4" s="484" t="s">
        <v>52</v>
      </c>
      <c r="BG4" s="117">
        <v>0</v>
      </c>
      <c r="BH4" s="115"/>
      <c r="BI4" s="114">
        <f t="shared" ref="BI4:BI18" si="12">IFERROR(BO4+BU4+CA4,"0")</f>
        <v>0</v>
      </c>
      <c r="BJ4" s="484" t="s">
        <v>52</v>
      </c>
      <c r="BK4" s="115">
        <f>IFERROR(BQ4+BW4+CC4,"0")</f>
        <v>0</v>
      </c>
      <c r="BL4" s="116" t="s">
        <v>53</v>
      </c>
      <c r="BM4" s="484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0</v>
      </c>
      <c r="CD4" s="246" t="s">
        <v>53</v>
      </c>
      <c r="CE4" s="244">
        <v>0</v>
      </c>
      <c r="CF4" s="245" t="s">
        <v>54</v>
      </c>
      <c r="CG4" s="116">
        <v>0</v>
      </c>
      <c r="CH4" s="484" t="s">
        <v>52</v>
      </c>
      <c r="CI4" s="117">
        <v>0</v>
      </c>
      <c r="CJ4" s="140">
        <v>1</v>
      </c>
      <c r="CK4" s="148">
        <f>CL4+CM4</f>
        <v>0</v>
      </c>
      <c r="CL4" s="148">
        <v>0</v>
      </c>
      <c r="CM4" s="148">
        <v>0</v>
      </c>
      <c r="CN4" s="148">
        <f>IFERROR(CJ4+CK4,"0")</f>
        <v>1</v>
      </c>
      <c r="CO4" s="175">
        <v>0</v>
      </c>
      <c r="CP4" s="140">
        <v>1</v>
      </c>
      <c r="CQ4" s="175">
        <v>0</v>
      </c>
      <c r="CR4" s="148">
        <v>0</v>
      </c>
      <c r="CS4" s="148">
        <v>0</v>
      </c>
      <c r="CT4" s="140">
        <v>0</v>
      </c>
      <c r="CU4" s="140">
        <v>0</v>
      </c>
      <c r="CV4" s="148">
        <f>IFERROR((W4*3)+((E4-W4)*2)+EX4,"0")</f>
        <v>4</v>
      </c>
      <c r="CW4" s="140"/>
      <c r="CX4" s="140">
        <f>IFERROR(100*(EH4/EG4),"0")</f>
        <v>143.77592912003016</v>
      </c>
      <c r="CY4" s="140">
        <f t="shared" ref="CY4:CY18" si="14">IFERROR(DU4/EG4,"0")</f>
        <v>0.68884896978354626</v>
      </c>
      <c r="CZ4" s="165">
        <f t="shared" ref="CZ4:CZ18" si="15">IFERROR((EG4/(EG25*DD4)),"0")</f>
        <v>0.16555239019452675</v>
      </c>
      <c r="DA4" s="164">
        <f t="shared" ref="DA4:DA18" si="16">IFERROR(ES4+0.2*(100*ET4*(1-ER4)-ES4),"0")</f>
        <v>65.201764583655063</v>
      </c>
      <c r="DB4" s="141"/>
      <c r="DC4" s="141"/>
      <c r="DD4" s="77">
        <f>IFERROR(D4/($D$21/10),"0")</f>
        <v>0.86327649208282575</v>
      </c>
      <c r="DE4" s="37">
        <f>IFERROR(E4/G4,"0")</f>
        <v>0.66666666666666663</v>
      </c>
      <c r="DF4" s="37">
        <f>IFERROR(W4/Y4,"0")</f>
        <v>0</v>
      </c>
      <c r="DG4" s="37">
        <f>IFERROR(((E4-W4)+1.5*W4)/G4,"0")</f>
        <v>0.66666666666666663</v>
      </c>
      <c r="DH4" s="37">
        <f t="shared" ref="DH4:DH18" si="17">IFERROR(CJ4/(DD4*(CJ25+CK40)),"0")</f>
        <v>0.14479717813051149</v>
      </c>
      <c r="DI4" s="37">
        <f t="shared" ref="DI4:DI18" si="18">IFERROR(CK4/(DD4*(CK25+CJ40)),"0")</f>
        <v>0</v>
      </c>
      <c r="DJ4" s="37">
        <f t="shared" ref="DJ4:DJ18" si="19">IFERROR(CU4/(DD4*(M40)),"0")</f>
        <v>0</v>
      </c>
      <c r="DK4" s="37">
        <f t="shared" ref="DK4:DK18" si="20">IFERROR(CS4/(DD4*EG25),"0")</f>
        <v>0</v>
      </c>
      <c r="DL4" s="37">
        <f t="shared" ref="DL4:DL18" si="21">IFERROR(CO4/(DD4*(E25-E4)),"0")</f>
        <v>0</v>
      </c>
      <c r="DM4" s="37">
        <f t="shared" ref="DM4:DM18" si="22">IFERROR((CO4+CP4)/(DD4*EG25),"0")</f>
        <v>5.9465277649435336E-2</v>
      </c>
      <c r="DN4" s="37">
        <f>IFERROR(CT4/EG4,"0")</f>
        <v>0</v>
      </c>
      <c r="DO4" s="37" t="str">
        <f>IFERROR(CO4/CT4,"0")</f>
        <v>0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30.303350970017632</v>
      </c>
      <c r="DU4" s="18">
        <f t="shared" ref="DU4:DU20" si="23">IFERROR((DV4+DX4+DY4)*(1-(CJ25/EZ25)*EA4*EC4)+ED4,"0")</f>
        <v>1.917767778753259</v>
      </c>
      <c r="DV4" s="13">
        <f>IFERROR(E4*(1-0.5*((CV4-EX4)/(2*G4))*DW4),"0")</f>
        <v>1.5673133055879254</v>
      </c>
      <c r="DW4" s="14">
        <f t="shared" ref="DW4:DW20" si="24">IFERROR(((D4/(D25/5))*(1.14*((CO25-CO4)/E25)))+((((CO25/D25)*D4*5-CO4)/((E25/D25)*D4*5-E4))*(1-(D4/(D25/5)))),"0")</f>
        <v>0.64903004161811195</v>
      </c>
      <c r="DX4" s="14">
        <f t="shared" ref="DX4:DX20" si="25">IFERROR(0.5*(((CV25-EX25)-(CV4-EX4))/(2*(G25-G4)))*CO4,"0")</f>
        <v>0</v>
      </c>
      <c r="DY4" s="14" t="str">
        <f>IFERROR((1-(1-(EX4/EY4))^2)*0.4*EY4,"0")</f>
        <v>0</v>
      </c>
      <c r="DZ4" s="15">
        <f t="shared" ref="DZ4:DZ20" si="26">IFERROR(E25+(1-(1-(EX25/EY25))^2)*EY25*0.4,"0")</f>
        <v>10.151999999999999</v>
      </c>
      <c r="EA4" s="14">
        <f>IFERROR(((1-EB4)*EC4)/((1-EB4)*EC4+EB4*(1-EC4)),"0")</f>
        <v>0.86545206547155107</v>
      </c>
      <c r="EB4" s="14">
        <f t="shared" ref="EB4:EB20" si="27">IFERROR(CJ25/(CJ25+(CN40-CJ40)),"0")</f>
        <v>0.125</v>
      </c>
      <c r="EC4" s="14">
        <f t="shared" ref="EC4:EC20" si="28">IFERROR(DZ4/((G25+(EY25*0.4))+CT25),"0")</f>
        <v>0.47886792452830185</v>
      </c>
      <c r="ED4" s="14">
        <f>IFERROR(CJ4*EA4*EC4,"0")</f>
        <v>0.41443723437109364</v>
      </c>
      <c r="EE4" s="19">
        <f>IFERROR((G4-E4)*(1-1.07*EB4),"0")</f>
        <v>0.86624999999999996</v>
      </c>
      <c r="EF4" s="67" t="str">
        <f>IFERROR(((1-(EX4/EY4))^2)*0.4*EY4,"0")</f>
        <v>0</v>
      </c>
      <c r="EG4" s="74">
        <f>IFERROR(DU4+EE4+EF4+CT4,"0")</f>
        <v>2.7840177787532587</v>
      </c>
      <c r="EH4" s="27">
        <f>IFERROR((EI4+EJ4+EX4)*(1-(CJ25/DZ4)*EA4*EC4)+EK4,"0")</f>
        <v>4.0027474282693234</v>
      </c>
      <c r="EI4" s="25">
        <f>IFERROR(2*((E4)+(0.5*W4))*(1-0.5*((CV4-EX4)/(2*(G4)))*DW4),"0")</f>
        <v>3.1346266111758507</v>
      </c>
      <c r="EJ4" s="25">
        <f>IFERROR(2*((E25-E4+0.5*(W25-W4))/(E25-E4))*0.5*(((CV25-EX25)-(CV4-EX4))/(2*(G25-G4)))*CO4,"0")</f>
        <v>0</v>
      </c>
      <c r="EK4" s="26">
        <f t="shared" ref="EK4:EK20" si="29">IFERROR(CJ4*EA4*EC4*(CV25/(E25+(1-(1-(EX25/EY25))^2)*0.4*EY25)),"0")</f>
        <v>0.99608633950499248</v>
      </c>
      <c r="EL4" s="29">
        <f>IFERROR((EN4*(1-EM4))/(EN4*(1-EM4)+(1-EN4)*EM4),"0")</f>
        <v>0.33333333333333331</v>
      </c>
      <c r="EM4" s="30">
        <f t="shared" ref="EM4:EM20" si="30">IFERROR(CJ40/(CJ40+CK25),"0")</f>
        <v>0.5</v>
      </c>
      <c r="EN4" s="30">
        <f t="shared" ref="EN4:EN20" si="31">IFERROR(E40/G40,"0")</f>
        <v>0.33333333333333331</v>
      </c>
      <c r="EO4" s="31">
        <f>IFERROR(CS4+CU4*EL4*(1-1.07*EM4)+CK4*(1-EL4),"0")</f>
        <v>0</v>
      </c>
      <c r="EP4" s="31">
        <f t="shared" ref="EP4:EP20" si="32">IFERROR((((G40-E40-CU25)/D25)*EL4*(1-1.07*EM4)+((CT40-CS25)/D25))*D4+(CQ4/CQ25)*0.4*EY40*(1-(EX40/EY40))^2,"0")</f>
        <v>0.59825060901339833</v>
      </c>
      <c r="EQ4" s="31">
        <f>IFERROR(EO4+EP4,"0")</f>
        <v>0.59825060901339833</v>
      </c>
      <c r="ER4" s="93">
        <f t="shared" ref="ER4:ER20" si="33">IFERROR((EQ4*D40)/(EG25*D4),"0")</f>
        <v>0.17787569284462756</v>
      </c>
      <c r="ES4" s="109">
        <f t="shared" ref="ES4:ES20" si="34">IFERROR(100*(CV40/EG25),"0")</f>
        <v>33.111059707008586</v>
      </c>
      <c r="ET4" s="32">
        <f t="shared" ref="ET4:ET20" si="35">IFERROR(CV40/(E40+(1-(1-(EX40/EY40))^2)*EY40*0.4),"0")</f>
        <v>2.354444241649936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6">D4</f>
        <v>5.67</v>
      </c>
      <c r="FG4" s="182">
        <f t="shared" si="36"/>
        <v>2</v>
      </c>
      <c r="FH4" s="183" t="s">
        <v>52</v>
      </c>
      <c r="FI4" s="184">
        <f>G4</f>
        <v>3</v>
      </c>
      <c r="FJ4" s="193">
        <f>IFERROR(FG4/FI4,"0")</f>
        <v>0.66666666666666663</v>
      </c>
      <c r="FK4" s="185">
        <f t="shared" ref="FK4:FK18" si="37">W4</f>
        <v>0</v>
      </c>
      <c r="FL4" s="183" t="s">
        <v>52</v>
      </c>
      <c r="FM4" s="186">
        <f t="shared" ref="FM4:FM18" si="38">Y4</f>
        <v>1</v>
      </c>
      <c r="FN4" s="193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9">CJ4</f>
        <v>1</v>
      </c>
      <c r="FT4" s="179">
        <f t="shared" si="39"/>
        <v>0</v>
      </c>
      <c r="FU4" s="179">
        <f t="shared" ref="FU4:GC19" si="40">CN4</f>
        <v>1</v>
      </c>
      <c r="FV4" s="187">
        <f t="shared" si="40"/>
        <v>0</v>
      </c>
      <c r="FW4" s="179">
        <f t="shared" si="40"/>
        <v>1</v>
      </c>
      <c r="FX4" s="179">
        <f t="shared" si="40"/>
        <v>0</v>
      </c>
      <c r="FY4" s="179">
        <f t="shared" si="40"/>
        <v>0</v>
      </c>
      <c r="FZ4" s="179">
        <f t="shared" si="40"/>
        <v>0</v>
      </c>
      <c r="GA4" s="179">
        <f t="shared" si="40"/>
        <v>0</v>
      </c>
      <c r="GB4" s="179">
        <f t="shared" si="40"/>
        <v>0</v>
      </c>
      <c r="GC4" s="187">
        <f t="shared" si="40"/>
        <v>4</v>
      </c>
      <c r="GD4" s="203">
        <f>CX4</f>
        <v>143.77592912003016</v>
      </c>
      <c r="GE4" s="179">
        <f>CY4</f>
        <v>0.68884896978354626</v>
      </c>
      <c r="GF4" s="179">
        <f>CZ4</f>
        <v>0.16555239019452675</v>
      </c>
      <c r="GG4" s="258">
        <f>DA4</f>
        <v>65.201764583655063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0.6923076923076924</v>
      </c>
      <c r="GN4" s="24">
        <f>GK4+(GL4/10)+(GJ4*GM4*(1-(CJ26/(CJ26+CK25))))+(CK4*(1-GM4))</f>
        <v>0</v>
      </c>
      <c r="GO4" s="213">
        <f>GN4/(DD4*EG26)</f>
        <v>0</v>
      </c>
    </row>
    <row r="5" spans="1:197" x14ac:dyDescent="0.2">
      <c r="A5" s="139"/>
      <c r="B5" s="89" t="s">
        <v>82</v>
      </c>
      <c r="C5" s="41" t="s">
        <v>206</v>
      </c>
      <c r="D5" s="161">
        <v>0</v>
      </c>
      <c r="E5" s="114">
        <f t="shared" si="0"/>
        <v>0</v>
      </c>
      <c r="F5" s="484" t="s">
        <v>52</v>
      </c>
      <c r="G5" s="115">
        <f t="shared" si="1"/>
        <v>0</v>
      </c>
      <c r="H5" s="116" t="s">
        <v>53</v>
      </c>
      <c r="I5" s="484">
        <f t="shared" ref="I5:I18" si="41">IFERROR(AK5+BM5,"0")</f>
        <v>0</v>
      </c>
      <c r="J5" s="115" t="s">
        <v>54</v>
      </c>
      <c r="K5" s="116">
        <f t="shared" si="2"/>
        <v>0</v>
      </c>
      <c r="L5" s="484" t="s">
        <v>52</v>
      </c>
      <c r="M5" s="115">
        <f t="shared" si="3"/>
        <v>0</v>
      </c>
      <c r="N5" s="116" t="s">
        <v>53</v>
      </c>
      <c r="O5" s="484">
        <f t="shared" si="4"/>
        <v>0</v>
      </c>
      <c r="P5" s="115" t="s">
        <v>54</v>
      </c>
      <c r="Q5" s="116">
        <f t="shared" si="5"/>
        <v>0</v>
      </c>
      <c r="R5" s="484" t="s">
        <v>52</v>
      </c>
      <c r="S5" s="115">
        <f t="shared" ref="S5:S18" si="42">IFERROR(AU5+BW5,"0")</f>
        <v>0</v>
      </c>
      <c r="T5" s="116" t="s">
        <v>53</v>
      </c>
      <c r="U5" s="484">
        <f t="shared" si="6"/>
        <v>0</v>
      </c>
      <c r="V5" s="115" t="s">
        <v>54</v>
      </c>
      <c r="W5" s="116">
        <f t="shared" si="7"/>
        <v>0</v>
      </c>
      <c r="X5" s="484" t="s">
        <v>52</v>
      </c>
      <c r="Y5" s="115">
        <f t="shared" si="8"/>
        <v>0</v>
      </c>
      <c r="Z5" s="116" t="s">
        <v>53</v>
      </c>
      <c r="AA5" s="484">
        <f t="shared" si="9"/>
        <v>0</v>
      </c>
      <c r="AB5" s="115" t="s">
        <v>54</v>
      </c>
      <c r="AC5" s="116">
        <f t="shared" ref="AC5:AC18" si="43">IFERROR((AE5*EZ5),"0")</f>
        <v>0</v>
      </c>
      <c r="AD5" s="484" t="s">
        <v>52</v>
      </c>
      <c r="AE5" s="117">
        <f t="shared" ref="AE5:AE18" si="44">IFERROR((CR5*1),"0")</f>
        <v>0</v>
      </c>
      <c r="AF5" s="485"/>
      <c r="AG5" s="114">
        <f t="shared" ref="AG5:AG17" si="45">IFERROR(AM5+AS5+AY5,"0")</f>
        <v>0</v>
      </c>
      <c r="AH5" s="484" t="s">
        <v>52</v>
      </c>
      <c r="AI5" s="115">
        <f t="shared" si="10"/>
        <v>0</v>
      </c>
      <c r="AJ5" s="116" t="s">
        <v>53</v>
      </c>
      <c r="AK5" s="484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0</v>
      </c>
      <c r="BB5" s="246" t="s">
        <v>53</v>
      </c>
      <c r="BC5" s="244">
        <v>0</v>
      </c>
      <c r="BD5" s="245" t="s">
        <v>54</v>
      </c>
      <c r="BE5" s="116">
        <v>0</v>
      </c>
      <c r="BF5" s="484" t="s">
        <v>52</v>
      </c>
      <c r="BG5" s="117">
        <v>0</v>
      </c>
      <c r="BH5" s="115"/>
      <c r="BI5" s="114">
        <f t="shared" si="12"/>
        <v>0</v>
      </c>
      <c r="BJ5" s="484" t="s">
        <v>52</v>
      </c>
      <c r="BK5" s="115">
        <f t="shared" ref="BK5:BK18" si="46">IFERROR(BQ5+BW5+CC5,"0")</f>
        <v>0</v>
      </c>
      <c r="BL5" s="116" t="s">
        <v>53</v>
      </c>
      <c r="BM5" s="484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484" t="s">
        <v>52</v>
      </c>
      <c r="CI5" s="117">
        <v>0</v>
      </c>
      <c r="CJ5" s="148">
        <v>0</v>
      </c>
      <c r="CK5" s="148">
        <f t="shared" ref="CK5:CK18" si="47">CL5+CM5</f>
        <v>0</v>
      </c>
      <c r="CL5" s="148">
        <v>0</v>
      </c>
      <c r="CM5" s="148">
        <v>0</v>
      </c>
      <c r="CN5" s="148">
        <f t="shared" ref="CN5:CN20" si="48">IFERROR(CJ5+CK5,"0")</f>
        <v>0</v>
      </c>
      <c r="CO5" s="175">
        <v>0</v>
      </c>
      <c r="CP5" s="140">
        <v>0</v>
      </c>
      <c r="CQ5" s="175">
        <v>0</v>
      </c>
      <c r="CR5" s="148">
        <v>0</v>
      </c>
      <c r="CS5" s="148">
        <v>0</v>
      </c>
      <c r="CT5" s="140">
        <v>0</v>
      </c>
      <c r="CU5" s="140">
        <v>0</v>
      </c>
      <c r="CV5" s="148">
        <f t="shared" ref="CV5:CV18" si="49">IFERROR((W5*3)+((E5-W5)*2)+EX5,"0")</f>
        <v>0</v>
      </c>
      <c r="CW5" s="140"/>
      <c r="CX5" s="140" t="str">
        <f t="shared" ref="CX5:CX18" si="50">IFERROR(100*(EH5/EG5),"0")</f>
        <v>0</v>
      </c>
      <c r="CY5" s="140" t="str">
        <f t="shared" si="14"/>
        <v>0</v>
      </c>
      <c r="CZ5" s="165" t="str">
        <f t="shared" si="15"/>
        <v>0</v>
      </c>
      <c r="DA5" s="164">
        <f t="shared" si="16"/>
        <v>73.577732598605593</v>
      </c>
      <c r="DB5" s="141"/>
      <c r="DC5" s="141"/>
      <c r="DD5" s="77">
        <f t="shared" ref="DD5:DD18" si="51">IFERROR(D5/($D$21/10),"0")</f>
        <v>0</v>
      </c>
      <c r="DE5" s="37" t="str">
        <f t="shared" ref="DE5:DE18" si="52">IFERROR(E5/G5,"0")</f>
        <v>0</v>
      </c>
      <c r="DF5" s="37" t="str">
        <f t="shared" ref="DF5:DF18" si="53">IFERROR(W5/Y5,"0")</f>
        <v>0</v>
      </c>
      <c r="DG5" s="37" t="str">
        <f t="shared" ref="DG5:DG18" si="54">IFERROR(((E5-W5)+1.5*W5)/G5,"0")</f>
        <v>0</v>
      </c>
      <c r="DH5" s="37" t="str">
        <f t="shared" si="17"/>
        <v>0</v>
      </c>
      <c r="DI5" s="37" t="str">
        <f t="shared" si="18"/>
        <v>0</v>
      </c>
      <c r="DJ5" s="37" t="str">
        <f t="shared" si="19"/>
        <v>0</v>
      </c>
      <c r="DK5" s="37" t="str">
        <f t="shared" si="20"/>
        <v>0</v>
      </c>
      <c r="DL5" s="37" t="str">
        <f t="shared" si="21"/>
        <v>0</v>
      </c>
      <c r="DM5" s="37" t="str">
        <f t="shared" si="22"/>
        <v>0</v>
      </c>
      <c r="DN5" s="37" t="str">
        <f t="shared" ref="DN5:DN18" si="55">IFERROR(CT5/EG5,"0")</f>
        <v>0</v>
      </c>
      <c r="DO5" s="37" t="str">
        <f t="shared" ref="DO5:DO18" si="56">IFERROR(CO5/CT5,"0")</f>
        <v>0</v>
      </c>
      <c r="DP5" s="66" t="str">
        <f t="shared" ref="DP5:DP18" si="57">IFERROR((40/D5)*CQ5,"0")</f>
        <v>0</v>
      </c>
      <c r="DQ5" s="78" t="str">
        <f t="shared" ref="DQ5:DQ18" si="58">IFERROR((40/D5)*CR5,"0")</f>
        <v>0</v>
      </c>
      <c r="DR5" s="6"/>
      <c r="DS5" s="36"/>
      <c r="DT5" s="75" t="str">
        <f t="shared" ref="DT5:DT18" si="59">IFERROR(((E5*85.91)+(CS5*53.897)+(W5*51.757)+(EX5*46.845)+(CU5*39.19)+(CJ5*39.19)+(CO5*34.677)+(CK5*14.707)-(CQ5*17.174)-((EY5-EX5)*20.091)-((G5-E5)*39.19)-(CT5*53.897))*(1/D5),"0")</f>
        <v>0</v>
      </c>
      <c r="DU5" s="18">
        <f t="shared" si="23"/>
        <v>0</v>
      </c>
      <c r="DV5" s="13" t="str">
        <f t="shared" ref="DV5:DV20" si="60">IFERROR(E5*(1-0.5*((CV5-EX5)/(2*G5))*DW5),"0")</f>
        <v>0</v>
      </c>
      <c r="DW5" s="14" t="str">
        <f t="shared" si="24"/>
        <v>0</v>
      </c>
      <c r="DX5" s="14">
        <f t="shared" si="25"/>
        <v>0</v>
      </c>
      <c r="DY5" s="14" t="str">
        <f t="shared" ref="DY5:DY20" si="61">IFERROR((1-(1-(EX5/EY5))^2)*0.4*EY5,"0")</f>
        <v>0</v>
      </c>
      <c r="DZ5" s="15">
        <f t="shared" si="26"/>
        <v>10.151999999999999</v>
      </c>
      <c r="EA5" s="14">
        <f t="shared" ref="EA5:EA20" si="62">IFERROR(((1-EB5)*EC5)/((1-EB5)*EC5+EB5*(1-EC5)),"0")</f>
        <v>0.86545206547155107</v>
      </c>
      <c r="EB5" s="14">
        <f t="shared" si="27"/>
        <v>0.125</v>
      </c>
      <c r="EC5" s="14">
        <f t="shared" si="28"/>
        <v>0.47886792452830185</v>
      </c>
      <c r="ED5" s="14">
        <f t="shared" ref="ED5:ED20" si="63">IFERROR(CJ5*EA5*EC5,"0")</f>
        <v>0</v>
      </c>
      <c r="EE5" s="19">
        <f t="shared" ref="EE5:EE20" si="64">IFERROR((G5-E5)*(1-1.07*EB5),"0")</f>
        <v>0</v>
      </c>
      <c r="EF5" s="67" t="str">
        <f t="shared" ref="EF5:EF20" si="65">IFERROR(((1-(EX5/EY5))^2)*0.4*EY5,"0")</f>
        <v>0</v>
      </c>
      <c r="EG5" s="74">
        <f t="shared" ref="EG5:EG20" si="66">IFERROR(DU5+EE5+EF5+CT5,"0")</f>
        <v>0</v>
      </c>
      <c r="EH5" s="27">
        <f t="shared" ref="EH5:EH20" si="67">IFERROR((EI5+EJ5+EX5)*(1-(CJ26/DZ5)*EA5*EC5)+EK5,"0")</f>
        <v>0</v>
      </c>
      <c r="EI5" s="25" t="str">
        <f t="shared" ref="EI5:EI20" si="68">IFERROR(2*((E5)+(0.5*W5))*(1-0.5*((CV5-EX5)/(2*(G5)))*DW5),"0")</f>
        <v>0</v>
      </c>
      <c r="EJ5" s="25">
        <f t="shared" ref="EJ5:EJ20" si="69">IFERROR(2*((E26-E5+0.5*(W26-W5))/(E26-E5))*0.5*(((CV26-EX26)-(CV5-EX5))/(2*(G26-G5)))*CO5,"0")</f>
        <v>0</v>
      </c>
      <c r="EK5" s="26">
        <f t="shared" si="29"/>
        <v>0</v>
      </c>
      <c r="EL5" s="29">
        <f t="shared" ref="EL5:EL20" si="70">IFERROR((EN5*(1-EM5))/(EN5*(1-EM5)+(1-EN5)*EM5),"0")</f>
        <v>0.33333333333333331</v>
      </c>
      <c r="EM5" s="30">
        <f t="shared" si="30"/>
        <v>0.5</v>
      </c>
      <c r="EN5" s="30">
        <f t="shared" si="31"/>
        <v>0.33333333333333331</v>
      </c>
      <c r="EO5" s="31">
        <f t="shared" ref="EO5:EO20" si="71">IFERROR(CS5+CU5*EL5*(1-1.07*EM5)+CK5*(1-EL5),"0")</f>
        <v>0</v>
      </c>
      <c r="EP5" s="31">
        <f t="shared" si="32"/>
        <v>0</v>
      </c>
      <c r="EQ5" s="31">
        <f t="shared" ref="EQ5:EQ20" si="72">IFERROR(EO5+EP5,"0")</f>
        <v>0</v>
      </c>
      <c r="ER5" s="93" t="str">
        <f t="shared" si="33"/>
        <v>0</v>
      </c>
      <c r="ES5" s="109">
        <f t="shared" si="34"/>
        <v>33.111059707008586</v>
      </c>
      <c r="ET5" s="32">
        <f t="shared" si="35"/>
        <v>2.354444241649936</v>
      </c>
      <c r="EV5" s="277"/>
      <c r="EW5" s="278"/>
      <c r="EX5" s="37">
        <f>AC5</f>
        <v>0</v>
      </c>
      <c r="EY5" s="72">
        <f t="shared" ref="EY5:EY16" si="73">AE5</f>
        <v>0</v>
      </c>
      <c r="EZ5" s="7">
        <v>0.75</v>
      </c>
      <c r="FB5" s="41"/>
      <c r="FC5" s="139"/>
      <c r="FD5" s="489" t="s">
        <v>82</v>
      </c>
      <c r="FE5" s="41" t="s">
        <v>234</v>
      </c>
      <c r="FF5" s="147">
        <f t="shared" si="36"/>
        <v>0</v>
      </c>
      <c r="FG5" s="144">
        <f t="shared" si="36"/>
        <v>0</v>
      </c>
      <c r="FH5" s="484" t="s">
        <v>52</v>
      </c>
      <c r="FI5" s="145">
        <f t="shared" ref="FI5:FI23" si="74">G5</f>
        <v>0</v>
      </c>
      <c r="FJ5" s="194" t="str">
        <f t="shared" ref="FJ5:FJ23" si="75">IFERROR(FG5/FI5,"0")</f>
        <v>0</v>
      </c>
      <c r="FK5" s="110">
        <f t="shared" si="37"/>
        <v>0</v>
      </c>
      <c r="FL5" s="484" t="s">
        <v>52</v>
      </c>
      <c r="FM5" s="168">
        <f t="shared" si="38"/>
        <v>0</v>
      </c>
      <c r="FN5" s="194" t="str">
        <f t="shared" ref="FN5:FN23" si="76">IFERROR(FK5/FM5,"0")</f>
        <v>0</v>
      </c>
      <c r="FO5" s="262">
        <f t="shared" ref="FO5:FO18" si="77">EV5</f>
        <v>0</v>
      </c>
      <c r="FP5" s="484" t="s">
        <v>52</v>
      </c>
      <c r="FQ5" s="274">
        <f t="shared" ref="FQ5:FQ17" si="78">EW5</f>
        <v>0</v>
      </c>
      <c r="FR5" s="197" t="str">
        <f t="shared" ref="FR5:FR23" si="79">IFERROR(FO5/FQ5,"0")</f>
        <v>0</v>
      </c>
      <c r="FS5" s="140">
        <f t="shared" si="39"/>
        <v>0</v>
      </c>
      <c r="FT5" s="140">
        <f t="shared" si="39"/>
        <v>0</v>
      </c>
      <c r="FU5" s="140">
        <f t="shared" si="40"/>
        <v>0</v>
      </c>
      <c r="FV5" s="175">
        <f t="shared" si="40"/>
        <v>0</v>
      </c>
      <c r="FW5" s="140">
        <f t="shared" si="40"/>
        <v>0</v>
      </c>
      <c r="FX5" s="140">
        <f t="shared" si="40"/>
        <v>0</v>
      </c>
      <c r="FY5" s="140">
        <f t="shared" si="40"/>
        <v>0</v>
      </c>
      <c r="FZ5" s="140">
        <f t="shared" si="40"/>
        <v>0</v>
      </c>
      <c r="GA5" s="140">
        <f t="shared" si="40"/>
        <v>0</v>
      </c>
      <c r="GB5" s="140">
        <f t="shared" si="40"/>
        <v>0</v>
      </c>
      <c r="GC5" s="175">
        <f t="shared" si="40"/>
        <v>0</v>
      </c>
      <c r="GD5" s="202" t="str">
        <f t="shared" ref="GD5:GG18" si="80">CX5</f>
        <v>0</v>
      </c>
      <c r="GE5" s="140" t="str">
        <f t="shared" si="80"/>
        <v>0</v>
      </c>
      <c r="GF5" s="140" t="str">
        <f t="shared" si="80"/>
        <v>0</v>
      </c>
      <c r="GG5" s="259">
        <f t="shared" si="80"/>
        <v>73.577732598605593</v>
      </c>
      <c r="GH5" s="140"/>
      <c r="GJ5" s="82"/>
      <c r="GK5" s="24"/>
      <c r="GL5" s="185">
        <f>(CQ5/CQ27)*(EY28-EX28)</f>
        <v>0</v>
      </c>
      <c r="GM5" s="185">
        <f>((E28/G28)*(1-(CJ28/(CJ28+CK27))))/((E28/G28)*(1-(CJ28/(CJ28+CK27)))+((1-(E28/G28)))*(CJ28/(CJ28+CK27)))</f>
        <v>0.88732394366197176</v>
      </c>
      <c r="GN5" s="24">
        <f>GK5+(GL5/10)+(GJ5*GM5*(1-(CJ28/(CJ28+CK27))))+(CK5*(1-GM5))</f>
        <v>0</v>
      </c>
      <c r="GO5" s="213" t="e">
        <f>GN5/(DD5*EG28)</f>
        <v>#DIV/0!</v>
      </c>
    </row>
    <row r="6" spans="1:197" x14ac:dyDescent="0.2">
      <c r="A6" s="139"/>
      <c r="B6" s="89" t="s">
        <v>117</v>
      </c>
      <c r="C6" s="41" t="s">
        <v>207</v>
      </c>
      <c r="D6" s="161">
        <v>6.02</v>
      </c>
      <c r="E6" s="114">
        <f t="shared" si="0"/>
        <v>0</v>
      </c>
      <c r="F6" s="484" t="s">
        <v>52</v>
      </c>
      <c r="G6" s="115">
        <f t="shared" si="1"/>
        <v>0</v>
      </c>
      <c r="H6" s="116" t="s">
        <v>53</v>
      </c>
      <c r="I6" s="484">
        <f t="shared" si="41"/>
        <v>0</v>
      </c>
      <c r="J6" s="115" t="s">
        <v>54</v>
      </c>
      <c r="K6" s="116">
        <f t="shared" si="2"/>
        <v>0</v>
      </c>
      <c r="L6" s="484" t="s">
        <v>52</v>
      </c>
      <c r="M6" s="115">
        <f t="shared" si="3"/>
        <v>0</v>
      </c>
      <c r="N6" s="116" t="s">
        <v>53</v>
      </c>
      <c r="O6" s="484">
        <f t="shared" si="4"/>
        <v>0</v>
      </c>
      <c r="P6" s="115" t="s">
        <v>54</v>
      </c>
      <c r="Q6" s="116">
        <f t="shared" si="5"/>
        <v>0</v>
      </c>
      <c r="R6" s="484" t="s">
        <v>52</v>
      </c>
      <c r="S6" s="115">
        <f t="shared" si="42"/>
        <v>0</v>
      </c>
      <c r="T6" s="116" t="s">
        <v>53</v>
      </c>
      <c r="U6" s="484">
        <f t="shared" si="6"/>
        <v>0</v>
      </c>
      <c r="V6" s="115" t="s">
        <v>54</v>
      </c>
      <c r="W6" s="116">
        <f t="shared" si="7"/>
        <v>0</v>
      </c>
      <c r="X6" s="484" t="s">
        <v>52</v>
      </c>
      <c r="Y6" s="115">
        <f t="shared" si="8"/>
        <v>0</v>
      </c>
      <c r="Z6" s="116" t="s">
        <v>53</v>
      </c>
      <c r="AA6" s="484">
        <f t="shared" si="9"/>
        <v>0</v>
      </c>
      <c r="AB6" s="115" t="s">
        <v>54</v>
      </c>
      <c r="AC6" s="116">
        <f t="shared" si="43"/>
        <v>0</v>
      </c>
      <c r="AD6" s="484" t="s">
        <v>52</v>
      </c>
      <c r="AE6" s="117">
        <f t="shared" si="44"/>
        <v>0</v>
      </c>
      <c r="AF6" s="485"/>
      <c r="AG6" s="114">
        <f t="shared" si="45"/>
        <v>0</v>
      </c>
      <c r="AH6" s="484" t="s">
        <v>52</v>
      </c>
      <c r="AI6" s="115">
        <f t="shared" si="10"/>
        <v>0</v>
      </c>
      <c r="AJ6" s="116" t="s">
        <v>53</v>
      </c>
      <c r="AK6" s="484">
        <f t="shared" si="11"/>
        <v>0</v>
      </c>
      <c r="AL6" s="115" t="s">
        <v>54</v>
      </c>
      <c r="AM6" s="246">
        <v>0</v>
      </c>
      <c r="AN6" s="244" t="s">
        <v>52</v>
      </c>
      <c r="AO6" s="245">
        <v>0</v>
      </c>
      <c r="AP6" s="246" t="s">
        <v>53</v>
      </c>
      <c r="AQ6" s="244">
        <v>0</v>
      </c>
      <c r="AR6" s="245" t="s">
        <v>54</v>
      </c>
      <c r="AS6" s="246">
        <v>0</v>
      </c>
      <c r="AT6" s="244" t="s">
        <v>52</v>
      </c>
      <c r="AU6" s="245">
        <v>0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484" t="s">
        <v>52</v>
      </c>
      <c r="BG6" s="117">
        <v>0</v>
      </c>
      <c r="BH6" s="115"/>
      <c r="BI6" s="114">
        <f t="shared" si="12"/>
        <v>0</v>
      </c>
      <c r="BJ6" s="484" t="s">
        <v>52</v>
      </c>
      <c r="BK6" s="115">
        <f t="shared" si="46"/>
        <v>0</v>
      </c>
      <c r="BL6" s="116" t="s">
        <v>53</v>
      </c>
      <c r="BM6" s="484">
        <f t="shared" si="13"/>
        <v>0</v>
      </c>
      <c r="BN6" s="115" t="s">
        <v>54</v>
      </c>
      <c r="BO6" s="246">
        <v>0</v>
      </c>
      <c r="BP6" s="244" t="s">
        <v>52</v>
      </c>
      <c r="BQ6" s="245">
        <v>0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484" t="s">
        <v>52</v>
      </c>
      <c r="CI6" s="117">
        <v>0</v>
      </c>
      <c r="CJ6" s="140">
        <v>0</v>
      </c>
      <c r="CK6" s="148">
        <f t="shared" si="47"/>
        <v>1</v>
      </c>
      <c r="CL6" s="148">
        <v>0</v>
      </c>
      <c r="CM6" s="148">
        <v>1</v>
      </c>
      <c r="CN6" s="148">
        <f t="shared" si="48"/>
        <v>1</v>
      </c>
      <c r="CO6" s="175">
        <v>0</v>
      </c>
      <c r="CP6" s="140">
        <v>0</v>
      </c>
      <c r="CQ6" s="175">
        <v>0</v>
      </c>
      <c r="CR6" s="148">
        <v>0</v>
      </c>
      <c r="CS6" s="148">
        <v>0</v>
      </c>
      <c r="CT6" s="140">
        <v>0</v>
      </c>
      <c r="CU6" s="140">
        <v>0</v>
      </c>
      <c r="CV6" s="148">
        <f t="shared" si="49"/>
        <v>0</v>
      </c>
      <c r="CW6" s="140"/>
      <c r="CX6" s="140" t="str">
        <f t="shared" si="50"/>
        <v>0</v>
      </c>
      <c r="CY6" s="140" t="str">
        <f t="shared" si="14"/>
        <v>0</v>
      </c>
      <c r="CZ6" s="165">
        <f t="shared" si="15"/>
        <v>0</v>
      </c>
      <c r="DA6" s="164">
        <f t="shared" si="16"/>
        <v>155.90289354469223</v>
      </c>
      <c r="DB6" s="141"/>
      <c r="DC6" s="141"/>
      <c r="DD6" s="77">
        <f t="shared" si="51"/>
        <v>0.91656516443361735</v>
      </c>
      <c r="DE6" s="37" t="str">
        <f t="shared" si="52"/>
        <v>0</v>
      </c>
      <c r="DF6" s="37" t="str">
        <f t="shared" si="53"/>
        <v>0</v>
      </c>
      <c r="DG6" s="37" t="str">
        <f t="shared" si="54"/>
        <v>0</v>
      </c>
      <c r="DH6" s="37">
        <f t="shared" si="17"/>
        <v>0</v>
      </c>
      <c r="DI6" s="37">
        <f t="shared" si="18"/>
        <v>0.13637873754152827</v>
      </c>
      <c r="DJ6" s="37">
        <f t="shared" si="19"/>
        <v>0</v>
      </c>
      <c r="DK6" s="37">
        <f t="shared" si="20"/>
        <v>0</v>
      </c>
      <c r="DL6" s="37">
        <f t="shared" si="21"/>
        <v>0</v>
      </c>
      <c r="DM6" s="37">
        <f t="shared" si="22"/>
        <v>0</v>
      </c>
      <c r="DN6" s="37" t="str">
        <f t="shared" si="55"/>
        <v>0</v>
      </c>
      <c r="DO6" s="37" t="str">
        <f t="shared" si="56"/>
        <v>0</v>
      </c>
      <c r="DP6" s="66">
        <f t="shared" si="57"/>
        <v>0</v>
      </c>
      <c r="DQ6" s="78">
        <f t="shared" si="58"/>
        <v>0</v>
      </c>
      <c r="DR6" s="6"/>
      <c r="DS6" s="36"/>
      <c r="DT6" s="75">
        <f t="shared" si="59"/>
        <v>2.4430232558139537</v>
      </c>
      <c r="DU6" s="18">
        <f t="shared" si="23"/>
        <v>0</v>
      </c>
      <c r="DV6" s="13" t="str">
        <f t="shared" si="60"/>
        <v>0</v>
      </c>
      <c r="DW6" s="14">
        <f t="shared" si="24"/>
        <v>1.1283191230207064</v>
      </c>
      <c r="DX6" s="14">
        <f t="shared" si="25"/>
        <v>0</v>
      </c>
      <c r="DY6" s="14" t="str">
        <f t="shared" si="61"/>
        <v>0</v>
      </c>
      <c r="DZ6" s="15">
        <f t="shared" si="26"/>
        <v>2.7395</v>
      </c>
      <c r="EA6" s="14">
        <f t="shared" si="62"/>
        <v>0.18510135135135133</v>
      </c>
      <c r="EB6" s="14">
        <f t="shared" si="27"/>
        <v>0.5</v>
      </c>
      <c r="EC6" s="14">
        <f t="shared" si="28"/>
        <v>0.18510135135135133</v>
      </c>
      <c r="ED6" s="14">
        <f t="shared" si="63"/>
        <v>0</v>
      </c>
      <c r="EE6" s="19">
        <f t="shared" si="64"/>
        <v>0</v>
      </c>
      <c r="EF6" s="67" t="str">
        <f t="shared" si="65"/>
        <v>0</v>
      </c>
      <c r="EG6" s="74">
        <f t="shared" si="66"/>
        <v>0</v>
      </c>
      <c r="EH6" s="27">
        <f t="shared" si="67"/>
        <v>0</v>
      </c>
      <c r="EI6" s="25" t="str">
        <f t="shared" si="68"/>
        <v>0</v>
      </c>
      <c r="EJ6" s="25">
        <f t="shared" si="69"/>
        <v>0</v>
      </c>
      <c r="EK6" s="26">
        <f t="shared" si="29"/>
        <v>0</v>
      </c>
      <c r="EL6" s="29">
        <f t="shared" si="70"/>
        <v>0.88732394366197176</v>
      </c>
      <c r="EM6" s="30">
        <f t="shared" si="30"/>
        <v>0.125</v>
      </c>
      <c r="EN6" s="30">
        <f t="shared" si="31"/>
        <v>0.52941176470588236</v>
      </c>
      <c r="EO6" s="31">
        <f t="shared" si="71"/>
        <v>0.11267605633802824</v>
      </c>
      <c r="EP6" s="31">
        <f t="shared" si="32"/>
        <v>1.6771593384913619</v>
      </c>
      <c r="EQ6" s="31">
        <f t="shared" si="72"/>
        <v>1.7898353948293901</v>
      </c>
      <c r="ER6" s="93">
        <f t="shared" si="33"/>
        <v>0.71012073851403879</v>
      </c>
      <c r="ES6" s="109">
        <f t="shared" si="34"/>
        <v>177.46073380375375</v>
      </c>
      <c r="ET6" s="32">
        <f t="shared" si="35"/>
        <v>2.4034672970843185</v>
      </c>
      <c r="EV6" s="277"/>
      <c r="EW6" s="278"/>
      <c r="EX6" s="37">
        <f t="shared" ref="EX6:EX16" si="81">AC6</f>
        <v>0</v>
      </c>
      <c r="EY6" s="72">
        <f t="shared" si="73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6.02</v>
      </c>
      <c r="FG6" s="182">
        <f t="shared" si="36"/>
        <v>0</v>
      </c>
      <c r="FH6" s="183" t="s">
        <v>52</v>
      </c>
      <c r="FI6" s="184">
        <f t="shared" si="74"/>
        <v>0</v>
      </c>
      <c r="FJ6" s="193" t="str">
        <f t="shared" si="75"/>
        <v>0</v>
      </c>
      <c r="FK6" s="185">
        <f t="shared" si="37"/>
        <v>0</v>
      </c>
      <c r="FL6" s="183" t="s">
        <v>52</v>
      </c>
      <c r="FM6" s="186">
        <f t="shared" si="38"/>
        <v>0</v>
      </c>
      <c r="FN6" s="193" t="str">
        <f t="shared" si="76"/>
        <v>0</v>
      </c>
      <c r="FO6" s="261">
        <f t="shared" si="77"/>
        <v>0</v>
      </c>
      <c r="FP6" s="183" t="s">
        <v>52</v>
      </c>
      <c r="FQ6" s="268">
        <f t="shared" si="78"/>
        <v>0</v>
      </c>
      <c r="FR6" s="196" t="str">
        <f t="shared" si="79"/>
        <v>0</v>
      </c>
      <c r="FS6" s="179">
        <f t="shared" si="39"/>
        <v>0</v>
      </c>
      <c r="FT6" s="179">
        <f t="shared" si="39"/>
        <v>1</v>
      </c>
      <c r="FU6" s="179">
        <f t="shared" si="40"/>
        <v>1</v>
      </c>
      <c r="FV6" s="187">
        <f t="shared" si="40"/>
        <v>0</v>
      </c>
      <c r="FW6" s="179">
        <f t="shared" si="40"/>
        <v>0</v>
      </c>
      <c r="FX6" s="179">
        <f t="shared" si="40"/>
        <v>0</v>
      </c>
      <c r="FY6" s="179">
        <f t="shared" si="40"/>
        <v>0</v>
      </c>
      <c r="FZ6" s="179">
        <f t="shared" si="40"/>
        <v>0</v>
      </c>
      <c r="GA6" s="179">
        <f t="shared" si="40"/>
        <v>0</v>
      </c>
      <c r="GB6" s="179">
        <f t="shared" si="40"/>
        <v>0</v>
      </c>
      <c r="GC6" s="187">
        <f t="shared" si="40"/>
        <v>0</v>
      </c>
      <c r="GD6" s="203" t="str">
        <f t="shared" si="80"/>
        <v>0</v>
      </c>
      <c r="GE6" s="179" t="str">
        <f t="shared" si="80"/>
        <v>0</v>
      </c>
      <c r="GF6" s="179">
        <f t="shared" si="80"/>
        <v>0</v>
      </c>
      <c r="GG6" s="258">
        <f t="shared" si="80"/>
        <v>155.90289354469223</v>
      </c>
      <c r="GH6" s="179"/>
      <c r="GJ6" s="82"/>
      <c r="GK6" s="24"/>
      <c r="GL6" s="185">
        <f>(CQ6/CQ29)*(EY30-EX30)</f>
        <v>0</v>
      </c>
      <c r="GM6" s="185">
        <f>((E30/G30)*(1-(CJ30/(CJ30+CK29))))/((E30/G30)*(1-(CJ30/(CJ30+CK29)))+((1-(E30/G30)))*(CJ30/(CJ30+CK29)))</f>
        <v>0.63636363636363624</v>
      </c>
      <c r="GN6" s="24">
        <f>GK6+(GL6/10)+(GJ6*GM6*(1-(CJ30/(CJ30+CK29))))+(CK6*(1-GM6))</f>
        <v>0.36363636363636376</v>
      </c>
      <c r="GO6" s="213">
        <f>GN6/(DD6*EG30)</f>
        <v>2.8854689525304508E-2</v>
      </c>
    </row>
    <row r="7" spans="1:197" x14ac:dyDescent="0.2">
      <c r="A7" s="139"/>
      <c r="B7" s="89" t="s">
        <v>82</v>
      </c>
      <c r="C7" s="41" t="s">
        <v>175</v>
      </c>
      <c r="D7" s="161">
        <v>5.67</v>
      </c>
      <c r="E7" s="114">
        <f t="shared" si="0"/>
        <v>0</v>
      </c>
      <c r="F7" s="484" t="s">
        <v>52</v>
      </c>
      <c r="G7" s="115">
        <f t="shared" si="1"/>
        <v>2</v>
      </c>
      <c r="H7" s="116" t="s">
        <v>53</v>
      </c>
      <c r="I7" s="484">
        <f t="shared" si="41"/>
        <v>0</v>
      </c>
      <c r="J7" s="115" t="s">
        <v>54</v>
      </c>
      <c r="K7" s="116">
        <f t="shared" si="2"/>
        <v>0</v>
      </c>
      <c r="L7" s="484" t="s">
        <v>52</v>
      </c>
      <c r="M7" s="115">
        <f t="shared" si="3"/>
        <v>0</v>
      </c>
      <c r="N7" s="116" t="s">
        <v>53</v>
      </c>
      <c r="O7" s="484">
        <f t="shared" si="4"/>
        <v>0</v>
      </c>
      <c r="P7" s="115" t="s">
        <v>54</v>
      </c>
      <c r="Q7" s="116">
        <f t="shared" si="5"/>
        <v>0</v>
      </c>
      <c r="R7" s="484" t="s">
        <v>52</v>
      </c>
      <c r="S7" s="115">
        <f t="shared" si="42"/>
        <v>0</v>
      </c>
      <c r="T7" s="116" t="s">
        <v>53</v>
      </c>
      <c r="U7" s="484">
        <f t="shared" si="6"/>
        <v>0</v>
      </c>
      <c r="V7" s="115" t="s">
        <v>54</v>
      </c>
      <c r="W7" s="116">
        <f t="shared" si="7"/>
        <v>0</v>
      </c>
      <c r="X7" s="484" t="s">
        <v>52</v>
      </c>
      <c r="Y7" s="115">
        <f t="shared" si="8"/>
        <v>2</v>
      </c>
      <c r="Z7" s="116" t="s">
        <v>53</v>
      </c>
      <c r="AA7" s="484">
        <f t="shared" si="9"/>
        <v>0</v>
      </c>
      <c r="AB7" s="115" t="s">
        <v>54</v>
      </c>
      <c r="AC7" s="116">
        <f t="shared" si="43"/>
        <v>1.7</v>
      </c>
      <c r="AD7" s="484" t="s">
        <v>52</v>
      </c>
      <c r="AE7" s="117">
        <f t="shared" si="44"/>
        <v>2</v>
      </c>
      <c r="AF7" s="485"/>
      <c r="AG7" s="114">
        <f>IFERROR(AM7+AS7+AY7,"0")</f>
        <v>0</v>
      </c>
      <c r="AH7" s="484" t="s">
        <v>52</v>
      </c>
      <c r="AI7" s="115">
        <f t="shared" si="10"/>
        <v>1</v>
      </c>
      <c r="AJ7" s="116" t="s">
        <v>53</v>
      </c>
      <c r="AK7" s="484">
        <f t="shared" si="11"/>
        <v>0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0</v>
      </c>
      <c r="AV7" s="246" t="s">
        <v>53</v>
      </c>
      <c r="AW7" s="244">
        <v>0</v>
      </c>
      <c r="AX7" s="245" t="s">
        <v>54</v>
      </c>
      <c r="AY7" s="246">
        <v>0</v>
      </c>
      <c r="AZ7" s="244" t="s">
        <v>52</v>
      </c>
      <c r="BA7" s="245">
        <v>1</v>
      </c>
      <c r="BB7" s="246" t="s">
        <v>53</v>
      </c>
      <c r="BC7" s="244">
        <v>0</v>
      </c>
      <c r="BD7" s="245" t="s">
        <v>54</v>
      </c>
      <c r="BE7" s="116">
        <v>0</v>
      </c>
      <c r="BF7" s="484" t="s">
        <v>52</v>
      </c>
      <c r="BG7" s="117">
        <v>0</v>
      </c>
      <c r="BH7" s="115"/>
      <c r="BI7" s="114">
        <f>IFERROR(BO7+BU7+CA7,"0")</f>
        <v>0</v>
      </c>
      <c r="BJ7" s="484" t="s">
        <v>52</v>
      </c>
      <c r="BK7" s="115">
        <f t="shared" si="46"/>
        <v>1</v>
      </c>
      <c r="BL7" s="116" t="s">
        <v>53</v>
      </c>
      <c r="BM7" s="484">
        <f t="shared" si="13"/>
        <v>0</v>
      </c>
      <c r="BN7" s="115" t="s">
        <v>54</v>
      </c>
      <c r="BO7" s="246">
        <v>0</v>
      </c>
      <c r="BP7" s="244" t="s">
        <v>52</v>
      </c>
      <c r="BQ7" s="245">
        <v>0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1</v>
      </c>
      <c r="CD7" s="246" t="s">
        <v>53</v>
      </c>
      <c r="CE7" s="244">
        <v>0</v>
      </c>
      <c r="CF7" s="245" t="s">
        <v>54</v>
      </c>
      <c r="CG7" s="116">
        <v>0</v>
      </c>
      <c r="CH7" s="484" t="s">
        <v>52</v>
      </c>
      <c r="CI7" s="117">
        <v>0</v>
      </c>
      <c r="CJ7" s="140">
        <v>0</v>
      </c>
      <c r="CK7" s="148">
        <f t="shared" si="47"/>
        <v>0</v>
      </c>
      <c r="CL7" s="148">
        <v>0</v>
      </c>
      <c r="CM7" s="148">
        <v>0</v>
      </c>
      <c r="CN7" s="148">
        <f t="shared" si="48"/>
        <v>0</v>
      </c>
      <c r="CO7" s="175">
        <v>2</v>
      </c>
      <c r="CP7" s="140">
        <v>0</v>
      </c>
      <c r="CQ7" s="175">
        <v>0</v>
      </c>
      <c r="CR7" s="148">
        <v>2</v>
      </c>
      <c r="CS7" s="148">
        <v>0</v>
      </c>
      <c r="CT7" s="140">
        <v>1</v>
      </c>
      <c r="CU7" s="140">
        <v>0</v>
      </c>
      <c r="CV7" s="148">
        <f t="shared" si="49"/>
        <v>1.7</v>
      </c>
      <c r="CW7" s="140"/>
      <c r="CX7" s="140">
        <f t="shared" si="50"/>
        <v>79.686860476059323</v>
      </c>
      <c r="CY7" s="140">
        <f t="shared" si="14"/>
        <v>0.34573788011850387</v>
      </c>
      <c r="CZ7" s="165">
        <f t="shared" si="15"/>
        <v>0.24999039559923886</v>
      </c>
      <c r="DA7" s="164">
        <f t="shared" si="16"/>
        <v>65.201764583655063</v>
      </c>
      <c r="DB7" s="141"/>
      <c r="DC7" s="141"/>
      <c r="DD7" s="77">
        <f t="shared" si="51"/>
        <v>0.86327649208282575</v>
      </c>
      <c r="DE7" s="37">
        <f t="shared" si="52"/>
        <v>0</v>
      </c>
      <c r="DF7" s="37">
        <f t="shared" si="53"/>
        <v>0</v>
      </c>
      <c r="DG7" s="37">
        <f t="shared" si="54"/>
        <v>0</v>
      </c>
      <c r="DH7" s="37">
        <f t="shared" si="17"/>
        <v>0</v>
      </c>
      <c r="DI7" s="37">
        <f t="shared" si="18"/>
        <v>0</v>
      </c>
      <c r="DJ7" s="37">
        <f t="shared" si="19"/>
        <v>0</v>
      </c>
      <c r="DK7" s="37">
        <f t="shared" si="20"/>
        <v>0</v>
      </c>
      <c r="DL7" s="37">
        <f t="shared" si="21"/>
        <v>0.25741720556535375</v>
      </c>
      <c r="DM7" s="37">
        <f t="shared" si="22"/>
        <v>0.11893055529887067</v>
      </c>
      <c r="DN7" s="37">
        <f t="shared" si="55"/>
        <v>0.23787024900254361</v>
      </c>
      <c r="DO7" s="37">
        <f t="shared" si="56"/>
        <v>2</v>
      </c>
      <c r="DP7" s="66">
        <f t="shared" si="57"/>
        <v>0</v>
      </c>
      <c r="DQ7" s="78">
        <f t="shared" si="58"/>
        <v>14.109347442680777</v>
      </c>
      <c r="DR7" s="6"/>
      <c r="DS7" s="36"/>
      <c r="DT7" s="75">
        <f t="shared" si="59"/>
        <v>1.8846913580246925</v>
      </c>
      <c r="DU7" s="18">
        <f t="shared" si="23"/>
        <v>1.4534725614837474</v>
      </c>
      <c r="DV7" s="13">
        <f t="shared" si="60"/>
        <v>0</v>
      </c>
      <c r="DW7" s="14">
        <f t="shared" si="24"/>
        <v>0.36880758804677238</v>
      </c>
      <c r="DX7" s="14">
        <f t="shared" si="25"/>
        <v>0.73333333333333328</v>
      </c>
      <c r="DY7" s="14">
        <f t="shared" si="61"/>
        <v>0.78200000000000003</v>
      </c>
      <c r="DZ7" s="15">
        <f t="shared" si="26"/>
        <v>10.151999999999999</v>
      </c>
      <c r="EA7" s="14">
        <f t="shared" si="62"/>
        <v>0.86545206547155107</v>
      </c>
      <c r="EB7" s="14">
        <f t="shared" si="27"/>
        <v>0.125</v>
      </c>
      <c r="EC7" s="14">
        <f t="shared" si="28"/>
        <v>0.47886792452830185</v>
      </c>
      <c r="ED7" s="14">
        <f t="shared" si="63"/>
        <v>0</v>
      </c>
      <c r="EE7" s="19">
        <f t="shared" si="64"/>
        <v>1.7324999999999999</v>
      </c>
      <c r="EF7" s="67">
        <f t="shared" si="65"/>
        <v>1.8000000000000006E-2</v>
      </c>
      <c r="EG7" s="74">
        <f t="shared" si="66"/>
        <v>4.2039725614837469</v>
      </c>
      <c r="EH7" s="27">
        <f t="shared" si="67"/>
        <v>3.3500137495213709</v>
      </c>
      <c r="EI7" s="25">
        <f t="shared" si="68"/>
        <v>0</v>
      </c>
      <c r="EJ7" s="25">
        <f t="shared" si="69"/>
        <v>1.7925925925925925</v>
      </c>
      <c r="EK7" s="26">
        <f t="shared" si="29"/>
        <v>0</v>
      </c>
      <c r="EL7" s="29">
        <f t="shared" si="70"/>
        <v>0.33333333333333331</v>
      </c>
      <c r="EM7" s="30">
        <f t="shared" si="30"/>
        <v>0.5</v>
      </c>
      <c r="EN7" s="30">
        <f t="shared" si="31"/>
        <v>0.33333333333333331</v>
      </c>
      <c r="EO7" s="31">
        <f t="shared" si="71"/>
        <v>0</v>
      </c>
      <c r="EP7" s="31">
        <f t="shared" si="32"/>
        <v>0.59825060901339833</v>
      </c>
      <c r="EQ7" s="31">
        <f t="shared" si="72"/>
        <v>0.59825060901339833</v>
      </c>
      <c r="ER7" s="93">
        <f t="shared" si="33"/>
        <v>0.17787569284462756</v>
      </c>
      <c r="ES7" s="109">
        <f t="shared" si="34"/>
        <v>33.111059707008586</v>
      </c>
      <c r="ET7" s="32">
        <f t="shared" si="35"/>
        <v>2.354444241649936</v>
      </c>
      <c r="EV7" s="277"/>
      <c r="EW7" s="278"/>
      <c r="EX7" s="37">
        <f t="shared" si="81"/>
        <v>1.7</v>
      </c>
      <c r="EY7" s="72">
        <f t="shared" si="73"/>
        <v>2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5.67</v>
      </c>
      <c r="FG7" s="144">
        <f t="shared" si="36"/>
        <v>0</v>
      </c>
      <c r="FH7" s="484" t="s">
        <v>52</v>
      </c>
      <c r="FI7" s="145">
        <f t="shared" si="74"/>
        <v>2</v>
      </c>
      <c r="FJ7" s="194">
        <f t="shared" si="75"/>
        <v>0</v>
      </c>
      <c r="FK7" s="110">
        <f t="shared" si="37"/>
        <v>0</v>
      </c>
      <c r="FL7" s="484" t="s">
        <v>52</v>
      </c>
      <c r="FM7" s="168">
        <f t="shared" si="38"/>
        <v>2</v>
      </c>
      <c r="FN7" s="194">
        <f t="shared" si="76"/>
        <v>0</v>
      </c>
      <c r="FO7" s="262">
        <f t="shared" si="77"/>
        <v>0</v>
      </c>
      <c r="FP7" s="484" t="s">
        <v>52</v>
      </c>
      <c r="FQ7" s="274">
        <f t="shared" si="78"/>
        <v>0</v>
      </c>
      <c r="FR7" s="197" t="str">
        <f t="shared" si="79"/>
        <v>0</v>
      </c>
      <c r="FS7" s="140">
        <f t="shared" si="39"/>
        <v>0</v>
      </c>
      <c r="FT7" s="140">
        <f t="shared" si="39"/>
        <v>0</v>
      </c>
      <c r="FU7" s="140">
        <f t="shared" si="40"/>
        <v>0</v>
      </c>
      <c r="FV7" s="175">
        <f t="shared" si="40"/>
        <v>2</v>
      </c>
      <c r="FW7" s="140">
        <f t="shared" si="40"/>
        <v>0</v>
      </c>
      <c r="FX7" s="140">
        <f t="shared" si="40"/>
        <v>0</v>
      </c>
      <c r="FY7" s="140">
        <f t="shared" si="40"/>
        <v>2</v>
      </c>
      <c r="FZ7" s="140">
        <f t="shared" si="40"/>
        <v>0</v>
      </c>
      <c r="GA7" s="140">
        <f t="shared" si="40"/>
        <v>1</v>
      </c>
      <c r="GB7" s="140">
        <f t="shared" si="40"/>
        <v>0</v>
      </c>
      <c r="GC7" s="175">
        <f t="shared" si="40"/>
        <v>1.7</v>
      </c>
      <c r="GD7" s="202">
        <f t="shared" si="80"/>
        <v>79.686860476059323</v>
      </c>
      <c r="GE7" s="140">
        <f t="shared" si="80"/>
        <v>0.34573788011850387</v>
      </c>
      <c r="GF7" s="140">
        <f t="shared" si="80"/>
        <v>0.24999039559923886</v>
      </c>
      <c r="GG7" s="259">
        <f t="shared" si="80"/>
        <v>65.201764583655063</v>
      </c>
      <c r="GH7" s="140"/>
      <c r="GJ7" s="82"/>
      <c r="GK7" s="24"/>
      <c r="GL7" s="185">
        <f>(CQ7/CQ31)*(EY32-EX32)</f>
        <v>0</v>
      </c>
      <c r="GM7" s="185">
        <f>((E32/G32)*(1-(CJ32/(CJ32+CK31))))/((E32/G32)*(1-(CJ32/(CJ32+CK31)))+((1-(E32/G32)))*(CJ32/(CJ32+CK31)))</f>
        <v>0.88732394366197176</v>
      </c>
      <c r="GN7" s="24">
        <f>GK7+(GL7/10)+(GJ7*GM7*(1-(CJ32/(CJ32+CK31))))+(CK7*(1-GM7))</f>
        <v>0</v>
      </c>
      <c r="GO7" s="213">
        <f>GN7/(DD7*EG32)</f>
        <v>0</v>
      </c>
    </row>
    <row r="8" spans="1:197" x14ac:dyDescent="0.2">
      <c r="A8" s="139"/>
      <c r="B8" s="89" t="s">
        <v>117</v>
      </c>
      <c r="C8" s="41" t="s">
        <v>208</v>
      </c>
      <c r="D8" s="161">
        <v>4.57</v>
      </c>
      <c r="E8" s="114">
        <f t="shared" si="0"/>
        <v>1</v>
      </c>
      <c r="F8" s="484" t="s">
        <v>52</v>
      </c>
      <c r="G8" s="115">
        <f t="shared" si="1"/>
        <v>2</v>
      </c>
      <c r="H8" s="116" t="s">
        <v>53</v>
      </c>
      <c r="I8" s="484">
        <f t="shared" si="41"/>
        <v>1</v>
      </c>
      <c r="J8" s="115" t="s">
        <v>54</v>
      </c>
      <c r="K8" s="116">
        <f t="shared" si="2"/>
        <v>1</v>
      </c>
      <c r="L8" s="484" t="s">
        <v>52</v>
      </c>
      <c r="M8" s="115">
        <f t="shared" si="3"/>
        <v>2</v>
      </c>
      <c r="N8" s="116" t="s">
        <v>53</v>
      </c>
      <c r="O8" s="484">
        <f t="shared" si="4"/>
        <v>1</v>
      </c>
      <c r="P8" s="115" t="s">
        <v>54</v>
      </c>
      <c r="Q8" s="116">
        <f t="shared" si="5"/>
        <v>0</v>
      </c>
      <c r="R8" s="484" t="s">
        <v>52</v>
      </c>
      <c r="S8" s="115">
        <f t="shared" si="42"/>
        <v>0</v>
      </c>
      <c r="T8" s="116" t="s">
        <v>53</v>
      </c>
      <c r="U8" s="484">
        <f t="shared" si="6"/>
        <v>0</v>
      </c>
      <c r="V8" s="115" t="s">
        <v>54</v>
      </c>
      <c r="W8" s="116">
        <f t="shared" si="7"/>
        <v>0</v>
      </c>
      <c r="X8" s="484" t="s">
        <v>52</v>
      </c>
      <c r="Y8" s="115">
        <f t="shared" si="8"/>
        <v>0</v>
      </c>
      <c r="Z8" s="116" t="s">
        <v>53</v>
      </c>
      <c r="AA8" s="484">
        <f t="shared" si="9"/>
        <v>0</v>
      </c>
      <c r="AB8" s="115" t="s">
        <v>54</v>
      </c>
      <c r="AC8" s="116">
        <f t="shared" si="43"/>
        <v>0</v>
      </c>
      <c r="AD8" s="484" t="s">
        <v>52</v>
      </c>
      <c r="AE8" s="117">
        <f t="shared" si="44"/>
        <v>0</v>
      </c>
      <c r="AF8" s="485"/>
      <c r="AG8" s="114">
        <f t="shared" si="45"/>
        <v>1</v>
      </c>
      <c r="AH8" s="484" t="s">
        <v>52</v>
      </c>
      <c r="AI8" s="115">
        <f t="shared" si="10"/>
        <v>2</v>
      </c>
      <c r="AJ8" s="116" t="s">
        <v>53</v>
      </c>
      <c r="AK8" s="484">
        <f t="shared" si="11"/>
        <v>1</v>
      </c>
      <c r="AL8" s="115" t="s">
        <v>54</v>
      </c>
      <c r="AM8" s="246">
        <v>1</v>
      </c>
      <c r="AN8" s="244" t="s">
        <v>52</v>
      </c>
      <c r="AO8" s="245">
        <v>2</v>
      </c>
      <c r="AP8" s="246" t="s">
        <v>53</v>
      </c>
      <c r="AQ8" s="244">
        <v>1</v>
      </c>
      <c r="AR8" s="245" t="s">
        <v>54</v>
      </c>
      <c r="AS8" s="246">
        <v>0</v>
      </c>
      <c r="AT8" s="244" t="s">
        <v>52</v>
      </c>
      <c r="AU8" s="245">
        <v>0</v>
      </c>
      <c r="AV8" s="246" t="s">
        <v>53</v>
      </c>
      <c r="AW8" s="244">
        <v>0</v>
      </c>
      <c r="AX8" s="245" t="s">
        <v>54</v>
      </c>
      <c r="AY8" s="246">
        <v>0</v>
      </c>
      <c r="AZ8" s="244" t="s">
        <v>52</v>
      </c>
      <c r="BA8" s="245">
        <v>0</v>
      </c>
      <c r="BB8" s="246" t="s">
        <v>53</v>
      </c>
      <c r="BC8" s="244">
        <v>0</v>
      </c>
      <c r="BD8" s="245" t="s">
        <v>54</v>
      </c>
      <c r="BE8" s="116">
        <v>0</v>
      </c>
      <c r="BF8" s="484" t="s">
        <v>52</v>
      </c>
      <c r="BG8" s="117">
        <v>0</v>
      </c>
      <c r="BH8" s="115"/>
      <c r="BI8" s="114">
        <f t="shared" si="12"/>
        <v>0</v>
      </c>
      <c r="BJ8" s="484" t="s">
        <v>52</v>
      </c>
      <c r="BK8" s="115">
        <f t="shared" si="46"/>
        <v>0</v>
      </c>
      <c r="BL8" s="116" t="s">
        <v>53</v>
      </c>
      <c r="BM8" s="484">
        <f t="shared" si="13"/>
        <v>0</v>
      </c>
      <c r="BN8" s="115" t="s">
        <v>54</v>
      </c>
      <c r="BO8" s="246">
        <v>0</v>
      </c>
      <c r="BP8" s="244" t="s">
        <v>52</v>
      </c>
      <c r="BQ8" s="245">
        <v>0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484" t="s">
        <v>52</v>
      </c>
      <c r="CI8" s="117">
        <v>0</v>
      </c>
      <c r="CJ8" s="140">
        <v>0</v>
      </c>
      <c r="CK8" s="148">
        <f t="shared" si="47"/>
        <v>0</v>
      </c>
      <c r="CL8" s="148">
        <v>0</v>
      </c>
      <c r="CM8" s="148">
        <v>0</v>
      </c>
      <c r="CN8" s="148">
        <f t="shared" si="48"/>
        <v>0</v>
      </c>
      <c r="CO8" s="175">
        <v>0</v>
      </c>
      <c r="CP8" s="140">
        <v>0</v>
      </c>
      <c r="CQ8" s="175">
        <v>1</v>
      </c>
      <c r="CR8" s="148">
        <v>0</v>
      </c>
      <c r="CS8" s="148">
        <v>0</v>
      </c>
      <c r="CT8" s="140">
        <v>5</v>
      </c>
      <c r="CU8" s="140">
        <v>0</v>
      </c>
      <c r="CV8" s="148">
        <f t="shared" si="49"/>
        <v>2</v>
      </c>
      <c r="CW8" s="140"/>
      <c r="CX8" s="140">
        <f t="shared" si="50"/>
        <v>17.320214719248135</v>
      </c>
      <c r="CY8" s="140">
        <f t="shared" si="14"/>
        <v>8.6601073596240669E-2</v>
      </c>
      <c r="CZ8" s="165">
        <f t="shared" si="15"/>
        <v>0.62540170396483008</v>
      </c>
      <c r="DA8" s="164">
        <f t="shared" si="16"/>
        <v>157.75033384826673</v>
      </c>
      <c r="DB8" s="141"/>
      <c r="DC8" s="141"/>
      <c r="DD8" s="77">
        <f t="shared" si="51"/>
        <v>0.69579780755176612</v>
      </c>
      <c r="DE8" s="37">
        <f t="shared" si="52"/>
        <v>0.5</v>
      </c>
      <c r="DF8" s="37" t="str">
        <f t="shared" si="53"/>
        <v>0</v>
      </c>
      <c r="DG8" s="37">
        <f t="shared" si="54"/>
        <v>0.5</v>
      </c>
      <c r="DH8" s="37">
        <f t="shared" si="17"/>
        <v>0</v>
      </c>
      <c r="DI8" s="37">
        <f t="shared" si="18"/>
        <v>0</v>
      </c>
      <c r="DJ8" s="37">
        <f t="shared" si="19"/>
        <v>0</v>
      </c>
      <c r="DK8" s="37">
        <f t="shared" si="20"/>
        <v>0</v>
      </c>
      <c r="DL8" s="37">
        <f t="shared" si="21"/>
        <v>0</v>
      </c>
      <c r="DM8" s="37">
        <f t="shared" si="22"/>
        <v>0</v>
      </c>
      <c r="DN8" s="37">
        <f t="shared" si="55"/>
        <v>0.83568062799977982</v>
      </c>
      <c r="DO8" s="37">
        <f t="shared" si="56"/>
        <v>0</v>
      </c>
      <c r="DP8" s="66">
        <f t="shared" si="57"/>
        <v>8.7527352297592991</v>
      </c>
      <c r="DQ8" s="78">
        <f t="shared" si="58"/>
        <v>0</v>
      </c>
      <c r="DR8" s="6"/>
      <c r="DS8" s="36"/>
      <c r="DT8" s="75">
        <f t="shared" si="59"/>
        <v>-52.50306345733042</v>
      </c>
      <c r="DU8" s="18">
        <f t="shared" si="23"/>
        <v>0.51814694929283134</v>
      </c>
      <c r="DV8" s="13">
        <f t="shared" si="60"/>
        <v>0.53144023381189343</v>
      </c>
      <c r="DW8" s="14">
        <f t="shared" si="24"/>
        <v>1.8742390647524263</v>
      </c>
      <c r="DX8" s="14">
        <f t="shared" si="25"/>
        <v>0</v>
      </c>
      <c r="DY8" s="14" t="str">
        <f t="shared" si="61"/>
        <v>0</v>
      </c>
      <c r="DZ8" s="15">
        <f t="shared" si="26"/>
        <v>2.7395</v>
      </c>
      <c r="EA8" s="14">
        <f t="shared" si="62"/>
        <v>0.18510135135135133</v>
      </c>
      <c r="EB8" s="14">
        <f t="shared" si="27"/>
        <v>0.5</v>
      </c>
      <c r="EC8" s="14">
        <f t="shared" si="28"/>
        <v>0.18510135135135133</v>
      </c>
      <c r="ED8" s="14">
        <f t="shared" si="63"/>
        <v>0</v>
      </c>
      <c r="EE8" s="19">
        <f t="shared" si="64"/>
        <v>0.46499999999999997</v>
      </c>
      <c r="EF8" s="67" t="str">
        <f t="shared" si="65"/>
        <v>0</v>
      </c>
      <c r="EG8" s="74">
        <f t="shared" si="66"/>
        <v>5.9831469492928315</v>
      </c>
      <c r="EH8" s="27">
        <f t="shared" si="67"/>
        <v>1.0362938985856627</v>
      </c>
      <c r="EI8" s="25">
        <f t="shared" si="68"/>
        <v>1.0628804676237869</v>
      </c>
      <c r="EJ8" s="25">
        <f t="shared" si="69"/>
        <v>0</v>
      </c>
      <c r="EK8" s="26">
        <f t="shared" si="29"/>
        <v>0</v>
      </c>
      <c r="EL8" s="29">
        <f t="shared" si="70"/>
        <v>0.88732394366197176</v>
      </c>
      <c r="EM8" s="30">
        <f t="shared" si="30"/>
        <v>0.125</v>
      </c>
      <c r="EN8" s="30">
        <f t="shared" si="31"/>
        <v>0.52941176470588236</v>
      </c>
      <c r="EO8" s="31">
        <f t="shared" si="71"/>
        <v>0</v>
      </c>
      <c r="EP8" s="31">
        <f t="shared" si="32"/>
        <v>1.2851923881902867</v>
      </c>
      <c r="EQ8" s="31">
        <f t="shared" si="72"/>
        <v>1.2851923881902867</v>
      </c>
      <c r="ER8" s="93">
        <f t="shared" si="33"/>
        <v>0.67168792301836566</v>
      </c>
      <c r="ES8" s="109">
        <f t="shared" si="34"/>
        <v>177.46073380375375</v>
      </c>
      <c r="ET8" s="32">
        <f t="shared" si="35"/>
        <v>2.4034672970843185</v>
      </c>
      <c r="EV8" s="277"/>
      <c r="EW8" s="278"/>
      <c r="EX8" s="37">
        <f t="shared" si="81"/>
        <v>0</v>
      </c>
      <c r="EY8" s="72">
        <f t="shared" si="73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4.57</v>
      </c>
      <c r="FG8" s="182">
        <f t="shared" si="36"/>
        <v>1</v>
      </c>
      <c r="FH8" s="183" t="s">
        <v>52</v>
      </c>
      <c r="FI8" s="184">
        <f t="shared" si="74"/>
        <v>2</v>
      </c>
      <c r="FJ8" s="193">
        <f t="shared" si="75"/>
        <v>0.5</v>
      </c>
      <c r="FK8" s="185">
        <f t="shared" si="37"/>
        <v>0</v>
      </c>
      <c r="FL8" s="183" t="s">
        <v>52</v>
      </c>
      <c r="FM8" s="186">
        <f t="shared" si="38"/>
        <v>0</v>
      </c>
      <c r="FN8" s="193" t="str">
        <f t="shared" si="76"/>
        <v>0</v>
      </c>
      <c r="FO8" s="261">
        <f t="shared" si="77"/>
        <v>0</v>
      </c>
      <c r="FP8" s="183" t="s">
        <v>52</v>
      </c>
      <c r="FQ8" s="268">
        <f t="shared" si="78"/>
        <v>0</v>
      </c>
      <c r="FR8" s="196" t="str">
        <f t="shared" si="79"/>
        <v>0</v>
      </c>
      <c r="FS8" s="179">
        <f t="shared" si="39"/>
        <v>0</v>
      </c>
      <c r="FT8" s="179">
        <f t="shared" si="39"/>
        <v>0</v>
      </c>
      <c r="FU8" s="179">
        <f t="shared" si="40"/>
        <v>0</v>
      </c>
      <c r="FV8" s="187">
        <f t="shared" si="40"/>
        <v>0</v>
      </c>
      <c r="FW8" s="179">
        <f t="shared" si="40"/>
        <v>0</v>
      </c>
      <c r="FX8" s="179">
        <f t="shared" si="40"/>
        <v>1</v>
      </c>
      <c r="FY8" s="179">
        <f t="shared" si="40"/>
        <v>0</v>
      </c>
      <c r="FZ8" s="179">
        <f t="shared" si="40"/>
        <v>0</v>
      </c>
      <c r="GA8" s="179">
        <f t="shared" si="40"/>
        <v>5</v>
      </c>
      <c r="GB8" s="179">
        <f t="shared" si="40"/>
        <v>0</v>
      </c>
      <c r="GC8" s="187">
        <f t="shared" si="40"/>
        <v>2</v>
      </c>
      <c r="GD8" s="203">
        <f t="shared" si="80"/>
        <v>17.320214719248135</v>
      </c>
      <c r="GE8" s="179">
        <f t="shared" si="80"/>
        <v>8.6601073596240669E-2</v>
      </c>
      <c r="GF8" s="179">
        <f t="shared" si="80"/>
        <v>0.62540170396483008</v>
      </c>
      <c r="GG8" s="258">
        <f t="shared" si="80"/>
        <v>157.75033384826673</v>
      </c>
      <c r="GH8" s="179"/>
      <c r="GJ8" s="82"/>
      <c r="GK8" s="24"/>
      <c r="GL8" s="185">
        <f>(CQ8/CQ33)*(EY34-EX34)</f>
        <v>0.60000000000000009</v>
      </c>
      <c r="GM8" s="185">
        <f>((E34/G34)*(1-(CJ34/(CJ34+CK33))))/((E34/G34)*(1-(CJ34/(CJ34+CK33)))+((1-(E34/G34)))*(CJ34/(CJ34+CK33)))</f>
        <v>0.6923076923076924</v>
      </c>
      <c r="GN8" s="24">
        <f>GK8+(GL8/10)+(GJ8*GM8*(1-(CJ34/(CJ34+CK33))))+(CK8*(1-GM8))</f>
        <v>6.0000000000000012E-2</v>
      </c>
      <c r="GO8" s="213">
        <f>GN8/(DD8*EG34)</f>
        <v>4.4267149795050118E-3</v>
      </c>
    </row>
    <row r="9" spans="1:197" x14ac:dyDescent="0.2">
      <c r="A9" s="139"/>
      <c r="B9" s="89" t="s">
        <v>117</v>
      </c>
      <c r="C9" s="41" t="s">
        <v>209</v>
      </c>
      <c r="D9" s="161">
        <v>6.57</v>
      </c>
      <c r="E9" s="114">
        <f t="shared" si="0"/>
        <v>0</v>
      </c>
      <c r="F9" s="484" t="s">
        <v>52</v>
      </c>
      <c r="G9" s="115">
        <f t="shared" si="1"/>
        <v>2</v>
      </c>
      <c r="H9" s="116" t="s">
        <v>53</v>
      </c>
      <c r="I9" s="484">
        <f t="shared" si="41"/>
        <v>0</v>
      </c>
      <c r="J9" s="115" t="s">
        <v>54</v>
      </c>
      <c r="K9" s="116">
        <f t="shared" si="2"/>
        <v>0</v>
      </c>
      <c r="L9" s="484" t="s">
        <v>52</v>
      </c>
      <c r="M9" s="115">
        <f t="shared" si="3"/>
        <v>0</v>
      </c>
      <c r="N9" s="116" t="s">
        <v>53</v>
      </c>
      <c r="O9" s="484">
        <f t="shared" si="4"/>
        <v>0</v>
      </c>
      <c r="P9" s="115" t="s">
        <v>54</v>
      </c>
      <c r="Q9" s="116">
        <f t="shared" si="5"/>
        <v>0</v>
      </c>
      <c r="R9" s="484" t="s">
        <v>52</v>
      </c>
      <c r="S9" s="115">
        <f t="shared" si="42"/>
        <v>2</v>
      </c>
      <c r="T9" s="116" t="s">
        <v>53</v>
      </c>
      <c r="U9" s="484">
        <f t="shared" si="6"/>
        <v>0</v>
      </c>
      <c r="V9" s="115" t="s">
        <v>54</v>
      </c>
      <c r="W9" s="116">
        <f t="shared" si="7"/>
        <v>0</v>
      </c>
      <c r="X9" s="484" t="s">
        <v>52</v>
      </c>
      <c r="Y9" s="115">
        <f t="shared" si="8"/>
        <v>0</v>
      </c>
      <c r="Z9" s="116" t="s">
        <v>53</v>
      </c>
      <c r="AA9" s="484">
        <f t="shared" si="9"/>
        <v>0</v>
      </c>
      <c r="AB9" s="115" t="s">
        <v>54</v>
      </c>
      <c r="AC9" s="116">
        <f t="shared" si="43"/>
        <v>0.7</v>
      </c>
      <c r="AD9" s="484" t="s">
        <v>52</v>
      </c>
      <c r="AE9" s="117">
        <f t="shared" si="44"/>
        <v>1</v>
      </c>
      <c r="AF9" s="485"/>
      <c r="AG9" s="114">
        <f t="shared" si="45"/>
        <v>0</v>
      </c>
      <c r="AH9" s="484" t="s">
        <v>52</v>
      </c>
      <c r="AI9" s="115">
        <f t="shared" si="10"/>
        <v>2</v>
      </c>
      <c r="AJ9" s="116" t="s">
        <v>53</v>
      </c>
      <c r="AK9" s="484">
        <f t="shared" si="11"/>
        <v>0</v>
      </c>
      <c r="AL9" s="115" t="s">
        <v>54</v>
      </c>
      <c r="AM9" s="246">
        <v>0</v>
      </c>
      <c r="AN9" s="244" t="s">
        <v>52</v>
      </c>
      <c r="AO9" s="245">
        <v>0</v>
      </c>
      <c r="AP9" s="246" t="s">
        <v>53</v>
      </c>
      <c r="AQ9" s="244">
        <v>0</v>
      </c>
      <c r="AR9" s="245" t="s">
        <v>54</v>
      </c>
      <c r="AS9" s="246">
        <v>0</v>
      </c>
      <c r="AT9" s="244" t="s">
        <v>52</v>
      </c>
      <c r="AU9" s="245">
        <v>2</v>
      </c>
      <c r="AV9" s="246" t="s">
        <v>53</v>
      </c>
      <c r="AW9" s="244">
        <v>0</v>
      </c>
      <c r="AX9" s="245" t="s">
        <v>54</v>
      </c>
      <c r="AY9" s="246">
        <v>0</v>
      </c>
      <c r="AZ9" s="244" t="s">
        <v>52</v>
      </c>
      <c r="BA9" s="245">
        <v>0</v>
      </c>
      <c r="BB9" s="246" t="s">
        <v>53</v>
      </c>
      <c r="BC9" s="244">
        <v>0</v>
      </c>
      <c r="BD9" s="245" t="s">
        <v>54</v>
      </c>
      <c r="BE9" s="116">
        <v>0</v>
      </c>
      <c r="BF9" s="484" t="s">
        <v>52</v>
      </c>
      <c r="BG9" s="117">
        <v>0</v>
      </c>
      <c r="BH9" s="115"/>
      <c r="BI9" s="114">
        <f t="shared" si="12"/>
        <v>0</v>
      </c>
      <c r="BJ9" s="484" t="s">
        <v>52</v>
      </c>
      <c r="BK9" s="115">
        <f t="shared" si="46"/>
        <v>0</v>
      </c>
      <c r="BL9" s="116" t="s">
        <v>53</v>
      </c>
      <c r="BM9" s="484">
        <f t="shared" si="13"/>
        <v>0</v>
      </c>
      <c r="BN9" s="115" t="s">
        <v>54</v>
      </c>
      <c r="BO9" s="246">
        <v>0</v>
      </c>
      <c r="BP9" s="244" t="s">
        <v>52</v>
      </c>
      <c r="BQ9" s="245">
        <v>0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484" t="s">
        <v>52</v>
      </c>
      <c r="CI9" s="117">
        <v>0</v>
      </c>
      <c r="CJ9" s="140">
        <v>0</v>
      </c>
      <c r="CK9" s="148">
        <f t="shared" si="47"/>
        <v>4</v>
      </c>
      <c r="CL9" s="148">
        <v>4</v>
      </c>
      <c r="CM9" s="148">
        <v>0</v>
      </c>
      <c r="CN9" s="148">
        <f t="shared" si="48"/>
        <v>4</v>
      </c>
      <c r="CO9" s="175">
        <v>0</v>
      </c>
      <c r="CP9" s="140">
        <v>0</v>
      </c>
      <c r="CQ9" s="175">
        <v>2</v>
      </c>
      <c r="CR9" s="148">
        <v>1</v>
      </c>
      <c r="CS9" s="148">
        <v>0</v>
      </c>
      <c r="CT9" s="140">
        <v>1</v>
      </c>
      <c r="CU9" s="140">
        <v>0</v>
      </c>
      <c r="CV9" s="148">
        <f t="shared" si="49"/>
        <v>0.7</v>
      </c>
      <c r="CW9" s="140"/>
      <c r="CX9" s="140">
        <f t="shared" si="50"/>
        <v>29.40634575945807</v>
      </c>
      <c r="CY9" s="140">
        <f t="shared" si="14"/>
        <v>0.15291299794918195</v>
      </c>
      <c r="CZ9" s="165">
        <f t="shared" si="15"/>
        <v>0.16874686642167477</v>
      </c>
      <c r="DA9" s="164">
        <f t="shared" si="16"/>
        <v>149.75632685599882</v>
      </c>
      <c r="DB9" s="141"/>
      <c r="DC9" s="141"/>
      <c r="DD9" s="77">
        <f t="shared" si="51"/>
        <v>1.0003045066991474</v>
      </c>
      <c r="DE9" s="37">
        <f t="shared" si="52"/>
        <v>0</v>
      </c>
      <c r="DF9" s="37" t="str">
        <f t="shared" si="53"/>
        <v>0</v>
      </c>
      <c r="DG9" s="37">
        <f t="shared" si="54"/>
        <v>0</v>
      </c>
      <c r="DH9" s="37">
        <f t="shared" si="17"/>
        <v>0</v>
      </c>
      <c r="DI9" s="37">
        <f t="shared" si="18"/>
        <v>0.49984779299847792</v>
      </c>
      <c r="DJ9" s="37">
        <f t="shared" si="19"/>
        <v>0</v>
      </c>
      <c r="DK9" s="37">
        <f t="shared" si="20"/>
        <v>0</v>
      </c>
      <c r="DL9" s="37">
        <f t="shared" si="21"/>
        <v>0</v>
      </c>
      <c r="DM9" s="37">
        <f t="shared" si="22"/>
        <v>0</v>
      </c>
      <c r="DN9" s="37">
        <f t="shared" si="55"/>
        <v>0.43086826147040591</v>
      </c>
      <c r="DO9" s="37">
        <f t="shared" si="56"/>
        <v>0</v>
      </c>
      <c r="DP9" s="66">
        <f t="shared" si="57"/>
        <v>12.176560121765601</v>
      </c>
      <c r="DQ9" s="78">
        <f t="shared" si="58"/>
        <v>6.0882800608828003</v>
      </c>
      <c r="DR9" s="6"/>
      <c r="DS9" s="36"/>
      <c r="DT9" s="75">
        <f t="shared" si="59"/>
        <v>-12.333759512937593</v>
      </c>
      <c r="DU9" s="18">
        <f t="shared" si="23"/>
        <v>0.35489501460920381</v>
      </c>
      <c r="DV9" s="13">
        <f t="shared" si="60"/>
        <v>0</v>
      </c>
      <c r="DW9" s="14">
        <f t="shared" si="24"/>
        <v>1.1400426309378806</v>
      </c>
      <c r="DX9" s="14">
        <f t="shared" si="25"/>
        <v>0</v>
      </c>
      <c r="DY9" s="14">
        <f t="shared" si="61"/>
        <v>0.36399999999999999</v>
      </c>
      <c r="DZ9" s="15">
        <f t="shared" si="26"/>
        <v>2.7395</v>
      </c>
      <c r="EA9" s="14">
        <f t="shared" si="62"/>
        <v>0.18510135135135133</v>
      </c>
      <c r="EB9" s="14">
        <f t="shared" si="27"/>
        <v>0.5</v>
      </c>
      <c r="EC9" s="14">
        <f t="shared" si="28"/>
        <v>0.18510135135135133</v>
      </c>
      <c r="ED9" s="14">
        <f t="shared" si="63"/>
        <v>0</v>
      </c>
      <c r="EE9" s="19">
        <f t="shared" si="64"/>
        <v>0.92999999999999994</v>
      </c>
      <c r="EF9" s="67">
        <f t="shared" si="65"/>
        <v>3.6000000000000011E-2</v>
      </c>
      <c r="EG9" s="74">
        <f t="shared" si="66"/>
        <v>2.3208950146092038</v>
      </c>
      <c r="EH9" s="27">
        <f t="shared" si="67"/>
        <v>0.68249041271000732</v>
      </c>
      <c r="EI9" s="25">
        <f t="shared" si="68"/>
        <v>0</v>
      </c>
      <c r="EJ9" s="25">
        <f t="shared" si="69"/>
        <v>0</v>
      </c>
      <c r="EK9" s="26">
        <f t="shared" si="29"/>
        <v>0</v>
      </c>
      <c r="EL9" s="29">
        <f t="shared" si="70"/>
        <v>0.88732394366197176</v>
      </c>
      <c r="EM9" s="30">
        <f t="shared" si="30"/>
        <v>0.125</v>
      </c>
      <c r="EN9" s="30">
        <f t="shared" si="31"/>
        <v>0.52941176470588236</v>
      </c>
      <c r="EO9" s="31">
        <f t="shared" si="71"/>
        <v>0.45070422535211296</v>
      </c>
      <c r="EP9" s="31">
        <f t="shared" si="32"/>
        <v>1.8543881817090115</v>
      </c>
      <c r="EQ9" s="31">
        <f t="shared" si="72"/>
        <v>2.3050924070611245</v>
      </c>
      <c r="ER9" s="93">
        <f t="shared" si="33"/>
        <v>0.8379894783165297</v>
      </c>
      <c r="ES9" s="109">
        <f t="shared" si="34"/>
        <v>177.46073380375375</v>
      </c>
      <c r="ET9" s="32">
        <f t="shared" si="35"/>
        <v>2.4034672970843185</v>
      </c>
      <c r="EV9" s="277"/>
      <c r="EW9" s="278"/>
      <c r="EX9" s="37">
        <f t="shared" si="81"/>
        <v>0.7</v>
      </c>
      <c r="EY9" s="72">
        <f t="shared" si="73"/>
        <v>1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6.57</v>
      </c>
      <c r="FG9" s="144">
        <f t="shared" si="36"/>
        <v>0</v>
      </c>
      <c r="FH9" s="484" t="s">
        <v>52</v>
      </c>
      <c r="FI9" s="145">
        <f t="shared" si="74"/>
        <v>2</v>
      </c>
      <c r="FJ9" s="194">
        <f t="shared" si="75"/>
        <v>0</v>
      </c>
      <c r="FK9" s="110">
        <f t="shared" si="37"/>
        <v>0</v>
      </c>
      <c r="FL9" s="484" t="s">
        <v>52</v>
      </c>
      <c r="FM9" s="168">
        <f t="shared" si="38"/>
        <v>0</v>
      </c>
      <c r="FN9" s="194" t="str">
        <f t="shared" si="76"/>
        <v>0</v>
      </c>
      <c r="FO9" s="262">
        <f t="shared" si="77"/>
        <v>0</v>
      </c>
      <c r="FP9" s="484" t="s">
        <v>52</v>
      </c>
      <c r="FQ9" s="274">
        <f t="shared" si="78"/>
        <v>0</v>
      </c>
      <c r="FR9" s="197" t="str">
        <f t="shared" si="79"/>
        <v>0</v>
      </c>
      <c r="FS9" s="140">
        <f t="shared" si="39"/>
        <v>0</v>
      </c>
      <c r="FT9" s="140">
        <f t="shared" si="39"/>
        <v>4</v>
      </c>
      <c r="FU9" s="140">
        <f t="shared" si="40"/>
        <v>4</v>
      </c>
      <c r="FV9" s="175">
        <f t="shared" si="40"/>
        <v>0</v>
      </c>
      <c r="FW9" s="140">
        <f t="shared" si="40"/>
        <v>0</v>
      </c>
      <c r="FX9" s="140">
        <f t="shared" si="40"/>
        <v>2</v>
      </c>
      <c r="FY9" s="140">
        <f t="shared" si="40"/>
        <v>1</v>
      </c>
      <c r="FZ9" s="140">
        <f t="shared" si="40"/>
        <v>0</v>
      </c>
      <c r="GA9" s="140">
        <f t="shared" si="40"/>
        <v>1</v>
      </c>
      <c r="GB9" s="140">
        <f t="shared" si="40"/>
        <v>0</v>
      </c>
      <c r="GC9" s="175">
        <f t="shared" si="40"/>
        <v>0.7</v>
      </c>
      <c r="GD9" s="202">
        <f t="shared" si="80"/>
        <v>29.40634575945807</v>
      </c>
      <c r="GE9" s="140">
        <f t="shared" si="80"/>
        <v>0.15291299794918195</v>
      </c>
      <c r="GF9" s="140">
        <f t="shared" si="80"/>
        <v>0.16874686642167477</v>
      </c>
      <c r="GG9" s="259">
        <f t="shared" si="80"/>
        <v>149.75632685599882</v>
      </c>
      <c r="GH9" s="140"/>
      <c r="GJ9" s="82"/>
      <c r="GK9" s="24"/>
      <c r="GL9" s="185">
        <f>(CQ9/CQ35)*(EY36-EX36)</f>
        <v>1.2000000000000002</v>
      </c>
      <c r="GM9" s="185">
        <f>((E36/G36)*(1-(CJ36/(CJ36+CK35))))/((E36/G36)*(1-(CJ36/(CJ36+CK35)))+((1-(E36/G36)))*(CJ36/(CJ36+CK35)))</f>
        <v>0.6923076923076924</v>
      </c>
      <c r="GN9" s="24">
        <f>GK9+(GL9/10)+(GJ9*GM9*(1-(CJ36/(CJ36+CK35))))+(CK9*(1-GM9))</f>
        <v>1.3507692307692305</v>
      </c>
      <c r="GO9" s="213">
        <f>GN9/(DD9*EG36)</f>
        <v>6.9320597848279555E-2</v>
      </c>
    </row>
    <row r="10" spans="1:197" x14ac:dyDescent="0.2">
      <c r="A10" s="139"/>
      <c r="B10" s="89" t="s">
        <v>117</v>
      </c>
      <c r="C10" s="41" t="s">
        <v>210</v>
      </c>
      <c r="D10" s="161">
        <v>2.54</v>
      </c>
      <c r="E10" s="114">
        <f t="shared" si="0"/>
        <v>1</v>
      </c>
      <c r="F10" s="484" t="s">
        <v>52</v>
      </c>
      <c r="G10" s="115">
        <f t="shared" si="1"/>
        <v>1</v>
      </c>
      <c r="H10" s="116" t="s">
        <v>53</v>
      </c>
      <c r="I10" s="484">
        <f t="shared" si="41"/>
        <v>1</v>
      </c>
      <c r="J10" s="115" t="s">
        <v>54</v>
      </c>
      <c r="K10" s="116">
        <f t="shared" si="2"/>
        <v>0</v>
      </c>
      <c r="L10" s="484" t="s">
        <v>52</v>
      </c>
      <c r="M10" s="115">
        <f t="shared" si="3"/>
        <v>0</v>
      </c>
      <c r="N10" s="116" t="s">
        <v>53</v>
      </c>
      <c r="O10" s="484">
        <f t="shared" si="4"/>
        <v>0</v>
      </c>
      <c r="P10" s="115" t="s">
        <v>54</v>
      </c>
      <c r="Q10" s="116">
        <f t="shared" si="5"/>
        <v>0</v>
      </c>
      <c r="R10" s="484" t="s">
        <v>52</v>
      </c>
      <c r="S10" s="115">
        <f t="shared" si="42"/>
        <v>0</v>
      </c>
      <c r="T10" s="116" t="s">
        <v>53</v>
      </c>
      <c r="U10" s="484">
        <f t="shared" si="6"/>
        <v>0</v>
      </c>
      <c r="V10" s="115" t="s">
        <v>54</v>
      </c>
      <c r="W10" s="116">
        <f t="shared" si="7"/>
        <v>1</v>
      </c>
      <c r="X10" s="484" t="s">
        <v>52</v>
      </c>
      <c r="Y10" s="115">
        <f t="shared" si="8"/>
        <v>1</v>
      </c>
      <c r="Z10" s="116" t="s">
        <v>53</v>
      </c>
      <c r="AA10" s="484">
        <f t="shared" si="9"/>
        <v>1</v>
      </c>
      <c r="AB10" s="115" t="s">
        <v>54</v>
      </c>
      <c r="AC10" s="116">
        <f t="shared" si="43"/>
        <v>0</v>
      </c>
      <c r="AD10" s="484" t="s">
        <v>52</v>
      </c>
      <c r="AE10" s="117">
        <f t="shared" si="44"/>
        <v>0</v>
      </c>
      <c r="AF10" s="485"/>
      <c r="AG10" s="114">
        <f t="shared" si="45"/>
        <v>1</v>
      </c>
      <c r="AH10" s="484" t="s">
        <v>52</v>
      </c>
      <c r="AI10" s="115">
        <f t="shared" si="10"/>
        <v>1</v>
      </c>
      <c r="AJ10" s="116" t="s">
        <v>53</v>
      </c>
      <c r="AK10" s="484">
        <f t="shared" si="11"/>
        <v>1</v>
      </c>
      <c r="AL10" s="115" t="s">
        <v>54</v>
      </c>
      <c r="AM10" s="246">
        <v>0</v>
      </c>
      <c r="AN10" s="244" t="s">
        <v>52</v>
      </c>
      <c r="AO10" s="245">
        <v>0</v>
      </c>
      <c r="AP10" s="246" t="s">
        <v>53</v>
      </c>
      <c r="AQ10" s="244">
        <v>0</v>
      </c>
      <c r="AR10" s="245" t="s">
        <v>54</v>
      </c>
      <c r="AS10" s="246">
        <v>0</v>
      </c>
      <c r="AT10" s="244" t="s">
        <v>52</v>
      </c>
      <c r="AU10" s="245">
        <v>0</v>
      </c>
      <c r="AV10" s="246" t="s">
        <v>53</v>
      </c>
      <c r="AW10" s="244">
        <v>0</v>
      </c>
      <c r="AX10" s="245" t="s">
        <v>54</v>
      </c>
      <c r="AY10" s="246">
        <v>1</v>
      </c>
      <c r="AZ10" s="244" t="s">
        <v>52</v>
      </c>
      <c r="BA10" s="245">
        <v>1</v>
      </c>
      <c r="BB10" s="246" t="s">
        <v>53</v>
      </c>
      <c r="BC10" s="244">
        <v>1</v>
      </c>
      <c r="BD10" s="245" t="s">
        <v>54</v>
      </c>
      <c r="BE10" s="116">
        <v>0</v>
      </c>
      <c r="BF10" s="484" t="s">
        <v>52</v>
      </c>
      <c r="BG10" s="117">
        <v>0</v>
      </c>
      <c r="BH10" s="115"/>
      <c r="BI10" s="114">
        <f t="shared" si="12"/>
        <v>0</v>
      </c>
      <c r="BJ10" s="484" t="s">
        <v>52</v>
      </c>
      <c r="BK10" s="115">
        <f t="shared" si="46"/>
        <v>0</v>
      </c>
      <c r="BL10" s="116" t="s">
        <v>53</v>
      </c>
      <c r="BM10" s="484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484" t="s">
        <v>52</v>
      </c>
      <c r="CI10" s="117">
        <v>0</v>
      </c>
      <c r="CJ10" s="140">
        <v>0</v>
      </c>
      <c r="CK10" s="148">
        <f t="shared" si="47"/>
        <v>0</v>
      </c>
      <c r="CL10" s="148">
        <v>0</v>
      </c>
      <c r="CM10" s="148">
        <v>0</v>
      </c>
      <c r="CN10" s="148">
        <f t="shared" si="48"/>
        <v>0</v>
      </c>
      <c r="CO10" s="175">
        <v>0</v>
      </c>
      <c r="CP10" s="140">
        <v>1</v>
      </c>
      <c r="CQ10" s="175">
        <v>0</v>
      </c>
      <c r="CR10" s="148">
        <v>0</v>
      </c>
      <c r="CS10" s="148">
        <v>0</v>
      </c>
      <c r="CT10" s="140">
        <v>0</v>
      </c>
      <c r="CU10" s="140">
        <v>0</v>
      </c>
      <c r="CV10" s="148">
        <f t="shared" si="49"/>
        <v>3</v>
      </c>
      <c r="CW10" s="140"/>
      <c r="CX10" s="140">
        <f t="shared" si="50"/>
        <v>300</v>
      </c>
      <c r="CY10" s="140">
        <f t="shared" si="14"/>
        <v>1</v>
      </c>
      <c r="CZ10" s="165">
        <f t="shared" si="15"/>
        <v>0.41066512479159523</v>
      </c>
      <c r="DA10" s="164">
        <f t="shared" si="16"/>
        <v>158.0518071476711</v>
      </c>
      <c r="DB10" s="141"/>
      <c r="DC10" s="141"/>
      <c r="DD10" s="77">
        <f t="shared" si="51"/>
        <v>0.38672350791717414</v>
      </c>
      <c r="DE10" s="37">
        <f t="shared" si="52"/>
        <v>1</v>
      </c>
      <c r="DF10" s="37">
        <f t="shared" si="53"/>
        <v>1</v>
      </c>
      <c r="DG10" s="37">
        <f t="shared" si="54"/>
        <v>1.5</v>
      </c>
      <c r="DH10" s="37">
        <f t="shared" si="17"/>
        <v>0</v>
      </c>
      <c r="DI10" s="37">
        <f t="shared" si="18"/>
        <v>0</v>
      </c>
      <c r="DJ10" s="37">
        <f t="shared" si="19"/>
        <v>0</v>
      </c>
      <c r="DK10" s="37">
        <f t="shared" si="20"/>
        <v>0</v>
      </c>
      <c r="DL10" s="37">
        <f t="shared" si="21"/>
        <v>0</v>
      </c>
      <c r="DM10" s="37">
        <f t="shared" si="22"/>
        <v>0.18806668704386453</v>
      </c>
      <c r="DN10" s="37">
        <f t="shared" si="55"/>
        <v>0</v>
      </c>
      <c r="DO10" s="37" t="str">
        <f t="shared" si="56"/>
        <v>0</v>
      </c>
      <c r="DP10" s="66">
        <f t="shared" si="57"/>
        <v>0</v>
      </c>
      <c r="DQ10" s="78">
        <f t="shared" si="58"/>
        <v>0</v>
      </c>
      <c r="DR10" s="6"/>
      <c r="DS10" s="36"/>
      <c r="DT10" s="75">
        <f t="shared" si="59"/>
        <v>54.199606299212597</v>
      </c>
      <c r="DU10" s="18">
        <f t="shared" si="23"/>
        <v>2.1836143936316166</v>
      </c>
      <c r="DV10" s="13">
        <f t="shared" si="60"/>
        <v>2.2396359671525667</v>
      </c>
      <c r="DW10" s="14">
        <f t="shared" si="24"/>
        <v>-1.6528479562034226</v>
      </c>
      <c r="DX10" s="14">
        <f t="shared" si="25"/>
        <v>0</v>
      </c>
      <c r="DY10" s="14" t="str">
        <f t="shared" si="61"/>
        <v>0</v>
      </c>
      <c r="DZ10" s="15">
        <f t="shared" si="26"/>
        <v>2.7395</v>
      </c>
      <c r="EA10" s="14">
        <f t="shared" si="62"/>
        <v>0.18510135135135133</v>
      </c>
      <c r="EB10" s="14">
        <f t="shared" si="27"/>
        <v>0.5</v>
      </c>
      <c r="EC10" s="14">
        <f t="shared" si="28"/>
        <v>0.18510135135135133</v>
      </c>
      <c r="ED10" s="14">
        <f t="shared" si="63"/>
        <v>0</v>
      </c>
      <c r="EE10" s="19">
        <f t="shared" si="64"/>
        <v>0</v>
      </c>
      <c r="EF10" s="67" t="str">
        <f t="shared" si="65"/>
        <v>0</v>
      </c>
      <c r="EG10" s="74">
        <f t="shared" si="66"/>
        <v>2.1836143936316166</v>
      </c>
      <c r="EH10" s="27">
        <f t="shared" si="67"/>
        <v>6.5508431808948497</v>
      </c>
      <c r="EI10" s="25">
        <f t="shared" si="68"/>
        <v>6.7189079014577002</v>
      </c>
      <c r="EJ10" s="25">
        <f t="shared" si="69"/>
        <v>0</v>
      </c>
      <c r="EK10" s="26">
        <f t="shared" si="29"/>
        <v>0</v>
      </c>
      <c r="EL10" s="29">
        <f t="shared" si="70"/>
        <v>0.88732394366197176</v>
      </c>
      <c r="EM10" s="30">
        <f t="shared" si="30"/>
        <v>0.125</v>
      </c>
      <c r="EN10" s="30">
        <f t="shared" si="31"/>
        <v>0.52941176470588236</v>
      </c>
      <c r="EO10" s="31">
        <f t="shared" si="71"/>
        <v>0</v>
      </c>
      <c r="EP10" s="31">
        <f t="shared" si="32"/>
        <v>0.70763865776878065</v>
      </c>
      <c r="EQ10" s="31">
        <f t="shared" si="72"/>
        <v>0.70763865776878065</v>
      </c>
      <c r="ER10" s="93">
        <f t="shared" si="33"/>
        <v>0.66541628995370783</v>
      </c>
      <c r="ES10" s="109">
        <f t="shared" si="34"/>
        <v>177.46073380375375</v>
      </c>
      <c r="ET10" s="32">
        <f t="shared" si="35"/>
        <v>2.4034672970843185</v>
      </c>
      <c r="EV10" s="277"/>
      <c r="EW10" s="278"/>
      <c r="EX10" s="37">
        <f t="shared" si="81"/>
        <v>0</v>
      </c>
      <c r="EY10" s="72">
        <f t="shared" si="73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2.54</v>
      </c>
      <c r="FG10" s="182">
        <f t="shared" si="36"/>
        <v>1</v>
      </c>
      <c r="FH10" s="183" t="s">
        <v>52</v>
      </c>
      <c r="FI10" s="184">
        <f t="shared" si="74"/>
        <v>1</v>
      </c>
      <c r="FJ10" s="193">
        <f t="shared" si="75"/>
        <v>1</v>
      </c>
      <c r="FK10" s="185">
        <f t="shared" si="37"/>
        <v>1</v>
      </c>
      <c r="FL10" s="183" t="s">
        <v>52</v>
      </c>
      <c r="FM10" s="186">
        <f t="shared" si="38"/>
        <v>1</v>
      </c>
      <c r="FN10" s="193">
        <f t="shared" si="76"/>
        <v>1</v>
      </c>
      <c r="FO10" s="261">
        <f t="shared" si="77"/>
        <v>0</v>
      </c>
      <c r="FP10" s="183" t="s">
        <v>52</v>
      </c>
      <c r="FQ10" s="268">
        <f t="shared" si="78"/>
        <v>0</v>
      </c>
      <c r="FR10" s="196" t="str">
        <f t="shared" si="79"/>
        <v>0</v>
      </c>
      <c r="FS10" s="179">
        <f t="shared" si="39"/>
        <v>0</v>
      </c>
      <c r="FT10" s="179">
        <f t="shared" si="39"/>
        <v>0</v>
      </c>
      <c r="FU10" s="179">
        <f t="shared" si="40"/>
        <v>0</v>
      </c>
      <c r="FV10" s="187">
        <f t="shared" si="40"/>
        <v>0</v>
      </c>
      <c r="FW10" s="179">
        <f t="shared" si="40"/>
        <v>1</v>
      </c>
      <c r="FX10" s="179">
        <f t="shared" si="40"/>
        <v>0</v>
      </c>
      <c r="FY10" s="179">
        <f t="shared" si="40"/>
        <v>0</v>
      </c>
      <c r="FZ10" s="179">
        <f t="shared" si="40"/>
        <v>0</v>
      </c>
      <c r="GA10" s="179">
        <f t="shared" si="40"/>
        <v>0</v>
      </c>
      <c r="GB10" s="179">
        <f t="shared" si="40"/>
        <v>0</v>
      </c>
      <c r="GC10" s="187">
        <f t="shared" si="40"/>
        <v>3</v>
      </c>
      <c r="GD10" s="203">
        <f t="shared" si="80"/>
        <v>300</v>
      </c>
      <c r="GE10" s="179">
        <f t="shared" si="80"/>
        <v>1</v>
      </c>
      <c r="GF10" s="179">
        <f t="shared" si="80"/>
        <v>0.41066512479159523</v>
      </c>
      <c r="GG10" s="258">
        <f t="shared" si="80"/>
        <v>158.0518071476711</v>
      </c>
      <c r="GH10" s="179"/>
      <c r="GJ10" s="82"/>
      <c r="GK10" s="24"/>
      <c r="GL10" s="185">
        <f>(CQ10/CQ37)*(EY38-EX38)</f>
        <v>0</v>
      </c>
      <c r="GM10" s="185">
        <f>((E38/G38)*(1-(CJ38/(CJ38+CK37))))/((E38/G38)*(1-(CJ38/(CJ38+CK37)))+((1-(E38/G38)))*(CJ38/(CJ38+CK37)))</f>
        <v>0.88732394366197176</v>
      </c>
      <c r="GN10" s="24">
        <f>GK10+(GL10/10)+(GJ10*GM10*(1-(CJ38/(CJ38+CK37))))+(CK10*(1-GM10))</f>
        <v>0</v>
      </c>
      <c r="GO10" s="213">
        <f>GN10/(DD10*EG38)</f>
        <v>0</v>
      </c>
    </row>
    <row r="11" spans="1:197" x14ac:dyDescent="0.2">
      <c r="A11" s="139"/>
      <c r="B11" s="89" t="s">
        <v>82</v>
      </c>
      <c r="C11" s="41" t="s">
        <v>211</v>
      </c>
      <c r="D11" s="161">
        <v>3.38</v>
      </c>
      <c r="E11" s="114">
        <f t="shared" si="0"/>
        <v>2</v>
      </c>
      <c r="F11" s="484" t="s">
        <v>52</v>
      </c>
      <c r="G11" s="115">
        <f t="shared" si="1"/>
        <v>2</v>
      </c>
      <c r="H11" s="116" t="s">
        <v>53</v>
      </c>
      <c r="I11" s="484">
        <f t="shared" si="41"/>
        <v>1</v>
      </c>
      <c r="J11" s="115" t="s">
        <v>54</v>
      </c>
      <c r="K11" s="116">
        <f t="shared" si="2"/>
        <v>1</v>
      </c>
      <c r="L11" s="484" t="s">
        <v>52</v>
      </c>
      <c r="M11" s="115">
        <f t="shared" si="3"/>
        <v>1</v>
      </c>
      <c r="N11" s="116" t="s">
        <v>53</v>
      </c>
      <c r="O11" s="484">
        <f t="shared" si="4"/>
        <v>1</v>
      </c>
      <c r="P11" s="115" t="s">
        <v>54</v>
      </c>
      <c r="Q11" s="116">
        <f t="shared" si="5"/>
        <v>0</v>
      </c>
      <c r="R11" s="484" t="s">
        <v>52</v>
      </c>
      <c r="S11" s="115">
        <f t="shared" si="42"/>
        <v>0</v>
      </c>
      <c r="T11" s="116" t="s">
        <v>53</v>
      </c>
      <c r="U11" s="484">
        <f t="shared" si="6"/>
        <v>0</v>
      </c>
      <c r="V11" s="115" t="s">
        <v>54</v>
      </c>
      <c r="W11" s="116">
        <f t="shared" si="7"/>
        <v>1</v>
      </c>
      <c r="X11" s="484" t="s">
        <v>52</v>
      </c>
      <c r="Y11" s="115">
        <f t="shared" si="8"/>
        <v>1</v>
      </c>
      <c r="Z11" s="116" t="s">
        <v>53</v>
      </c>
      <c r="AA11" s="484">
        <f t="shared" si="9"/>
        <v>0</v>
      </c>
      <c r="AB11" s="115" t="s">
        <v>54</v>
      </c>
      <c r="AC11" s="116">
        <f t="shared" si="43"/>
        <v>0</v>
      </c>
      <c r="AD11" s="484" t="s">
        <v>52</v>
      </c>
      <c r="AE11" s="117">
        <f t="shared" si="44"/>
        <v>0</v>
      </c>
      <c r="AF11" s="485"/>
      <c r="AG11" s="114">
        <f t="shared" si="45"/>
        <v>1</v>
      </c>
      <c r="AH11" s="484" t="s">
        <v>52</v>
      </c>
      <c r="AI11" s="115">
        <f t="shared" si="10"/>
        <v>1</v>
      </c>
      <c r="AJ11" s="116" t="s">
        <v>53</v>
      </c>
      <c r="AK11" s="484">
        <f t="shared" si="11"/>
        <v>1</v>
      </c>
      <c r="AL11" s="115" t="s">
        <v>54</v>
      </c>
      <c r="AM11" s="246">
        <v>1</v>
      </c>
      <c r="AN11" s="244" t="s">
        <v>52</v>
      </c>
      <c r="AO11" s="245">
        <v>1</v>
      </c>
      <c r="AP11" s="246" t="s">
        <v>53</v>
      </c>
      <c r="AQ11" s="244">
        <v>1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0</v>
      </c>
      <c r="BB11" s="246" t="s">
        <v>53</v>
      </c>
      <c r="BC11" s="244">
        <v>0</v>
      </c>
      <c r="BD11" s="245" t="s">
        <v>54</v>
      </c>
      <c r="BE11" s="116">
        <v>0</v>
      </c>
      <c r="BF11" s="484" t="s">
        <v>52</v>
      </c>
      <c r="BG11" s="117">
        <v>0</v>
      </c>
      <c r="BH11" s="115"/>
      <c r="BI11" s="114">
        <f t="shared" si="12"/>
        <v>1</v>
      </c>
      <c r="BJ11" s="484" t="s">
        <v>52</v>
      </c>
      <c r="BK11" s="115">
        <f t="shared" si="46"/>
        <v>1</v>
      </c>
      <c r="BL11" s="116" t="s">
        <v>53</v>
      </c>
      <c r="BM11" s="484">
        <f t="shared" si="13"/>
        <v>0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1</v>
      </c>
      <c r="CB11" s="244" t="s">
        <v>52</v>
      </c>
      <c r="CC11" s="245">
        <v>1</v>
      </c>
      <c r="CD11" s="246" t="s">
        <v>53</v>
      </c>
      <c r="CE11" s="244">
        <v>0</v>
      </c>
      <c r="CF11" s="245" t="s">
        <v>54</v>
      </c>
      <c r="CG11" s="116">
        <v>0</v>
      </c>
      <c r="CH11" s="484" t="s">
        <v>52</v>
      </c>
      <c r="CI11" s="117">
        <v>0</v>
      </c>
      <c r="CJ11" s="140">
        <v>0</v>
      </c>
      <c r="CK11" s="148">
        <f t="shared" si="47"/>
        <v>0</v>
      </c>
      <c r="CL11" s="148">
        <v>0</v>
      </c>
      <c r="CM11" s="148">
        <v>0</v>
      </c>
      <c r="CN11" s="148">
        <f t="shared" si="48"/>
        <v>0</v>
      </c>
      <c r="CO11" s="175">
        <v>0</v>
      </c>
      <c r="CP11" s="140">
        <v>0</v>
      </c>
      <c r="CQ11" s="175">
        <v>0</v>
      </c>
      <c r="CR11" s="148">
        <v>0</v>
      </c>
      <c r="CS11" s="148">
        <v>1</v>
      </c>
      <c r="CT11" s="140">
        <v>1</v>
      </c>
      <c r="CU11" s="140">
        <v>0</v>
      </c>
      <c r="CV11" s="148">
        <f t="shared" si="49"/>
        <v>5</v>
      </c>
      <c r="CW11" s="140"/>
      <c r="CX11" s="140">
        <f t="shared" si="50"/>
        <v>122.35448797209362</v>
      </c>
      <c r="CY11" s="140">
        <f t="shared" si="14"/>
        <v>0.4894179518883745</v>
      </c>
      <c r="CZ11" s="165">
        <f t="shared" si="15"/>
        <v>0.19537287550499571</v>
      </c>
      <c r="DA11" s="164">
        <f t="shared" si="16"/>
        <v>41.71526906114552</v>
      </c>
      <c r="DB11" s="141"/>
      <c r="DC11" s="141"/>
      <c r="DD11" s="77">
        <f t="shared" si="51"/>
        <v>0.51461632155907422</v>
      </c>
      <c r="DE11" s="37">
        <f t="shared" si="52"/>
        <v>1</v>
      </c>
      <c r="DF11" s="37">
        <f t="shared" si="53"/>
        <v>1</v>
      </c>
      <c r="DG11" s="37">
        <f t="shared" si="54"/>
        <v>1.25</v>
      </c>
      <c r="DH11" s="37">
        <f t="shared" si="17"/>
        <v>0</v>
      </c>
      <c r="DI11" s="37">
        <f t="shared" si="18"/>
        <v>0</v>
      </c>
      <c r="DJ11" s="37">
        <f t="shared" si="19"/>
        <v>0</v>
      </c>
      <c r="DK11" s="37">
        <f t="shared" si="20"/>
        <v>9.9753882920798329E-2</v>
      </c>
      <c r="DL11" s="37">
        <f t="shared" si="21"/>
        <v>0</v>
      </c>
      <c r="DM11" s="37">
        <f t="shared" si="22"/>
        <v>0</v>
      </c>
      <c r="DN11" s="37">
        <f t="shared" si="55"/>
        <v>0.51058204811162544</v>
      </c>
      <c r="DO11" s="37">
        <f t="shared" si="56"/>
        <v>0</v>
      </c>
      <c r="DP11" s="66">
        <f t="shared" si="57"/>
        <v>0</v>
      </c>
      <c r="DQ11" s="78">
        <f t="shared" si="58"/>
        <v>0</v>
      </c>
      <c r="DR11" s="6"/>
      <c r="DS11" s="36"/>
      <c r="DT11" s="75">
        <f t="shared" si="59"/>
        <v>66.147041420118342</v>
      </c>
      <c r="DU11" s="18">
        <f t="shared" si="23"/>
        <v>0.95854907883752316</v>
      </c>
      <c r="DV11" s="13">
        <f t="shared" si="60"/>
        <v>0.99934557368986976</v>
      </c>
      <c r="DW11" s="14">
        <f t="shared" si="24"/>
        <v>0.80052354104810419</v>
      </c>
      <c r="DX11" s="14">
        <f t="shared" si="25"/>
        <v>0</v>
      </c>
      <c r="DY11" s="14" t="str">
        <f t="shared" si="61"/>
        <v>0</v>
      </c>
      <c r="DZ11" s="15">
        <f t="shared" si="26"/>
        <v>10.151999999999999</v>
      </c>
      <c r="EA11" s="14">
        <f t="shared" si="62"/>
        <v>0.86545206547155107</v>
      </c>
      <c r="EB11" s="14">
        <f t="shared" si="27"/>
        <v>0.125</v>
      </c>
      <c r="EC11" s="14">
        <f t="shared" si="28"/>
        <v>0.47886792452830185</v>
      </c>
      <c r="ED11" s="14">
        <f t="shared" si="63"/>
        <v>0</v>
      </c>
      <c r="EE11" s="19">
        <f t="shared" si="64"/>
        <v>0</v>
      </c>
      <c r="EF11" s="67" t="str">
        <f t="shared" si="65"/>
        <v>0</v>
      </c>
      <c r="EG11" s="74">
        <f t="shared" si="66"/>
        <v>1.9585490788375233</v>
      </c>
      <c r="EH11" s="27">
        <f t="shared" si="67"/>
        <v>2.396372697093808</v>
      </c>
      <c r="EI11" s="25">
        <f t="shared" si="68"/>
        <v>2.4983639342246744</v>
      </c>
      <c r="EJ11" s="25">
        <f t="shared" si="69"/>
        <v>0</v>
      </c>
      <c r="EK11" s="26">
        <f t="shared" si="29"/>
        <v>0</v>
      </c>
      <c r="EL11" s="29">
        <f t="shared" si="70"/>
        <v>0.33333333333333331</v>
      </c>
      <c r="EM11" s="30">
        <f t="shared" si="30"/>
        <v>0.5</v>
      </c>
      <c r="EN11" s="30">
        <f t="shared" si="31"/>
        <v>0.33333333333333331</v>
      </c>
      <c r="EO11" s="31">
        <f t="shared" si="71"/>
        <v>1</v>
      </c>
      <c r="EP11" s="31">
        <f t="shared" si="32"/>
        <v>0.35662911084043852</v>
      </c>
      <c r="EQ11" s="31">
        <f t="shared" si="72"/>
        <v>1.3566291108404385</v>
      </c>
      <c r="ER11" s="93">
        <f t="shared" si="33"/>
        <v>0.67664510744861917</v>
      </c>
      <c r="ES11" s="109">
        <f t="shared" si="34"/>
        <v>33.111059707008586</v>
      </c>
      <c r="ET11" s="32">
        <f t="shared" si="35"/>
        <v>2.354444241649936</v>
      </c>
      <c r="EV11" s="277"/>
      <c r="EW11" s="278"/>
      <c r="EX11" s="37">
        <f t="shared" si="81"/>
        <v>0</v>
      </c>
      <c r="EY11" s="72">
        <f t="shared" si="73"/>
        <v>0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3.38</v>
      </c>
      <c r="FG11" s="144">
        <f t="shared" si="36"/>
        <v>2</v>
      </c>
      <c r="FH11" s="484" t="s">
        <v>52</v>
      </c>
      <c r="FI11" s="145">
        <f t="shared" si="74"/>
        <v>2</v>
      </c>
      <c r="FJ11" s="194">
        <f t="shared" si="75"/>
        <v>1</v>
      </c>
      <c r="FK11" s="110">
        <f t="shared" si="37"/>
        <v>1</v>
      </c>
      <c r="FL11" s="484" t="s">
        <v>52</v>
      </c>
      <c r="FM11" s="168">
        <f t="shared" si="38"/>
        <v>1</v>
      </c>
      <c r="FN11" s="194">
        <f t="shared" si="76"/>
        <v>1</v>
      </c>
      <c r="FO11" s="262">
        <f t="shared" si="77"/>
        <v>0</v>
      </c>
      <c r="FP11" s="484" t="s">
        <v>52</v>
      </c>
      <c r="FQ11" s="274">
        <f t="shared" si="78"/>
        <v>0</v>
      </c>
      <c r="FR11" s="197" t="str">
        <f t="shared" si="79"/>
        <v>0</v>
      </c>
      <c r="FS11" s="140">
        <f t="shared" si="39"/>
        <v>0</v>
      </c>
      <c r="FT11" s="140">
        <f t="shared" si="39"/>
        <v>0</v>
      </c>
      <c r="FU11" s="140">
        <f t="shared" si="40"/>
        <v>0</v>
      </c>
      <c r="FV11" s="175">
        <f t="shared" si="40"/>
        <v>0</v>
      </c>
      <c r="FW11" s="140">
        <f t="shared" si="40"/>
        <v>0</v>
      </c>
      <c r="FX11" s="140">
        <f t="shared" si="40"/>
        <v>0</v>
      </c>
      <c r="FY11" s="140">
        <f t="shared" si="40"/>
        <v>0</v>
      </c>
      <c r="FZ11" s="140">
        <f t="shared" si="40"/>
        <v>1</v>
      </c>
      <c r="GA11" s="140">
        <f t="shared" si="40"/>
        <v>1</v>
      </c>
      <c r="GB11" s="140">
        <f t="shared" si="40"/>
        <v>0</v>
      </c>
      <c r="GC11" s="175">
        <f t="shared" si="40"/>
        <v>5</v>
      </c>
      <c r="GD11" s="202">
        <f t="shared" si="80"/>
        <v>122.35448797209362</v>
      </c>
      <c r="GE11" s="140">
        <f t="shared" si="80"/>
        <v>0.4894179518883745</v>
      </c>
      <c r="GF11" s="140">
        <f t="shared" si="80"/>
        <v>0.19537287550499571</v>
      </c>
      <c r="GG11" s="259">
        <f t="shared" si="80"/>
        <v>41.71526906114552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89" t="s">
        <v>82</v>
      </c>
      <c r="C12" s="41" t="s">
        <v>212</v>
      </c>
      <c r="D12" s="161">
        <v>3.39</v>
      </c>
      <c r="E12" s="114">
        <f t="shared" si="0"/>
        <v>0</v>
      </c>
      <c r="F12" s="484" t="s">
        <v>52</v>
      </c>
      <c r="G12" s="115">
        <f t="shared" si="1"/>
        <v>1</v>
      </c>
      <c r="H12" s="116" t="s">
        <v>53</v>
      </c>
      <c r="I12" s="484">
        <f t="shared" si="41"/>
        <v>0</v>
      </c>
      <c r="J12" s="115" t="s">
        <v>54</v>
      </c>
      <c r="K12" s="116">
        <f t="shared" si="2"/>
        <v>0</v>
      </c>
      <c r="L12" s="484" t="s">
        <v>52</v>
      </c>
      <c r="M12" s="115">
        <f t="shared" si="3"/>
        <v>0</v>
      </c>
      <c r="N12" s="116" t="s">
        <v>53</v>
      </c>
      <c r="O12" s="484">
        <f t="shared" si="4"/>
        <v>0</v>
      </c>
      <c r="P12" s="115" t="s">
        <v>54</v>
      </c>
      <c r="Q12" s="116">
        <f t="shared" si="5"/>
        <v>0</v>
      </c>
      <c r="R12" s="484" t="s">
        <v>52</v>
      </c>
      <c r="S12" s="115">
        <f t="shared" si="42"/>
        <v>0</v>
      </c>
      <c r="T12" s="116" t="s">
        <v>53</v>
      </c>
      <c r="U12" s="484">
        <f t="shared" si="6"/>
        <v>0</v>
      </c>
      <c r="V12" s="115" t="s">
        <v>54</v>
      </c>
      <c r="W12" s="116">
        <f t="shared" si="7"/>
        <v>0</v>
      </c>
      <c r="X12" s="484" t="s">
        <v>52</v>
      </c>
      <c r="Y12" s="115">
        <f t="shared" si="8"/>
        <v>1</v>
      </c>
      <c r="Z12" s="116" t="s">
        <v>53</v>
      </c>
      <c r="AA12" s="484">
        <f t="shared" si="9"/>
        <v>0</v>
      </c>
      <c r="AB12" s="115" t="s">
        <v>54</v>
      </c>
      <c r="AC12" s="116">
        <f t="shared" si="43"/>
        <v>0</v>
      </c>
      <c r="AD12" s="484" t="s">
        <v>52</v>
      </c>
      <c r="AE12" s="117">
        <f t="shared" si="44"/>
        <v>0</v>
      </c>
      <c r="AF12" s="485"/>
      <c r="AG12" s="114">
        <f t="shared" si="45"/>
        <v>0</v>
      </c>
      <c r="AH12" s="484" t="s">
        <v>52</v>
      </c>
      <c r="AI12" s="115">
        <f t="shared" si="10"/>
        <v>1</v>
      </c>
      <c r="AJ12" s="116" t="s">
        <v>53</v>
      </c>
      <c r="AK12" s="484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0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1</v>
      </c>
      <c r="BB12" s="246" t="s">
        <v>53</v>
      </c>
      <c r="BC12" s="244">
        <v>0</v>
      </c>
      <c r="BD12" s="245" t="s">
        <v>54</v>
      </c>
      <c r="BE12" s="116">
        <v>0</v>
      </c>
      <c r="BF12" s="484" t="s">
        <v>52</v>
      </c>
      <c r="BG12" s="117">
        <v>0</v>
      </c>
      <c r="BH12" s="115"/>
      <c r="BI12" s="114">
        <f t="shared" si="12"/>
        <v>0</v>
      </c>
      <c r="BJ12" s="484" t="s">
        <v>52</v>
      </c>
      <c r="BK12" s="115">
        <f t="shared" si="46"/>
        <v>0</v>
      </c>
      <c r="BL12" s="116" t="s">
        <v>53</v>
      </c>
      <c r="BM12" s="484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0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0</v>
      </c>
      <c r="CD12" s="246" t="s">
        <v>53</v>
      </c>
      <c r="CE12" s="244">
        <v>0</v>
      </c>
      <c r="CF12" s="245" t="s">
        <v>54</v>
      </c>
      <c r="CG12" s="116">
        <v>0</v>
      </c>
      <c r="CH12" s="484" t="s">
        <v>52</v>
      </c>
      <c r="CI12" s="117">
        <v>0</v>
      </c>
      <c r="CJ12" s="140">
        <v>0</v>
      </c>
      <c r="CK12" s="148">
        <f t="shared" si="47"/>
        <v>0</v>
      </c>
      <c r="CL12" s="148">
        <v>0</v>
      </c>
      <c r="CM12" s="148">
        <v>0</v>
      </c>
      <c r="CN12" s="148">
        <f t="shared" si="48"/>
        <v>0</v>
      </c>
      <c r="CO12" s="175">
        <v>0</v>
      </c>
      <c r="CP12" s="140">
        <v>0</v>
      </c>
      <c r="CQ12" s="175">
        <v>0</v>
      </c>
      <c r="CR12" s="148">
        <v>0</v>
      </c>
      <c r="CS12" s="148">
        <v>0</v>
      </c>
      <c r="CT12" s="140">
        <v>0</v>
      </c>
      <c r="CU12" s="140">
        <v>0</v>
      </c>
      <c r="CV12" s="148">
        <f t="shared" si="49"/>
        <v>0</v>
      </c>
      <c r="CW12" s="140"/>
      <c r="CX12" s="140">
        <f t="shared" si="50"/>
        <v>0</v>
      </c>
      <c r="CY12" s="140">
        <f t="shared" si="14"/>
        <v>0</v>
      </c>
      <c r="CZ12" s="165">
        <f t="shared" si="15"/>
        <v>8.615689901205853E-2</v>
      </c>
      <c r="DA12" s="164">
        <f t="shared" si="16"/>
        <v>65.201764583655063</v>
      </c>
      <c r="DB12" s="141"/>
      <c r="DC12" s="141"/>
      <c r="DD12" s="77">
        <f t="shared" si="51"/>
        <v>0.51613885505481116</v>
      </c>
      <c r="DE12" s="37">
        <f t="shared" si="52"/>
        <v>0</v>
      </c>
      <c r="DF12" s="37">
        <f t="shared" si="53"/>
        <v>0</v>
      </c>
      <c r="DG12" s="37">
        <f t="shared" si="54"/>
        <v>0</v>
      </c>
      <c r="DH12" s="37">
        <f t="shared" si="17"/>
        <v>0</v>
      </c>
      <c r="DI12" s="37">
        <f t="shared" si="18"/>
        <v>0</v>
      </c>
      <c r="DJ12" s="37">
        <f t="shared" si="19"/>
        <v>0</v>
      </c>
      <c r="DK12" s="37">
        <f t="shared" si="20"/>
        <v>0</v>
      </c>
      <c r="DL12" s="37">
        <f t="shared" si="21"/>
        <v>0</v>
      </c>
      <c r="DM12" s="37">
        <f t="shared" si="22"/>
        <v>0</v>
      </c>
      <c r="DN12" s="37">
        <f t="shared" si="55"/>
        <v>0</v>
      </c>
      <c r="DO12" s="37" t="str">
        <f t="shared" si="56"/>
        <v>0</v>
      </c>
      <c r="DP12" s="66">
        <f t="shared" si="57"/>
        <v>0</v>
      </c>
      <c r="DQ12" s="78">
        <f t="shared" si="58"/>
        <v>0</v>
      </c>
      <c r="DR12" s="6"/>
      <c r="DS12" s="36"/>
      <c r="DT12" s="75">
        <f t="shared" si="59"/>
        <v>-11.560471976401178</v>
      </c>
      <c r="DU12" s="18">
        <f t="shared" si="23"/>
        <v>0</v>
      </c>
      <c r="DV12" s="13">
        <f t="shared" si="60"/>
        <v>0</v>
      </c>
      <c r="DW12" s="14">
        <f t="shared" si="24"/>
        <v>0.59569968872648527</v>
      </c>
      <c r="DX12" s="14">
        <f t="shared" si="25"/>
        <v>0</v>
      </c>
      <c r="DY12" s="14" t="str">
        <f t="shared" si="61"/>
        <v>0</v>
      </c>
      <c r="DZ12" s="15">
        <f t="shared" si="26"/>
        <v>10.151999999999999</v>
      </c>
      <c r="EA12" s="14">
        <f t="shared" si="62"/>
        <v>0.86545206547155107</v>
      </c>
      <c r="EB12" s="14">
        <f t="shared" si="27"/>
        <v>0.125</v>
      </c>
      <c r="EC12" s="14">
        <f t="shared" si="28"/>
        <v>0.47886792452830185</v>
      </c>
      <c r="ED12" s="14">
        <f t="shared" si="63"/>
        <v>0</v>
      </c>
      <c r="EE12" s="19">
        <f t="shared" si="64"/>
        <v>0.86624999999999996</v>
      </c>
      <c r="EF12" s="67" t="str">
        <f t="shared" si="65"/>
        <v>0</v>
      </c>
      <c r="EG12" s="74">
        <f t="shared" si="66"/>
        <v>0.86624999999999996</v>
      </c>
      <c r="EH12" s="27">
        <f t="shared" si="67"/>
        <v>0</v>
      </c>
      <c r="EI12" s="25">
        <f t="shared" si="68"/>
        <v>0</v>
      </c>
      <c r="EJ12" s="25">
        <f t="shared" si="69"/>
        <v>0</v>
      </c>
      <c r="EK12" s="26">
        <f t="shared" si="29"/>
        <v>0</v>
      </c>
      <c r="EL12" s="29">
        <f t="shared" si="70"/>
        <v>0.33333333333333331</v>
      </c>
      <c r="EM12" s="30">
        <f t="shared" si="30"/>
        <v>0.5</v>
      </c>
      <c r="EN12" s="30">
        <f t="shared" si="31"/>
        <v>0.33333333333333331</v>
      </c>
      <c r="EO12" s="31">
        <f t="shared" si="71"/>
        <v>0</v>
      </c>
      <c r="EP12" s="31">
        <f t="shared" si="32"/>
        <v>0.35768422655298421</v>
      </c>
      <c r="EQ12" s="31">
        <f t="shared" si="72"/>
        <v>0.35768422655298421</v>
      </c>
      <c r="ER12" s="93">
        <f t="shared" si="33"/>
        <v>0.17787569284462759</v>
      </c>
      <c r="ES12" s="109">
        <f t="shared" si="34"/>
        <v>33.111059707008586</v>
      </c>
      <c r="ET12" s="32">
        <f t="shared" si="35"/>
        <v>2.354444241649936</v>
      </c>
      <c r="EV12" s="277"/>
      <c r="EW12" s="278"/>
      <c r="EX12" s="37">
        <f t="shared" si="81"/>
        <v>0</v>
      </c>
      <c r="EY12" s="72">
        <f t="shared" si="73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3.39</v>
      </c>
      <c r="FG12" s="182">
        <f t="shared" si="36"/>
        <v>0</v>
      </c>
      <c r="FH12" s="183" t="s">
        <v>52</v>
      </c>
      <c r="FI12" s="184">
        <f t="shared" si="74"/>
        <v>1</v>
      </c>
      <c r="FJ12" s="193">
        <f t="shared" si="75"/>
        <v>0</v>
      </c>
      <c r="FK12" s="185">
        <f t="shared" si="37"/>
        <v>0</v>
      </c>
      <c r="FL12" s="183" t="s">
        <v>52</v>
      </c>
      <c r="FM12" s="186">
        <f t="shared" si="38"/>
        <v>1</v>
      </c>
      <c r="FN12" s="193">
        <f t="shared" si="76"/>
        <v>0</v>
      </c>
      <c r="FO12" s="261">
        <f t="shared" si="77"/>
        <v>0</v>
      </c>
      <c r="FP12" s="183" t="s">
        <v>52</v>
      </c>
      <c r="FQ12" s="268">
        <f t="shared" si="78"/>
        <v>0</v>
      </c>
      <c r="FR12" s="196" t="str">
        <f t="shared" si="79"/>
        <v>0</v>
      </c>
      <c r="FS12" s="179">
        <f t="shared" si="39"/>
        <v>0</v>
      </c>
      <c r="FT12" s="179">
        <f t="shared" si="39"/>
        <v>0</v>
      </c>
      <c r="FU12" s="179">
        <f t="shared" si="40"/>
        <v>0</v>
      </c>
      <c r="FV12" s="187">
        <f t="shared" si="40"/>
        <v>0</v>
      </c>
      <c r="FW12" s="179">
        <f t="shared" si="40"/>
        <v>0</v>
      </c>
      <c r="FX12" s="179">
        <f t="shared" si="40"/>
        <v>0</v>
      </c>
      <c r="FY12" s="179">
        <f t="shared" si="40"/>
        <v>0</v>
      </c>
      <c r="FZ12" s="179">
        <f t="shared" si="40"/>
        <v>0</v>
      </c>
      <c r="GA12" s="179">
        <f t="shared" si="40"/>
        <v>0</v>
      </c>
      <c r="GB12" s="179">
        <f t="shared" si="40"/>
        <v>0</v>
      </c>
      <c r="GC12" s="187">
        <f t="shared" si="40"/>
        <v>0</v>
      </c>
      <c r="GD12" s="203">
        <f t="shared" si="80"/>
        <v>0</v>
      </c>
      <c r="GE12" s="179">
        <f t="shared" si="80"/>
        <v>0</v>
      </c>
      <c r="GF12" s="179">
        <f t="shared" si="80"/>
        <v>8.615689901205853E-2</v>
      </c>
      <c r="GG12" s="258">
        <f t="shared" si="80"/>
        <v>65.201764583655063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0.63636363636363624</v>
      </c>
      <c r="GN12" s="24">
        <f>GK12+(GL12/10)+(GJ12*GM12*(1-(CJ41/(CJ41+CK40))))+(CK12*(1-GM12))</f>
        <v>0</v>
      </c>
      <c r="GO12" s="213">
        <f>GN12/(DD12*EG41)</f>
        <v>0</v>
      </c>
    </row>
    <row r="13" spans="1:197" x14ac:dyDescent="0.2">
      <c r="A13" s="139"/>
      <c r="B13" s="89" t="s">
        <v>82</v>
      </c>
      <c r="C13" s="41" t="s">
        <v>213</v>
      </c>
      <c r="D13" s="161">
        <v>4.08</v>
      </c>
      <c r="E13" s="114">
        <f t="shared" si="0"/>
        <v>1</v>
      </c>
      <c r="F13" s="484" t="s">
        <v>52</v>
      </c>
      <c r="G13" s="115">
        <f t="shared" si="1"/>
        <v>3</v>
      </c>
      <c r="H13" s="116" t="s">
        <v>53</v>
      </c>
      <c r="I13" s="484">
        <f t="shared" si="41"/>
        <v>0</v>
      </c>
      <c r="J13" s="115" t="s">
        <v>54</v>
      </c>
      <c r="K13" s="116">
        <f t="shared" si="2"/>
        <v>1</v>
      </c>
      <c r="L13" s="484" t="s">
        <v>52</v>
      </c>
      <c r="M13" s="115">
        <f t="shared" si="3"/>
        <v>2</v>
      </c>
      <c r="N13" s="116" t="s">
        <v>53</v>
      </c>
      <c r="O13" s="484">
        <f t="shared" si="4"/>
        <v>0</v>
      </c>
      <c r="P13" s="115" t="s">
        <v>54</v>
      </c>
      <c r="Q13" s="116">
        <f t="shared" si="5"/>
        <v>0</v>
      </c>
      <c r="R13" s="484" t="s">
        <v>52</v>
      </c>
      <c r="S13" s="115">
        <f t="shared" si="42"/>
        <v>0</v>
      </c>
      <c r="T13" s="116" t="s">
        <v>53</v>
      </c>
      <c r="U13" s="484">
        <f t="shared" si="6"/>
        <v>0</v>
      </c>
      <c r="V13" s="115" t="s">
        <v>54</v>
      </c>
      <c r="W13" s="116">
        <f t="shared" si="7"/>
        <v>0</v>
      </c>
      <c r="X13" s="484" t="s">
        <v>52</v>
      </c>
      <c r="Y13" s="115">
        <f t="shared" si="8"/>
        <v>1</v>
      </c>
      <c r="Z13" s="116" t="s">
        <v>53</v>
      </c>
      <c r="AA13" s="484">
        <f t="shared" si="9"/>
        <v>0</v>
      </c>
      <c r="AB13" s="115" t="s">
        <v>54</v>
      </c>
      <c r="AC13" s="116">
        <f t="shared" si="43"/>
        <v>0</v>
      </c>
      <c r="AD13" s="484" t="s">
        <v>52</v>
      </c>
      <c r="AE13" s="117">
        <f t="shared" si="44"/>
        <v>0</v>
      </c>
      <c r="AF13" s="485"/>
      <c r="AG13" s="114">
        <f t="shared" si="45"/>
        <v>1</v>
      </c>
      <c r="AH13" s="484" t="s">
        <v>52</v>
      </c>
      <c r="AI13" s="115">
        <f t="shared" si="10"/>
        <v>3</v>
      </c>
      <c r="AJ13" s="116" t="s">
        <v>53</v>
      </c>
      <c r="AK13" s="484">
        <f t="shared" si="11"/>
        <v>0</v>
      </c>
      <c r="AL13" s="115" t="s">
        <v>54</v>
      </c>
      <c r="AM13" s="246">
        <v>1</v>
      </c>
      <c r="AN13" s="244" t="s">
        <v>52</v>
      </c>
      <c r="AO13" s="245">
        <v>2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0</v>
      </c>
      <c r="AZ13" s="244" t="s">
        <v>52</v>
      </c>
      <c r="BA13" s="245">
        <v>1</v>
      </c>
      <c r="BB13" s="246" t="s">
        <v>53</v>
      </c>
      <c r="BC13" s="244">
        <v>0</v>
      </c>
      <c r="BD13" s="245" t="s">
        <v>54</v>
      </c>
      <c r="BE13" s="116">
        <v>0</v>
      </c>
      <c r="BF13" s="484" t="s">
        <v>52</v>
      </c>
      <c r="BG13" s="117">
        <v>0</v>
      </c>
      <c r="BH13" s="115"/>
      <c r="BI13" s="114">
        <f t="shared" si="12"/>
        <v>0</v>
      </c>
      <c r="BJ13" s="484" t="s">
        <v>52</v>
      </c>
      <c r="BK13" s="115">
        <f t="shared" si="46"/>
        <v>0</v>
      </c>
      <c r="BL13" s="116" t="s">
        <v>53</v>
      </c>
      <c r="BM13" s="484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0</v>
      </c>
      <c r="CD13" s="246" t="s">
        <v>53</v>
      </c>
      <c r="CE13" s="244">
        <v>0</v>
      </c>
      <c r="CF13" s="245" t="s">
        <v>54</v>
      </c>
      <c r="CG13" s="116">
        <v>0</v>
      </c>
      <c r="CH13" s="484" t="s">
        <v>52</v>
      </c>
      <c r="CI13" s="117">
        <v>0</v>
      </c>
      <c r="CJ13" s="148">
        <v>0</v>
      </c>
      <c r="CK13" s="148">
        <f t="shared" si="47"/>
        <v>1</v>
      </c>
      <c r="CL13" s="148">
        <v>0</v>
      </c>
      <c r="CM13" s="148">
        <v>1</v>
      </c>
      <c r="CN13" s="148">
        <f t="shared" si="48"/>
        <v>1</v>
      </c>
      <c r="CO13" s="175">
        <v>0</v>
      </c>
      <c r="CP13" s="140">
        <v>1</v>
      </c>
      <c r="CQ13" s="175">
        <v>1</v>
      </c>
      <c r="CR13" s="148">
        <v>0</v>
      </c>
      <c r="CS13" s="148">
        <v>0</v>
      </c>
      <c r="CT13" s="140">
        <v>0</v>
      </c>
      <c r="CU13" s="140">
        <v>0</v>
      </c>
      <c r="CV13" s="148">
        <f t="shared" si="49"/>
        <v>2</v>
      </c>
      <c r="CW13" s="140"/>
      <c r="CX13" s="140">
        <f t="shared" si="50"/>
        <v>66.10309880499436</v>
      </c>
      <c r="CY13" s="140">
        <f t="shared" si="14"/>
        <v>0.33051549402497182</v>
      </c>
      <c r="CZ13" s="165">
        <f t="shared" si="15"/>
        <v>0.2138548281083735</v>
      </c>
      <c r="DA13" s="164">
        <f t="shared" si="16"/>
        <v>51.053319310749956</v>
      </c>
      <c r="DB13" s="141"/>
      <c r="DC13" s="141"/>
      <c r="DD13" s="77">
        <f t="shared" si="51"/>
        <v>0.62119366626065775</v>
      </c>
      <c r="DE13" s="37">
        <f t="shared" si="52"/>
        <v>0.33333333333333331</v>
      </c>
      <c r="DF13" s="37">
        <f t="shared" si="53"/>
        <v>0</v>
      </c>
      <c r="DG13" s="37">
        <f t="shared" si="54"/>
        <v>0.33333333333333331</v>
      </c>
      <c r="DH13" s="37">
        <f t="shared" si="17"/>
        <v>0</v>
      </c>
      <c r="DI13" s="37">
        <f t="shared" si="18"/>
        <v>0.40245098039215688</v>
      </c>
      <c r="DJ13" s="37">
        <f t="shared" si="19"/>
        <v>0</v>
      </c>
      <c r="DK13" s="37">
        <f t="shared" si="20"/>
        <v>0</v>
      </c>
      <c r="DL13" s="37">
        <f t="shared" si="21"/>
        <v>0</v>
      </c>
      <c r="DM13" s="37">
        <f t="shared" si="22"/>
        <v>8.2639246145171152E-2</v>
      </c>
      <c r="DN13" s="37">
        <f t="shared" si="55"/>
        <v>0</v>
      </c>
      <c r="DO13" s="37" t="str">
        <f t="shared" si="56"/>
        <v>0</v>
      </c>
      <c r="DP13" s="66">
        <f t="shared" si="57"/>
        <v>9.8039215686274517</v>
      </c>
      <c r="DQ13" s="78">
        <f t="shared" si="58"/>
        <v>0</v>
      </c>
      <c r="DR13" s="6"/>
      <c r="DS13" s="36"/>
      <c r="DT13" s="75">
        <f t="shared" si="59"/>
        <v>1.2409313725490168</v>
      </c>
      <c r="DU13" s="18">
        <f t="shared" si="23"/>
        <v>0.85531194267791222</v>
      </c>
      <c r="DV13" s="13">
        <f t="shared" si="60"/>
        <v>0.89171459543402076</v>
      </c>
      <c r="DW13" s="14">
        <f t="shared" si="24"/>
        <v>0.64971242739587542</v>
      </c>
      <c r="DX13" s="14">
        <f t="shared" si="25"/>
        <v>0</v>
      </c>
      <c r="DY13" s="14" t="str">
        <f t="shared" si="61"/>
        <v>0</v>
      </c>
      <c r="DZ13" s="15">
        <f t="shared" si="26"/>
        <v>10.151999999999999</v>
      </c>
      <c r="EA13" s="14">
        <f t="shared" si="62"/>
        <v>0.86545206547155107</v>
      </c>
      <c r="EB13" s="14">
        <f t="shared" si="27"/>
        <v>0.125</v>
      </c>
      <c r="EC13" s="14">
        <f t="shared" si="28"/>
        <v>0.47886792452830185</v>
      </c>
      <c r="ED13" s="14">
        <f t="shared" si="63"/>
        <v>0</v>
      </c>
      <c r="EE13" s="19">
        <f t="shared" si="64"/>
        <v>1.7324999999999999</v>
      </c>
      <c r="EF13" s="67" t="str">
        <f t="shared" si="65"/>
        <v>0</v>
      </c>
      <c r="EG13" s="74">
        <f t="shared" si="66"/>
        <v>2.587811942677912</v>
      </c>
      <c r="EH13" s="27">
        <f t="shared" si="67"/>
        <v>1.7106238853558244</v>
      </c>
      <c r="EI13" s="25">
        <f t="shared" si="68"/>
        <v>1.7834291908680415</v>
      </c>
      <c r="EJ13" s="25">
        <f t="shared" si="69"/>
        <v>0</v>
      </c>
      <c r="EK13" s="26">
        <f t="shared" si="29"/>
        <v>0</v>
      </c>
      <c r="EL13" s="29">
        <f t="shared" si="70"/>
        <v>0.33333333333333331</v>
      </c>
      <c r="EM13" s="30">
        <f t="shared" si="30"/>
        <v>0.5</v>
      </c>
      <c r="EN13" s="30">
        <f t="shared" si="31"/>
        <v>0.33333333333333331</v>
      </c>
      <c r="EO13" s="31">
        <f t="shared" si="71"/>
        <v>0.66666666666666674</v>
      </c>
      <c r="EP13" s="31">
        <f t="shared" si="32"/>
        <v>0.49098721071863588</v>
      </c>
      <c r="EQ13" s="31">
        <f t="shared" si="72"/>
        <v>1.1576538773853027</v>
      </c>
      <c r="ER13" s="93">
        <f t="shared" si="33"/>
        <v>0.47833821862077913</v>
      </c>
      <c r="ES13" s="109">
        <f t="shared" si="34"/>
        <v>33.111059707008586</v>
      </c>
      <c r="ET13" s="32">
        <f t="shared" si="35"/>
        <v>2.354444241649936</v>
      </c>
      <c r="EV13" s="277"/>
      <c r="EW13" s="278"/>
      <c r="EX13" s="37">
        <f t="shared" si="81"/>
        <v>0</v>
      </c>
      <c r="EY13" s="72">
        <f t="shared" si="73"/>
        <v>0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4.08</v>
      </c>
      <c r="FG13" s="144">
        <f t="shared" si="36"/>
        <v>1</v>
      </c>
      <c r="FH13" s="484" t="s">
        <v>52</v>
      </c>
      <c r="FI13" s="145">
        <f t="shared" si="74"/>
        <v>3</v>
      </c>
      <c r="FJ13" s="194">
        <f t="shared" si="75"/>
        <v>0.33333333333333331</v>
      </c>
      <c r="FK13" s="110">
        <f t="shared" si="37"/>
        <v>0</v>
      </c>
      <c r="FL13" s="484" t="s">
        <v>52</v>
      </c>
      <c r="FM13" s="168">
        <f t="shared" si="38"/>
        <v>1</v>
      </c>
      <c r="FN13" s="194">
        <f t="shared" si="76"/>
        <v>0</v>
      </c>
      <c r="FO13" s="262">
        <f t="shared" si="77"/>
        <v>0</v>
      </c>
      <c r="FP13" s="484" t="s">
        <v>52</v>
      </c>
      <c r="FQ13" s="274">
        <f t="shared" si="78"/>
        <v>0</v>
      </c>
      <c r="FR13" s="197" t="str">
        <f t="shared" si="79"/>
        <v>0</v>
      </c>
      <c r="FS13" s="140">
        <f t="shared" si="39"/>
        <v>0</v>
      </c>
      <c r="FT13" s="140">
        <f t="shared" si="39"/>
        <v>1</v>
      </c>
      <c r="FU13" s="140">
        <f t="shared" si="40"/>
        <v>1</v>
      </c>
      <c r="FV13" s="175">
        <f t="shared" si="40"/>
        <v>0</v>
      </c>
      <c r="FW13" s="140">
        <f t="shared" si="40"/>
        <v>1</v>
      </c>
      <c r="FX13" s="140">
        <f t="shared" si="40"/>
        <v>1</v>
      </c>
      <c r="FY13" s="140">
        <f t="shared" si="40"/>
        <v>0</v>
      </c>
      <c r="FZ13" s="140">
        <f t="shared" si="40"/>
        <v>0</v>
      </c>
      <c r="GA13" s="140">
        <f t="shared" si="40"/>
        <v>0</v>
      </c>
      <c r="GB13" s="140">
        <f t="shared" si="40"/>
        <v>0</v>
      </c>
      <c r="GC13" s="175">
        <f t="shared" si="40"/>
        <v>2</v>
      </c>
      <c r="GD13" s="202">
        <f t="shared" si="80"/>
        <v>66.10309880499436</v>
      </c>
      <c r="GE13" s="140">
        <f t="shared" si="80"/>
        <v>0.33051549402497182</v>
      </c>
      <c r="GF13" s="140">
        <f t="shared" si="80"/>
        <v>0.2138548281083735</v>
      </c>
      <c r="GG13" s="259">
        <f t="shared" si="80"/>
        <v>51.053319310749956</v>
      </c>
      <c r="GH13" s="140"/>
      <c r="GJ13" s="82"/>
      <c r="GK13" s="24"/>
      <c r="GL13" s="185">
        <f>(CQ13/CQ42)*(EY43-EX43)</f>
        <v>0.55000000000000004</v>
      </c>
      <c r="GM13" s="185">
        <f>((E43/G43)*(1-(CJ43/(CJ43+CK42))))/((E43/G43)*(1-(CJ43/(CJ43+CK42)))+((1-(E43/G43)))*(CJ43/(CJ43+CK42)))</f>
        <v>0.33333333333333331</v>
      </c>
      <c r="GN13" s="24">
        <f>GK13+(GL13/10)+(GJ13*GM13*(1-(CJ43/(CJ43+CK42))))+(CK13*(1-GM13))</f>
        <v>0.72166666666666679</v>
      </c>
      <c r="GO13" s="213">
        <f>GN13/(DD13*EG43)</f>
        <v>8.4493261333571518E-2</v>
      </c>
    </row>
    <row r="14" spans="1:197" x14ac:dyDescent="0.2">
      <c r="A14" s="139"/>
      <c r="B14" s="89" t="s">
        <v>82</v>
      </c>
      <c r="C14" s="41" t="s">
        <v>214</v>
      </c>
      <c r="D14" s="161">
        <v>6.57</v>
      </c>
      <c r="E14" s="114">
        <f t="shared" si="0"/>
        <v>4</v>
      </c>
      <c r="F14" s="484" t="s">
        <v>52</v>
      </c>
      <c r="G14" s="115">
        <f t="shared" si="1"/>
        <v>5</v>
      </c>
      <c r="H14" s="116" t="s">
        <v>53</v>
      </c>
      <c r="I14" s="484">
        <f t="shared" si="41"/>
        <v>2</v>
      </c>
      <c r="J14" s="115" t="s">
        <v>54</v>
      </c>
      <c r="K14" s="116">
        <f t="shared" si="2"/>
        <v>0</v>
      </c>
      <c r="L14" s="484" t="s">
        <v>52</v>
      </c>
      <c r="M14" s="115">
        <f t="shared" si="3"/>
        <v>1</v>
      </c>
      <c r="N14" s="116" t="s">
        <v>53</v>
      </c>
      <c r="O14" s="484">
        <f t="shared" si="4"/>
        <v>0</v>
      </c>
      <c r="P14" s="115" t="s">
        <v>54</v>
      </c>
      <c r="Q14" s="116">
        <f t="shared" si="5"/>
        <v>1</v>
      </c>
      <c r="R14" s="484" t="s">
        <v>52</v>
      </c>
      <c r="S14" s="115">
        <f t="shared" si="42"/>
        <v>1</v>
      </c>
      <c r="T14" s="116" t="s">
        <v>53</v>
      </c>
      <c r="U14" s="484">
        <f t="shared" si="6"/>
        <v>0</v>
      </c>
      <c r="V14" s="115" t="s">
        <v>54</v>
      </c>
      <c r="W14" s="116">
        <f t="shared" si="7"/>
        <v>3</v>
      </c>
      <c r="X14" s="484" t="s">
        <v>52</v>
      </c>
      <c r="Y14" s="115">
        <f t="shared" si="8"/>
        <v>3</v>
      </c>
      <c r="Z14" s="116" t="s">
        <v>53</v>
      </c>
      <c r="AA14" s="484">
        <f t="shared" si="9"/>
        <v>2</v>
      </c>
      <c r="AB14" s="115" t="s">
        <v>54</v>
      </c>
      <c r="AC14" s="116">
        <f t="shared" si="43"/>
        <v>0.7</v>
      </c>
      <c r="AD14" s="484" t="s">
        <v>52</v>
      </c>
      <c r="AE14" s="117">
        <f t="shared" si="44"/>
        <v>1</v>
      </c>
      <c r="AF14" s="485"/>
      <c r="AG14" s="114">
        <f t="shared" si="45"/>
        <v>3</v>
      </c>
      <c r="AH14" s="484" t="s">
        <v>52</v>
      </c>
      <c r="AI14" s="115">
        <f t="shared" si="10"/>
        <v>4</v>
      </c>
      <c r="AJ14" s="116" t="s">
        <v>53</v>
      </c>
      <c r="AK14" s="484">
        <f t="shared" si="11"/>
        <v>2</v>
      </c>
      <c r="AL14" s="115" t="s">
        <v>54</v>
      </c>
      <c r="AM14" s="246">
        <v>0</v>
      </c>
      <c r="AN14" s="244" t="s">
        <v>52</v>
      </c>
      <c r="AO14" s="245">
        <v>1</v>
      </c>
      <c r="AP14" s="246" t="s">
        <v>53</v>
      </c>
      <c r="AQ14" s="244">
        <v>0</v>
      </c>
      <c r="AR14" s="245" t="s">
        <v>54</v>
      </c>
      <c r="AS14" s="246">
        <v>1</v>
      </c>
      <c r="AT14" s="244" t="s">
        <v>52</v>
      </c>
      <c r="AU14" s="245">
        <v>1</v>
      </c>
      <c r="AV14" s="246" t="s">
        <v>53</v>
      </c>
      <c r="AW14" s="244">
        <v>0</v>
      </c>
      <c r="AX14" s="245" t="s">
        <v>54</v>
      </c>
      <c r="AY14" s="246">
        <v>2</v>
      </c>
      <c r="AZ14" s="244" t="s">
        <v>52</v>
      </c>
      <c r="BA14" s="245">
        <v>2</v>
      </c>
      <c r="BB14" s="246" t="s">
        <v>53</v>
      </c>
      <c r="BC14" s="244">
        <v>2</v>
      </c>
      <c r="BD14" s="245" t="s">
        <v>54</v>
      </c>
      <c r="BE14" s="116">
        <v>0</v>
      </c>
      <c r="BF14" s="484" t="s">
        <v>52</v>
      </c>
      <c r="BG14" s="117">
        <v>0</v>
      </c>
      <c r="BH14" s="115"/>
      <c r="BI14" s="114">
        <f t="shared" si="12"/>
        <v>1</v>
      </c>
      <c r="BJ14" s="484" t="s">
        <v>52</v>
      </c>
      <c r="BK14" s="115">
        <f t="shared" si="46"/>
        <v>1</v>
      </c>
      <c r="BL14" s="116" t="s">
        <v>53</v>
      </c>
      <c r="BM14" s="484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1</v>
      </c>
      <c r="CB14" s="244" t="s">
        <v>52</v>
      </c>
      <c r="CC14" s="245">
        <v>1</v>
      </c>
      <c r="CD14" s="246" t="s">
        <v>53</v>
      </c>
      <c r="CE14" s="244">
        <v>0</v>
      </c>
      <c r="CF14" s="245" t="s">
        <v>54</v>
      </c>
      <c r="CG14" s="116">
        <v>0</v>
      </c>
      <c r="CH14" s="484" t="s">
        <v>52</v>
      </c>
      <c r="CI14" s="117">
        <v>0</v>
      </c>
      <c r="CJ14" s="140">
        <v>0</v>
      </c>
      <c r="CK14" s="148">
        <f t="shared" si="47"/>
        <v>1</v>
      </c>
      <c r="CL14" s="148">
        <v>0</v>
      </c>
      <c r="CM14" s="148">
        <v>1</v>
      </c>
      <c r="CN14" s="148">
        <f t="shared" si="48"/>
        <v>1</v>
      </c>
      <c r="CO14" s="175">
        <v>3</v>
      </c>
      <c r="CP14" s="140">
        <v>2</v>
      </c>
      <c r="CQ14" s="175">
        <v>0</v>
      </c>
      <c r="CR14" s="148">
        <v>1</v>
      </c>
      <c r="CS14" s="148">
        <v>2</v>
      </c>
      <c r="CT14" s="140">
        <v>1</v>
      </c>
      <c r="CU14" s="140">
        <v>0</v>
      </c>
      <c r="CV14" s="148">
        <f t="shared" si="49"/>
        <v>11.7</v>
      </c>
      <c r="CW14" s="140"/>
      <c r="CX14" s="140">
        <f t="shared" si="50"/>
        <v>180.31874843170311</v>
      </c>
      <c r="CY14" s="140">
        <f t="shared" si="14"/>
        <v>0.69382965896339299</v>
      </c>
      <c r="CZ14" s="165">
        <f t="shared" si="15"/>
        <v>0.31884940812154372</v>
      </c>
      <c r="DA14" s="164">
        <f t="shared" si="16"/>
        <v>32.980818925174177</v>
      </c>
      <c r="DB14" s="141"/>
      <c r="DC14" s="141"/>
      <c r="DD14" s="77">
        <f t="shared" si="51"/>
        <v>1.0003045066991474</v>
      </c>
      <c r="DE14" s="37">
        <f t="shared" si="52"/>
        <v>0.8</v>
      </c>
      <c r="DF14" s="37">
        <f t="shared" si="53"/>
        <v>1</v>
      </c>
      <c r="DG14" s="37">
        <f t="shared" si="54"/>
        <v>1.1000000000000001</v>
      </c>
      <c r="DH14" s="37">
        <f t="shared" si="17"/>
        <v>0</v>
      </c>
      <c r="DI14" s="37">
        <f t="shared" si="18"/>
        <v>0.24992389649923896</v>
      </c>
      <c r="DJ14" s="37">
        <f t="shared" si="19"/>
        <v>0</v>
      </c>
      <c r="DK14" s="37">
        <f t="shared" si="20"/>
        <v>0.10263869840861439</v>
      </c>
      <c r="DL14" s="37">
        <f t="shared" si="21"/>
        <v>0.59981735159817351</v>
      </c>
      <c r="DM14" s="37">
        <f t="shared" si="22"/>
        <v>0.25659674602153598</v>
      </c>
      <c r="DN14" s="37">
        <f t="shared" si="55"/>
        <v>0.16095168407759608</v>
      </c>
      <c r="DO14" s="37">
        <f t="shared" si="56"/>
        <v>3</v>
      </c>
      <c r="DP14" s="66">
        <f t="shared" si="57"/>
        <v>0</v>
      </c>
      <c r="DQ14" s="78">
        <f t="shared" si="58"/>
        <v>6.0882800608828003</v>
      </c>
      <c r="DR14" s="6"/>
      <c r="DS14" s="36"/>
      <c r="DT14" s="75">
        <f t="shared" si="59"/>
        <v>100.32270928462708</v>
      </c>
      <c r="DU14" s="18">
        <f t="shared" si="23"/>
        <v>4.3107946520701965</v>
      </c>
      <c r="DV14" s="13">
        <f t="shared" si="60"/>
        <v>3.4427649779151555</v>
      </c>
      <c r="DW14" s="14">
        <f t="shared" si="24"/>
        <v>0.25328864640220206</v>
      </c>
      <c r="DX14" s="14">
        <f t="shared" si="25"/>
        <v>0.6875</v>
      </c>
      <c r="DY14" s="14">
        <f t="shared" si="61"/>
        <v>0.36399999999999999</v>
      </c>
      <c r="DZ14" s="15">
        <f t="shared" si="26"/>
        <v>10.151999999999999</v>
      </c>
      <c r="EA14" s="14">
        <f t="shared" si="62"/>
        <v>0.86545206547155107</v>
      </c>
      <c r="EB14" s="14">
        <f t="shared" si="27"/>
        <v>0.125</v>
      </c>
      <c r="EC14" s="14">
        <f t="shared" si="28"/>
        <v>0.47886792452830185</v>
      </c>
      <c r="ED14" s="14">
        <f t="shared" si="63"/>
        <v>0</v>
      </c>
      <c r="EE14" s="19">
        <f t="shared" si="64"/>
        <v>0.86624999999999996</v>
      </c>
      <c r="EF14" s="67">
        <f t="shared" si="65"/>
        <v>3.6000000000000011E-2</v>
      </c>
      <c r="EG14" s="74">
        <f t="shared" si="66"/>
        <v>6.2130446520701961</v>
      </c>
      <c r="EH14" s="27">
        <f t="shared" si="67"/>
        <v>11.203284356115841</v>
      </c>
      <c r="EI14" s="25">
        <f t="shared" si="68"/>
        <v>9.4676036892666779</v>
      </c>
      <c r="EJ14" s="25">
        <f t="shared" si="69"/>
        <v>1.5125</v>
      </c>
      <c r="EK14" s="26">
        <f t="shared" si="29"/>
        <v>0</v>
      </c>
      <c r="EL14" s="29">
        <f t="shared" si="70"/>
        <v>0.33333333333333331</v>
      </c>
      <c r="EM14" s="30">
        <f t="shared" si="30"/>
        <v>0.5</v>
      </c>
      <c r="EN14" s="30">
        <f t="shared" si="31"/>
        <v>0.33333333333333331</v>
      </c>
      <c r="EO14" s="31">
        <f t="shared" si="71"/>
        <v>2.666666666666667</v>
      </c>
      <c r="EP14" s="31">
        <f t="shared" si="32"/>
        <v>0.69321102314250926</v>
      </c>
      <c r="EQ14" s="31">
        <f t="shared" si="72"/>
        <v>3.359877689809176</v>
      </c>
      <c r="ER14" s="93">
        <f t="shared" si="33"/>
        <v>0.86213368223539033</v>
      </c>
      <c r="ES14" s="109">
        <f t="shared" si="34"/>
        <v>33.111059707008586</v>
      </c>
      <c r="ET14" s="32">
        <f t="shared" si="35"/>
        <v>2.354444241649936</v>
      </c>
      <c r="EV14" s="277"/>
      <c r="EW14" s="278"/>
      <c r="EX14" s="37">
        <f t="shared" si="81"/>
        <v>0.7</v>
      </c>
      <c r="EY14" s="72">
        <f t="shared" si="73"/>
        <v>1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6.57</v>
      </c>
      <c r="FG14" s="182">
        <f t="shared" si="36"/>
        <v>4</v>
      </c>
      <c r="FH14" s="183" t="s">
        <v>52</v>
      </c>
      <c r="FI14" s="184">
        <f t="shared" si="74"/>
        <v>5</v>
      </c>
      <c r="FJ14" s="193">
        <f t="shared" si="75"/>
        <v>0.8</v>
      </c>
      <c r="FK14" s="185">
        <f t="shared" si="37"/>
        <v>3</v>
      </c>
      <c r="FL14" s="183" t="s">
        <v>52</v>
      </c>
      <c r="FM14" s="186">
        <f t="shared" si="38"/>
        <v>3</v>
      </c>
      <c r="FN14" s="193">
        <f t="shared" si="76"/>
        <v>1</v>
      </c>
      <c r="FO14" s="261">
        <f t="shared" si="77"/>
        <v>0</v>
      </c>
      <c r="FP14" s="183" t="s">
        <v>52</v>
      </c>
      <c r="FQ14" s="268">
        <f t="shared" si="78"/>
        <v>0</v>
      </c>
      <c r="FR14" s="196" t="str">
        <f t="shared" si="79"/>
        <v>0</v>
      </c>
      <c r="FS14" s="179">
        <f t="shared" si="39"/>
        <v>0</v>
      </c>
      <c r="FT14" s="179">
        <f t="shared" si="39"/>
        <v>1</v>
      </c>
      <c r="FU14" s="179">
        <f t="shared" si="40"/>
        <v>1</v>
      </c>
      <c r="FV14" s="187">
        <f t="shared" si="40"/>
        <v>3</v>
      </c>
      <c r="FW14" s="179">
        <f t="shared" si="40"/>
        <v>2</v>
      </c>
      <c r="FX14" s="179">
        <f t="shared" si="40"/>
        <v>0</v>
      </c>
      <c r="FY14" s="179">
        <f t="shared" si="40"/>
        <v>1</v>
      </c>
      <c r="FZ14" s="179">
        <f t="shared" si="40"/>
        <v>2</v>
      </c>
      <c r="GA14" s="179">
        <f t="shared" si="40"/>
        <v>1</v>
      </c>
      <c r="GB14" s="179">
        <f t="shared" si="40"/>
        <v>0</v>
      </c>
      <c r="GC14" s="187">
        <f t="shared" si="40"/>
        <v>11.7</v>
      </c>
      <c r="GD14" s="203">
        <f t="shared" si="80"/>
        <v>180.31874843170311</v>
      </c>
      <c r="GE14" s="179">
        <f t="shared" si="80"/>
        <v>0.69382965896339299</v>
      </c>
      <c r="GF14" s="179">
        <f t="shared" si="80"/>
        <v>0.31884940812154372</v>
      </c>
      <c r="GG14" s="258">
        <f t="shared" si="80"/>
        <v>32.980818925174177</v>
      </c>
      <c r="GH14" s="179"/>
      <c r="GJ14" s="82"/>
      <c r="GK14" s="24"/>
      <c r="GL14" s="185">
        <f>(CQ14/CQ46)*(EY47-EX47)</f>
        <v>0</v>
      </c>
      <c r="GM14" s="185">
        <f>((E47/G47)*(1-(CJ47/(CJ47+CK46))))/((E47/G47)*(1-(CJ47/(CJ47+CK46)))+((1-(E47/G47)))*(CJ47/(CJ47+CK46)))</f>
        <v>0.33333333333333331</v>
      </c>
      <c r="GN14" s="24">
        <f>GK14+(GL14/10)+(GJ14*GM14*(1-(CJ47/(CJ47+CK46))))+(CK14*(1-GM14))</f>
        <v>0.66666666666666674</v>
      </c>
      <c r="GO14" s="213">
        <f>GN14/(DD14*EG47)</f>
        <v>4.8471779309123886E-2</v>
      </c>
    </row>
    <row r="15" spans="1:197" x14ac:dyDescent="0.2">
      <c r="A15" s="139"/>
      <c r="B15" s="89" t="s">
        <v>82</v>
      </c>
      <c r="C15" s="41" t="s">
        <v>215</v>
      </c>
      <c r="D15" s="161">
        <v>0</v>
      </c>
      <c r="E15" s="114">
        <f t="shared" si="0"/>
        <v>0</v>
      </c>
      <c r="F15" s="484" t="s">
        <v>52</v>
      </c>
      <c r="G15" s="115">
        <f t="shared" si="1"/>
        <v>0</v>
      </c>
      <c r="H15" s="116" t="s">
        <v>53</v>
      </c>
      <c r="I15" s="484">
        <f t="shared" si="41"/>
        <v>0</v>
      </c>
      <c r="J15" s="115" t="s">
        <v>54</v>
      </c>
      <c r="K15" s="116">
        <f t="shared" si="2"/>
        <v>0</v>
      </c>
      <c r="L15" s="484" t="s">
        <v>52</v>
      </c>
      <c r="M15" s="115">
        <f t="shared" si="3"/>
        <v>0</v>
      </c>
      <c r="N15" s="116" t="s">
        <v>53</v>
      </c>
      <c r="O15" s="484">
        <f t="shared" si="4"/>
        <v>0</v>
      </c>
      <c r="P15" s="115" t="s">
        <v>54</v>
      </c>
      <c r="Q15" s="116">
        <f t="shared" si="5"/>
        <v>0</v>
      </c>
      <c r="R15" s="484" t="s">
        <v>52</v>
      </c>
      <c r="S15" s="115">
        <f t="shared" si="42"/>
        <v>0</v>
      </c>
      <c r="T15" s="116" t="s">
        <v>53</v>
      </c>
      <c r="U15" s="484">
        <f t="shared" si="6"/>
        <v>0</v>
      </c>
      <c r="V15" s="115" t="s">
        <v>54</v>
      </c>
      <c r="W15" s="116">
        <f t="shared" si="7"/>
        <v>0</v>
      </c>
      <c r="X15" s="484" t="s">
        <v>52</v>
      </c>
      <c r="Y15" s="115">
        <f t="shared" si="8"/>
        <v>0</v>
      </c>
      <c r="Z15" s="116" t="s">
        <v>53</v>
      </c>
      <c r="AA15" s="484">
        <f t="shared" si="9"/>
        <v>0</v>
      </c>
      <c r="AB15" s="115" t="s">
        <v>54</v>
      </c>
      <c r="AC15" s="116">
        <f t="shared" si="43"/>
        <v>0</v>
      </c>
      <c r="AD15" s="484" t="s">
        <v>52</v>
      </c>
      <c r="AE15" s="117">
        <f t="shared" si="44"/>
        <v>0</v>
      </c>
      <c r="AF15" s="485"/>
      <c r="AG15" s="114">
        <f t="shared" si="45"/>
        <v>0</v>
      </c>
      <c r="AH15" s="484" t="s">
        <v>52</v>
      </c>
      <c r="AI15" s="115">
        <f t="shared" si="10"/>
        <v>0</v>
      </c>
      <c r="AJ15" s="116" t="s">
        <v>53</v>
      </c>
      <c r="AK15" s="484">
        <f t="shared" si="11"/>
        <v>0</v>
      </c>
      <c r="AL15" s="115" t="s">
        <v>54</v>
      </c>
      <c r="AM15" s="246">
        <v>0</v>
      </c>
      <c r="AN15" s="244" t="s">
        <v>52</v>
      </c>
      <c r="AO15" s="245">
        <v>0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0</v>
      </c>
      <c r="AZ15" s="244" t="s">
        <v>52</v>
      </c>
      <c r="BA15" s="245">
        <v>0</v>
      </c>
      <c r="BB15" s="246" t="s">
        <v>53</v>
      </c>
      <c r="BC15" s="244">
        <v>0</v>
      </c>
      <c r="BD15" s="245" t="s">
        <v>54</v>
      </c>
      <c r="BE15" s="116">
        <v>0</v>
      </c>
      <c r="BF15" s="484" t="s">
        <v>52</v>
      </c>
      <c r="BG15" s="117">
        <v>0</v>
      </c>
      <c r="BH15" s="115"/>
      <c r="BI15" s="114">
        <f t="shared" si="12"/>
        <v>0</v>
      </c>
      <c r="BJ15" s="484" t="s">
        <v>52</v>
      </c>
      <c r="BK15" s="115">
        <f t="shared" si="46"/>
        <v>0</v>
      </c>
      <c r="BL15" s="116" t="s">
        <v>53</v>
      </c>
      <c r="BM15" s="484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484" t="s">
        <v>52</v>
      </c>
      <c r="CI15" s="117">
        <v>0</v>
      </c>
      <c r="CJ15" s="140">
        <v>0</v>
      </c>
      <c r="CK15" s="148">
        <f t="shared" si="47"/>
        <v>0</v>
      </c>
      <c r="CL15" s="148">
        <v>0</v>
      </c>
      <c r="CM15" s="148">
        <v>0</v>
      </c>
      <c r="CN15" s="148">
        <f t="shared" si="48"/>
        <v>0</v>
      </c>
      <c r="CO15" s="175">
        <v>0</v>
      </c>
      <c r="CP15" s="140">
        <v>0</v>
      </c>
      <c r="CQ15" s="175">
        <v>0</v>
      </c>
      <c r="CR15" s="148">
        <v>0</v>
      </c>
      <c r="CS15" s="148">
        <v>0</v>
      </c>
      <c r="CT15" s="140">
        <v>0</v>
      </c>
      <c r="CU15" s="140">
        <v>0</v>
      </c>
      <c r="CV15" s="148">
        <f t="shared" si="49"/>
        <v>0</v>
      </c>
      <c r="CW15" s="140"/>
      <c r="CX15" s="140" t="str">
        <f t="shared" si="50"/>
        <v>0</v>
      </c>
      <c r="CY15" s="140" t="str">
        <f t="shared" si="14"/>
        <v>0</v>
      </c>
      <c r="CZ15" s="165" t="str">
        <f t="shared" si="15"/>
        <v>0</v>
      </c>
      <c r="DA15" s="164">
        <f t="shared" si="16"/>
        <v>73.577732598605593</v>
      </c>
      <c r="DB15" s="141"/>
      <c r="DC15" s="141"/>
      <c r="DD15" s="77">
        <f t="shared" si="51"/>
        <v>0</v>
      </c>
      <c r="DE15" s="37" t="str">
        <f t="shared" si="52"/>
        <v>0</v>
      </c>
      <c r="DF15" s="37" t="str">
        <f t="shared" si="53"/>
        <v>0</v>
      </c>
      <c r="DG15" s="37" t="str">
        <f t="shared" si="54"/>
        <v>0</v>
      </c>
      <c r="DH15" s="37" t="str">
        <f t="shared" si="17"/>
        <v>0</v>
      </c>
      <c r="DI15" s="37" t="str">
        <f t="shared" si="18"/>
        <v>0</v>
      </c>
      <c r="DJ15" s="37" t="str">
        <f t="shared" si="19"/>
        <v>0</v>
      </c>
      <c r="DK15" s="37" t="str">
        <f t="shared" si="20"/>
        <v>0</v>
      </c>
      <c r="DL15" s="37" t="str">
        <f t="shared" si="21"/>
        <v>0</v>
      </c>
      <c r="DM15" s="37" t="str">
        <f t="shared" si="22"/>
        <v>0</v>
      </c>
      <c r="DN15" s="37" t="str">
        <f t="shared" si="55"/>
        <v>0</v>
      </c>
      <c r="DO15" s="37" t="str">
        <f t="shared" si="56"/>
        <v>0</v>
      </c>
      <c r="DP15" s="66" t="str">
        <f t="shared" si="57"/>
        <v>0</v>
      </c>
      <c r="DQ15" s="78" t="str">
        <f t="shared" si="58"/>
        <v>0</v>
      </c>
      <c r="DR15" s="6"/>
      <c r="DS15" s="36"/>
      <c r="DT15" s="75" t="str">
        <f t="shared" si="59"/>
        <v>0</v>
      </c>
      <c r="DU15" s="18">
        <f t="shared" si="23"/>
        <v>0</v>
      </c>
      <c r="DV15" s="13" t="str">
        <f t="shared" si="60"/>
        <v>0</v>
      </c>
      <c r="DW15" s="14" t="str">
        <f t="shared" si="24"/>
        <v>0</v>
      </c>
      <c r="DX15" s="14">
        <f t="shared" si="25"/>
        <v>0</v>
      </c>
      <c r="DY15" s="14" t="str">
        <f t="shared" si="61"/>
        <v>0</v>
      </c>
      <c r="DZ15" s="15">
        <f t="shared" si="26"/>
        <v>10.151999999999999</v>
      </c>
      <c r="EA15" s="14">
        <f t="shared" si="62"/>
        <v>0.86545206547155107</v>
      </c>
      <c r="EB15" s="14">
        <f t="shared" si="27"/>
        <v>0.125</v>
      </c>
      <c r="EC15" s="14">
        <f t="shared" si="28"/>
        <v>0.47886792452830185</v>
      </c>
      <c r="ED15" s="14">
        <f t="shared" si="63"/>
        <v>0</v>
      </c>
      <c r="EE15" s="19">
        <f t="shared" si="64"/>
        <v>0</v>
      </c>
      <c r="EF15" s="67" t="str">
        <f t="shared" si="65"/>
        <v>0</v>
      </c>
      <c r="EG15" s="74">
        <f t="shared" si="66"/>
        <v>0</v>
      </c>
      <c r="EH15" s="27">
        <f t="shared" si="67"/>
        <v>0</v>
      </c>
      <c r="EI15" s="25" t="str">
        <f t="shared" si="68"/>
        <v>0</v>
      </c>
      <c r="EJ15" s="25">
        <f t="shared" si="69"/>
        <v>0</v>
      </c>
      <c r="EK15" s="26">
        <f t="shared" si="29"/>
        <v>0</v>
      </c>
      <c r="EL15" s="29">
        <f t="shared" si="70"/>
        <v>0.33333333333333331</v>
      </c>
      <c r="EM15" s="30">
        <f t="shared" si="30"/>
        <v>0.5</v>
      </c>
      <c r="EN15" s="30">
        <f t="shared" si="31"/>
        <v>0.33333333333333331</v>
      </c>
      <c r="EO15" s="31">
        <f t="shared" si="71"/>
        <v>0</v>
      </c>
      <c r="EP15" s="31">
        <f t="shared" si="32"/>
        <v>0</v>
      </c>
      <c r="EQ15" s="31">
        <f t="shared" si="72"/>
        <v>0</v>
      </c>
      <c r="ER15" s="93" t="str">
        <f t="shared" si="33"/>
        <v>0</v>
      </c>
      <c r="ES15" s="109">
        <f t="shared" si="34"/>
        <v>33.111059707008586</v>
      </c>
      <c r="ET15" s="32">
        <f t="shared" si="35"/>
        <v>2.354444241649936</v>
      </c>
      <c r="EV15" s="277"/>
      <c r="EW15" s="278"/>
      <c r="EX15" s="37">
        <f t="shared" si="81"/>
        <v>0</v>
      </c>
      <c r="EY15" s="72">
        <f t="shared" si="73"/>
        <v>0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0</v>
      </c>
      <c r="FG15" s="43">
        <f t="shared" si="36"/>
        <v>0</v>
      </c>
      <c r="FH15" s="42" t="s">
        <v>52</v>
      </c>
      <c r="FI15" s="49">
        <f t="shared" si="74"/>
        <v>0</v>
      </c>
      <c r="FJ15" s="347" t="str">
        <f t="shared" si="75"/>
        <v>0</v>
      </c>
      <c r="FK15" s="325">
        <f t="shared" si="37"/>
        <v>0</v>
      </c>
      <c r="FL15" s="42" t="s">
        <v>52</v>
      </c>
      <c r="FM15" s="348">
        <f t="shared" si="38"/>
        <v>0</v>
      </c>
      <c r="FN15" s="347" t="str">
        <f t="shared" si="76"/>
        <v>0</v>
      </c>
      <c r="FO15" s="349">
        <f t="shared" si="77"/>
        <v>0</v>
      </c>
      <c r="FP15" s="42" t="s">
        <v>52</v>
      </c>
      <c r="FQ15" s="350">
        <f t="shared" si="78"/>
        <v>0</v>
      </c>
      <c r="FR15" s="351" t="str">
        <f t="shared" si="79"/>
        <v>0</v>
      </c>
      <c r="FS15" s="4">
        <f t="shared" si="39"/>
        <v>0</v>
      </c>
      <c r="FT15" s="4">
        <f t="shared" si="39"/>
        <v>0</v>
      </c>
      <c r="FU15" s="4">
        <f t="shared" si="40"/>
        <v>0</v>
      </c>
      <c r="FV15" s="352">
        <f t="shared" si="40"/>
        <v>0</v>
      </c>
      <c r="FW15" s="4">
        <f t="shared" si="40"/>
        <v>0</v>
      </c>
      <c r="FX15" s="4">
        <f t="shared" si="40"/>
        <v>0</v>
      </c>
      <c r="FY15" s="4">
        <f t="shared" si="40"/>
        <v>0</v>
      </c>
      <c r="FZ15" s="4">
        <f t="shared" si="40"/>
        <v>0</v>
      </c>
      <c r="GA15" s="4">
        <f t="shared" si="40"/>
        <v>0</v>
      </c>
      <c r="GB15" s="4">
        <f t="shared" si="40"/>
        <v>0</v>
      </c>
      <c r="GC15" s="352">
        <f t="shared" si="40"/>
        <v>0</v>
      </c>
      <c r="GD15" s="353" t="str">
        <f t="shared" si="80"/>
        <v>0</v>
      </c>
      <c r="GE15" s="4" t="str">
        <f t="shared" si="80"/>
        <v>0</v>
      </c>
      <c r="GF15" s="4" t="str">
        <f t="shared" si="80"/>
        <v>0</v>
      </c>
      <c r="GG15" s="354">
        <f t="shared" si="80"/>
        <v>73.577732598605593</v>
      </c>
      <c r="GH15" s="4"/>
      <c r="GJ15" s="82"/>
      <c r="GK15" s="24"/>
      <c r="GL15" s="185">
        <f>(CQ15/CQ48)*(EY49-EX49)</f>
        <v>0</v>
      </c>
      <c r="GM15" s="185">
        <f>((E49/G49)*(1-(CJ49/(CJ49+CK48))))/((E49/G49)*(1-(CJ49/(CJ49+CK48)))+((1-(E49/G49)))*(CJ49/(CJ49+CK48)))</f>
        <v>0.63636363636363624</v>
      </c>
      <c r="GN15" s="24">
        <f>GK15+(GL15/10)+(GJ15*GM15*(1-(CJ49/(CJ49+CK48))))+(CK15*(1-GM15))</f>
        <v>0</v>
      </c>
      <c r="GO15" s="213" t="e">
        <f>GN15/(DD15*EG49)</f>
        <v>#DIV/0!</v>
      </c>
    </row>
    <row r="16" spans="1:197" x14ac:dyDescent="0.2">
      <c r="A16" s="139"/>
      <c r="B16" s="89" t="s">
        <v>117</v>
      </c>
      <c r="C16" s="41" t="s">
        <v>216</v>
      </c>
      <c r="D16" s="161">
        <v>6.57</v>
      </c>
      <c r="E16" s="114">
        <f t="shared" si="0"/>
        <v>0</v>
      </c>
      <c r="F16" s="484" t="s">
        <v>52</v>
      </c>
      <c r="G16" s="115">
        <f t="shared" si="1"/>
        <v>0</v>
      </c>
      <c r="H16" s="116" t="s">
        <v>53</v>
      </c>
      <c r="I16" s="484">
        <f t="shared" si="41"/>
        <v>0</v>
      </c>
      <c r="J16" s="115" t="s">
        <v>54</v>
      </c>
      <c r="K16" s="116">
        <f t="shared" si="2"/>
        <v>0</v>
      </c>
      <c r="L16" s="484" t="s">
        <v>52</v>
      </c>
      <c r="M16" s="115">
        <f t="shared" si="3"/>
        <v>0</v>
      </c>
      <c r="N16" s="116" t="s">
        <v>53</v>
      </c>
      <c r="O16" s="484">
        <f t="shared" si="4"/>
        <v>0</v>
      </c>
      <c r="P16" s="115" t="s">
        <v>54</v>
      </c>
      <c r="Q16" s="116">
        <f t="shared" si="5"/>
        <v>0</v>
      </c>
      <c r="R16" s="484" t="s">
        <v>52</v>
      </c>
      <c r="S16" s="115">
        <f t="shared" si="42"/>
        <v>0</v>
      </c>
      <c r="T16" s="116" t="s">
        <v>53</v>
      </c>
      <c r="U16" s="484">
        <f t="shared" si="6"/>
        <v>0</v>
      </c>
      <c r="V16" s="115" t="s">
        <v>54</v>
      </c>
      <c r="W16" s="116">
        <f t="shared" si="7"/>
        <v>0</v>
      </c>
      <c r="X16" s="484" t="s">
        <v>52</v>
      </c>
      <c r="Y16" s="115">
        <f t="shared" si="8"/>
        <v>0</v>
      </c>
      <c r="Z16" s="116" t="s">
        <v>53</v>
      </c>
      <c r="AA16" s="484">
        <f t="shared" si="9"/>
        <v>0</v>
      </c>
      <c r="AB16" s="115" t="s">
        <v>54</v>
      </c>
      <c r="AC16" s="116">
        <f t="shared" si="43"/>
        <v>0.75</v>
      </c>
      <c r="AD16" s="484" t="s">
        <v>52</v>
      </c>
      <c r="AE16" s="117">
        <f t="shared" si="44"/>
        <v>1</v>
      </c>
      <c r="AF16" s="485"/>
      <c r="AG16" s="114">
        <f t="shared" si="45"/>
        <v>0</v>
      </c>
      <c r="AH16" s="484" t="s">
        <v>52</v>
      </c>
      <c r="AI16" s="115">
        <f t="shared" si="10"/>
        <v>0</v>
      </c>
      <c r="AJ16" s="116" t="s">
        <v>53</v>
      </c>
      <c r="AK16" s="484">
        <f t="shared" si="11"/>
        <v>0</v>
      </c>
      <c r="AL16" s="115" t="s">
        <v>54</v>
      </c>
      <c r="AM16" s="246">
        <v>0</v>
      </c>
      <c r="AN16" s="244" t="s">
        <v>52</v>
      </c>
      <c r="AO16" s="245">
        <v>0</v>
      </c>
      <c r="AP16" s="246" t="s">
        <v>53</v>
      </c>
      <c r="AQ16" s="244">
        <v>0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0</v>
      </c>
      <c r="BB16" s="246" t="s">
        <v>53</v>
      </c>
      <c r="BC16" s="244">
        <v>0</v>
      </c>
      <c r="BD16" s="245" t="s">
        <v>54</v>
      </c>
      <c r="BE16" s="116">
        <v>0</v>
      </c>
      <c r="BF16" s="484" t="s">
        <v>52</v>
      </c>
      <c r="BG16" s="117">
        <v>0</v>
      </c>
      <c r="BH16" s="115"/>
      <c r="BI16" s="114">
        <f t="shared" si="12"/>
        <v>0</v>
      </c>
      <c r="BJ16" s="484" t="s">
        <v>52</v>
      </c>
      <c r="BK16" s="115">
        <f t="shared" si="46"/>
        <v>0</v>
      </c>
      <c r="BL16" s="116" t="s">
        <v>53</v>
      </c>
      <c r="BM16" s="484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0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484" t="s">
        <v>52</v>
      </c>
      <c r="CI16" s="117">
        <v>0</v>
      </c>
      <c r="CJ16" s="140">
        <v>0</v>
      </c>
      <c r="CK16" s="148">
        <f t="shared" si="47"/>
        <v>2</v>
      </c>
      <c r="CL16" s="148">
        <v>1</v>
      </c>
      <c r="CM16" s="148">
        <v>1</v>
      </c>
      <c r="CN16" s="148">
        <f t="shared" si="48"/>
        <v>2</v>
      </c>
      <c r="CO16" s="175">
        <v>2</v>
      </c>
      <c r="CP16" s="140">
        <v>0</v>
      </c>
      <c r="CQ16" s="175">
        <v>0</v>
      </c>
      <c r="CR16" s="148">
        <v>1</v>
      </c>
      <c r="CS16" s="148">
        <v>0</v>
      </c>
      <c r="CT16" s="140">
        <v>2</v>
      </c>
      <c r="CU16" s="140">
        <v>0</v>
      </c>
      <c r="CV16" s="148">
        <f t="shared" si="49"/>
        <v>0.75</v>
      </c>
      <c r="CW16" s="140"/>
      <c r="CX16" s="140">
        <f t="shared" si="50"/>
        <v>62.457465321880157</v>
      </c>
      <c r="CY16" s="140">
        <f t="shared" si="14"/>
        <v>0.2759748467710984</v>
      </c>
      <c r="CZ16" s="165">
        <f t="shared" si="15"/>
        <v>0.20335347328039011</v>
      </c>
      <c r="DA16" s="164">
        <f t="shared" si="16"/>
        <v>154.11376760735669</v>
      </c>
      <c r="DB16" s="141"/>
      <c r="DC16" s="141"/>
      <c r="DD16" s="77">
        <f t="shared" si="51"/>
        <v>1.0003045066991474</v>
      </c>
      <c r="DE16" s="37" t="str">
        <f t="shared" si="52"/>
        <v>0</v>
      </c>
      <c r="DF16" s="37" t="str">
        <f t="shared" si="53"/>
        <v>0</v>
      </c>
      <c r="DG16" s="37" t="str">
        <f t="shared" si="54"/>
        <v>0</v>
      </c>
      <c r="DH16" s="37">
        <f t="shared" si="17"/>
        <v>0</v>
      </c>
      <c r="DI16" s="37">
        <f t="shared" si="18"/>
        <v>0.24992389649923896</v>
      </c>
      <c r="DJ16" s="37">
        <f t="shared" si="19"/>
        <v>0</v>
      </c>
      <c r="DK16" s="37">
        <f t="shared" si="20"/>
        <v>0</v>
      </c>
      <c r="DL16" s="37">
        <f t="shared" si="21"/>
        <v>0.99969558599695585</v>
      </c>
      <c r="DM16" s="37">
        <f t="shared" si="22"/>
        <v>0.14541533792737166</v>
      </c>
      <c r="DN16" s="37">
        <f t="shared" si="55"/>
        <v>0.71508657109027318</v>
      </c>
      <c r="DO16" s="37">
        <f t="shared" si="56"/>
        <v>1</v>
      </c>
      <c r="DP16" s="66">
        <f t="shared" si="57"/>
        <v>0</v>
      </c>
      <c r="DQ16" s="78">
        <f t="shared" si="58"/>
        <v>6.0882800608828003</v>
      </c>
      <c r="DR16" s="6"/>
      <c r="DS16" s="36"/>
      <c r="DT16" s="75">
        <f t="shared" si="59"/>
        <v>3.209284627092845</v>
      </c>
      <c r="DU16" s="18">
        <f t="shared" si="23"/>
        <v>0.77186415723155599</v>
      </c>
      <c r="DV16" s="13" t="str">
        <f t="shared" si="60"/>
        <v>0</v>
      </c>
      <c r="DW16" s="14">
        <f t="shared" si="24"/>
        <v>-9.2696103241216549E-8</v>
      </c>
      <c r="DX16" s="14">
        <f t="shared" si="25"/>
        <v>0.41666666666666669</v>
      </c>
      <c r="DY16" s="14">
        <f t="shared" si="61"/>
        <v>0.375</v>
      </c>
      <c r="DZ16" s="15">
        <f t="shared" si="26"/>
        <v>2.7395</v>
      </c>
      <c r="EA16" s="14">
        <f t="shared" si="62"/>
        <v>0.18510135135135133</v>
      </c>
      <c r="EB16" s="14">
        <f t="shared" si="27"/>
        <v>0.5</v>
      </c>
      <c r="EC16" s="14">
        <f t="shared" si="28"/>
        <v>0.18510135135135133</v>
      </c>
      <c r="ED16" s="14">
        <f t="shared" si="63"/>
        <v>0</v>
      </c>
      <c r="EE16" s="19">
        <f t="shared" si="64"/>
        <v>0</v>
      </c>
      <c r="EF16" s="67">
        <f t="shared" si="65"/>
        <v>2.5000000000000001E-2</v>
      </c>
      <c r="EG16" s="74">
        <f t="shared" si="66"/>
        <v>2.796864157231556</v>
      </c>
      <c r="EH16" s="27">
        <f t="shared" si="67"/>
        <v>1.7468504611029949</v>
      </c>
      <c r="EI16" s="25" t="str">
        <f t="shared" si="68"/>
        <v>0</v>
      </c>
      <c r="EJ16" s="25">
        <f t="shared" si="69"/>
        <v>1.0416666666666667</v>
      </c>
      <c r="EK16" s="26">
        <f t="shared" si="29"/>
        <v>0</v>
      </c>
      <c r="EL16" s="29">
        <f t="shared" si="70"/>
        <v>0.88732394366197176</v>
      </c>
      <c r="EM16" s="30">
        <f t="shared" si="30"/>
        <v>0.125</v>
      </c>
      <c r="EN16" s="30">
        <f t="shared" si="31"/>
        <v>0.52941176470588236</v>
      </c>
      <c r="EO16" s="31">
        <f t="shared" si="71"/>
        <v>0.22535211267605648</v>
      </c>
      <c r="EP16" s="31">
        <f t="shared" si="32"/>
        <v>1.8303881817090115</v>
      </c>
      <c r="EQ16" s="31">
        <f t="shared" si="72"/>
        <v>2.055740294385068</v>
      </c>
      <c r="ER16" s="93">
        <f t="shared" si="33"/>
        <v>0.74734042399729772</v>
      </c>
      <c r="ES16" s="109">
        <f t="shared" si="34"/>
        <v>177.46073380375375</v>
      </c>
      <c r="ET16" s="32">
        <f t="shared" si="35"/>
        <v>2.4034672970843185</v>
      </c>
      <c r="EV16" s="277"/>
      <c r="EW16" s="278"/>
      <c r="EX16" s="37">
        <f t="shared" si="81"/>
        <v>0.75</v>
      </c>
      <c r="EY16" s="72">
        <f t="shared" si="73"/>
        <v>1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6.57</v>
      </c>
      <c r="FG16" s="182">
        <f t="shared" si="36"/>
        <v>0</v>
      </c>
      <c r="FH16" s="183" t="s">
        <v>52</v>
      </c>
      <c r="FI16" s="184">
        <f t="shared" si="74"/>
        <v>0</v>
      </c>
      <c r="FJ16" s="193" t="str">
        <f t="shared" si="75"/>
        <v>0</v>
      </c>
      <c r="FK16" s="185">
        <f t="shared" si="37"/>
        <v>0</v>
      </c>
      <c r="FL16" s="183" t="s">
        <v>52</v>
      </c>
      <c r="FM16" s="186">
        <f t="shared" si="38"/>
        <v>0</v>
      </c>
      <c r="FN16" s="193" t="str">
        <f t="shared" si="76"/>
        <v>0</v>
      </c>
      <c r="FO16" s="261">
        <f t="shared" si="77"/>
        <v>0</v>
      </c>
      <c r="FP16" s="183" t="s">
        <v>52</v>
      </c>
      <c r="FQ16" s="268">
        <f t="shared" si="78"/>
        <v>0</v>
      </c>
      <c r="FR16" s="196" t="str">
        <f t="shared" si="79"/>
        <v>0</v>
      </c>
      <c r="FS16" s="179">
        <f t="shared" si="39"/>
        <v>0</v>
      </c>
      <c r="FT16" s="179">
        <f t="shared" si="39"/>
        <v>2</v>
      </c>
      <c r="FU16" s="179">
        <f t="shared" si="40"/>
        <v>2</v>
      </c>
      <c r="FV16" s="187">
        <f t="shared" si="40"/>
        <v>2</v>
      </c>
      <c r="FW16" s="179">
        <f t="shared" si="40"/>
        <v>0</v>
      </c>
      <c r="FX16" s="179">
        <f t="shared" si="40"/>
        <v>0</v>
      </c>
      <c r="FY16" s="179">
        <f t="shared" si="40"/>
        <v>1</v>
      </c>
      <c r="FZ16" s="179">
        <f t="shared" si="40"/>
        <v>0</v>
      </c>
      <c r="GA16" s="179">
        <f t="shared" si="40"/>
        <v>2</v>
      </c>
      <c r="GB16" s="179">
        <f t="shared" si="40"/>
        <v>0</v>
      </c>
      <c r="GC16" s="187">
        <f t="shared" si="40"/>
        <v>0.75</v>
      </c>
      <c r="GD16" s="203">
        <f t="shared" si="80"/>
        <v>62.457465321880157</v>
      </c>
      <c r="GE16" s="179">
        <f t="shared" si="80"/>
        <v>0.2759748467710984</v>
      </c>
      <c r="GF16" s="179">
        <f t="shared" si="80"/>
        <v>0.20335347328039011</v>
      </c>
      <c r="GG16" s="258">
        <f t="shared" si="80"/>
        <v>154.11376760735669</v>
      </c>
      <c r="GH16" s="179"/>
      <c r="GJ16" s="82"/>
      <c r="GK16" s="24"/>
      <c r="GL16" s="185">
        <f>(CQ16/CQ50)*(EY51-EX51)</f>
        <v>0</v>
      </c>
      <c r="GM16" s="185">
        <f>((E51/G51)*(1-(CJ51/(CJ51+CK50))))/((E51/G51)*(1-(CJ51/(CJ51+CK50)))+((1-(E51/G51)))*(CJ51/(CJ51+CK50)))</f>
        <v>0.63636363636363624</v>
      </c>
      <c r="GN16" s="24">
        <f>GK16+(GL16/10)+(GJ16*GM16*(1-(CJ51/(CJ51+CK50))))+(CK16*(1-GM16))</f>
        <v>0.72727272727272751</v>
      </c>
      <c r="GO16" s="213">
        <f>GN16/(DD16*EG51)</f>
        <v>5.2878304700862432E-2</v>
      </c>
    </row>
    <row r="17" spans="1:197" x14ac:dyDescent="0.2">
      <c r="A17" s="139"/>
      <c r="B17" s="89" t="s">
        <v>82</v>
      </c>
      <c r="C17" s="41" t="s">
        <v>217</v>
      </c>
      <c r="D17" s="161">
        <v>4.08</v>
      </c>
      <c r="E17" s="114">
        <f t="shared" si="0"/>
        <v>0</v>
      </c>
      <c r="F17" s="484" t="s">
        <v>52</v>
      </c>
      <c r="G17" s="115">
        <f t="shared" si="1"/>
        <v>1</v>
      </c>
      <c r="H17" s="116" t="s">
        <v>53</v>
      </c>
      <c r="I17" s="484">
        <f t="shared" si="41"/>
        <v>0</v>
      </c>
      <c r="J17" s="115" t="s">
        <v>54</v>
      </c>
      <c r="K17" s="116">
        <f t="shared" si="2"/>
        <v>0</v>
      </c>
      <c r="L17" s="484" t="s">
        <v>52</v>
      </c>
      <c r="M17" s="115">
        <f t="shared" si="3"/>
        <v>1</v>
      </c>
      <c r="N17" s="116" t="s">
        <v>53</v>
      </c>
      <c r="O17" s="484">
        <f t="shared" si="4"/>
        <v>0</v>
      </c>
      <c r="P17" s="115" t="s">
        <v>54</v>
      </c>
      <c r="Q17" s="116">
        <f t="shared" si="5"/>
        <v>0</v>
      </c>
      <c r="R17" s="484" t="s">
        <v>52</v>
      </c>
      <c r="S17" s="115">
        <f t="shared" si="42"/>
        <v>0</v>
      </c>
      <c r="T17" s="116" t="s">
        <v>53</v>
      </c>
      <c r="U17" s="484">
        <f t="shared" si="6"/>
        <v>0</v>
      </c>
      <c r="V17" s="115" t="s">
        <v>54</v>
      </c>
      <c r="W17" s="116">
        <f t="shared" si="7"/>
        <v>0</v>
      </c>
      <c r="X17" s="484" t="s">
        <v>52</v>
      </c>
      <c r="Y17" s="115">
        <f t="shared" si="8"/>
        <v>0</v>
      </c>
      <c r="Z17" s="116" t="s">
        <v>53</v>
      </c>
      <c r="AA17" s="484">
        <f t="shared" si="9"/>
        <v>0</v>
      </c>
      <c r="AB17" s="115" t="s">
        <v>54</v>
      </c>
      <c r="AC17" s="116">
        <f t="shared" si="43"/>
        <v>0</v>
      </c>
      <c r="AD17" s="484" t="s">
        <v>52</v>
      </c>
      <c r="AE17" s="117">
        <f t="shared" si="44"/>
        <v>0</v>
      </c>
      <c r="AF17" s="485"/>
      <c r="AG17" s="114">
        <f t="shared" si="45"/>
        <v>0</v>
      </c>
      <c r="AH17" s="484" t="s">
        <v>52</v>
      </c>
      <c r="AI17" s="115">
        <f t="shared" si="10"/>
        <v>1</v>
      </c>
      <c r="AJ17" s="116" t="s">
        <v>53</v>
      </c>
      <c r="AK17" s="484">
        <f t="shared" si="11"/>
        <v>0</v>
      </c>
      <c r="AL17" s="115" t="s">
        <v>54</v>
      </c>
      <c r="AM17" s="246">
        <v>0</v>
      </c>
      <c r="AN17" s="244" t="s">
        <v>52</v>
      </c>
      <c r="AO17" s="245">
        <v>1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0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0</v>
      </c>
      <c r="BB17" s="246" t="s">
        <v>53</v>
      </c>
      <c r="BC17" s="244">
        <v>0</v>
      </c>
      <c r="BD17" s="245" t="s">
        <v>54</v>
      </c>
      <c r="BE17" s="116">
        <v>0</v>
      </c>
      <c r="BF17" s="484" t="s">
        <v>52</v>
      </c>
      <c r="BG17" s="117">
        <v>0</v>
      </c>
      <c r="BH17" s="115"/>
      <c r="BI17" s="114">
        <f t="shared" si="12"/>
        <v>0</v>
      </c>
      <c r="BJ17" s="484" t="s">
        <v>52</v>
      </c>
      <c r="BK17" s="115">
        <f t="shared" si="46"/>
        <v>0</v>
      </c>
      <c r="BL17" s="116" t="s">
        <v>53</v>
      </c>
      <c r="BM17" s="484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484" t="s">
        <v>52</v>
      </c>
      <c r="CI17" s="117">
        <v>0</v>
      </c>
      <c r="CJ17" s="140">
        <v>0</v>
      </c>
      <c r="CK17" s="148">
        <f t="shared" si="47"/>
        <v>0</v>
      </c>
      <c r="CL17" s="148">
        <v>0</v>
      </c>
      <c r="CM17" s="148">
        <v>0</v>
      </c>
      <c r="CN17" s="148">
        <f t="shared" si="48"/>
        <v>0</v>
      </c>
      <c r="CO17" s="175">
        <v>0</v>
      </c>
      <c r="CP17" s="140">
        <v>0</v>
      </c>
      <c r="CQ17" s="175">
        <v>0</v>
      </c>
      <c r="CR17" s="148">
        <v>0</v>
      </c>
      <c r="CS17" s="148">
        <v>2</v>
      </c>
      <c r="CT17" s="140">
        <v>0</v>
      </c>
      <c r="CU17" s="140">
        <v>1</v>
      </c>
      <c r="CV17" s="148">
        <f t="shared" si="49"/>
        <v>0</v>
      </c>
      <c r="CW17" s="140"/>
      <c r="CX17" s="140">
        <f t="shared" si="50"/>
        <v>0</v>
      </c>
      <c r="CY17" s="140">
        <f t="shared" si="14"/>
        <v>0</v>
      </c>
      <c r="CZ17" s="165">
        <f t="shared" si="15"/>
        <v>7.1586246973254511E-2</v>
      </c>
      <c r="DA17" s="164">
        <f t="shared" si="16"/>
        <v>23.272037932574847</v>
      </c>
      <c r="DB17" s="141"/>
      <c r="DC17" s="141"/>
      <c r="DD17" s="77">
        <f t="shared" si="51"/>
        <v>0.62119366626065775</v>
      </c>
      <c r="DE17" s="37">
        <f t="shared" si="52"/>
        <v>0</v>
      </c>
      <c r="DF17" s="37" t="str">
        <f t="shared" si="53"/>
        <v>0</v>
      </c>
      <c r="DG17" s="37">
        <f t="shared" si="54"/>
        <v>0</v>
      </c>
      <c r="DH17" s="37">
        <f t="shared" si="17"/>
        <v>0</v>
      </c>
      <c r="DI17" s="37">
        <f t="shared" si="18"/>
        <v>0</v>
      </c>
      <c r="DJ17" s="37">
        <f t="shared" si="19"/>
        <v>0.80490196078431375</v>
      </c>
      <c r="DK17" s="37">
        <f t="shared" si="20"/>
        <v>0.1652784922903423</v>
      </c>
      <c r="DL17" s="37">
        <f t="shared" si="21"/>
        <v>0</v>
      </c>
      <c r="DM17" s="37">
        <f t="shared" si="22"/>
        <v>0</v>
      </c>
      <c r="DN17" s="37">
        <f t="shared" si="55"/>
        <v>0</v>
      </c>
      <c r="DO17" s="37" t="str">
        <f t="shared" si="56"/>
        <v>0</v>
      </c>
      <c r="DP17" s="66">
        <f t="shared" si="57"/>
        <v>0</v>
      </c>
      <c r="DQ17" s="78">
        <f t="shared" si="58"/>
        <v>0</v>
      </c>
      <c r="DR17" s="6"/>
      <c r="DS17" s="36"/>
      <c r="DT17" s="75">
        <f t="shared" si="59"/>
        <v>26.420098039215681</v>
      </c>
      <c r="DU17" s="18">
        <f t="shared" si="23"/>
        <v>0</v>
      </c>
      <c r="DV17" s="13">
        <f t="shared" si="60"/>
        <v>0</v>
      </c>
      <c r="DW17" s="14">
        <f t="shared" si="24"/>
        <v>0.60387061848694001</v>
      </c>
      <c r="DX17" s="14">
        <f t="shared" si="25"/>
        <v>0</v>
      </c>
      <c r="DY17" s="14" t="str">
        <f t="shared" si="61"/>
        <v>0</v>
      </c>
      <c r="DZ17" s="15">
        <f t="shared" si="26"/>
        <v>10.151999999999999</v>
      </c>
      <c r="EA17" s="14">
        <f t="shared" si="62"/>
        <v>0.86545206547155107</v>
      </c>
      <c r="EB17" s="14">
        <f t="shared" si="27"/>
        <v>0.125</v>
      </c>
      <c r="EC17" s="14">
        <f t="shared" si="28"/>
        <v>0.47886792452830185</v>
      </c>
      <c r="ED17" s="14">
        <f t="shared" si="63"/>
        <v>0</v>
      </c>
      <c r="EE17" s="19">
        <f t="shared" si="64"/>
        <v>0.86624999999999996</v>
      </c>
      <c r="EF17" s="67" t="str">
        <f t="shared" si="65"/>
        <v>0</v>
      </c>
      <c r="EG17" s="74">
        <f t="shared" si="66"/>
        <v>0.86624999999999996</v>
      </c>
      <c r="EH17" s="27">
        <f t="shared" si="67"/>
        <v>0</v>
      </c>
      <c r="EI17" s="25">
        <f t="shared" si="68"/>
        <v>0</v>
      </c>
      <c r="EJ17" s="25">
        <f t="shared" si="69"/>
        <v>0</v>
      </c>
      <c r="EK17" s="26">
        <f t="shared" si="29"/>
        <v>0</v>
      </c>
      <c r="EL17" s="29">
        <f t="shared" si="70"/>
        <v>0.33333333333333331</v>
      </c>
      <c r="EM17" s="30">
        <f t="shared" si="30"/>
        <v>0.5</v>
      </c>
      <c r="EN17" s="30">
        <f t="shared" si="31"/>
        <v>0.33333333333333331</v>
      </c>
      <c r="EO17" s="31">
        <f t="shared" si="71"/>
        <v>2.1549999999999998</v>
      </c>
      <c r="EP17" s="31">
        <f t="shared" si="32"/>
        <v>0.43048721071863588</v>
      </c>
      <c r="EQ17" s="31">
        <f t="shared" si="72"/>
        <v>2.5854872107186355</v>
      </c>
      <c r="ER17" s="93">
        <f t="shared" si="33"/>
        <v>1.0683135700588466</v>
      </c>
      <c r="ES17" s="109">
        <f t="shared" si="34"/>
        <v>33.111059707008586</v>
      </c>
      <c r="ET17" s="32">
        <f t="shared" si="35"/>
        <v>2.354444241649936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4.08</v>
      </c>
      <c r="FG17" s="43">
        <f t="shared" si="36"/>
        <v>0</v>
      </c>
      <c r="FH17" s="42"/>
      <c r="FI17" s="49">
        <f t="shared" si="74"/>
        <v>1</v>
      </c>
      <c r="FJ17" s="347">
        <f t="shared" si="75"/>
        <v>0</v>
      </c>
      <c r="FK17" s="325">
        <f t="shared" si="37"/>
        <v>0</v>
      </c>
      <c r="FL17" s="42"/>
      <c r="FM17" s="348">
        <f t="shared" si="38"/>
        <v>0</v>
      </c>
      <c r="FN17" s="347" t="str">
        <f t="shared" si="76"/>
        <v>0</v>
      </c>
      <c r="FO17" s="349">
        <f t="shared" si="77"/>
        <v>0</v>
      </c>
      <c r="FP17" s="42"/>
      <c r="FQ17" s="350">
        <f t="shared" si="78"/>
        <v>0</v>
      </c>
      <c r="FR17" s="351" t="str">
        <f t="shared" si="79"/>
        <v>0</v>
      </c>
      <c r="FS17" s="4">
        <f t="shared" si="39"/>
        <v>0</v>
      </c>
      <c r="FT17" s="4">
        <f t="shared" si="39"/>
        <v>0</v>
      </c>
      <c r="FU17" s="4">
        <f t="shared" si="40"/>
        <v>0</v>
      </c>
      <c r="FV17" s="352">
        <f t="shared" si="40"/>
        <v>0</v>
      </c>
      <c r="FW17" s="4">
        <f t="shared" si="40"/>
        <v>0</v>
      </c>
      <c r="FX17" s="4">
        <f t="shared" si="40"/>
        <v>0</v>
      </c>
      <c r="FY17" s="4">
        <f t="shared" si="40"/>
        <v>0</v>
      </c>
      <c r="FZ17" s="4">
        <f t="shared" si="40"/>
        <v>2</v>
      </c>
      <c r="GA17" s="4">
        <f t="shared" si="40"/>
        <v>0</v>
      </c>
      <c r="GB17" s="4">
        <f t="shared" si="40"/>
        <v>1</v>
      </c>
      <c r="GC17" s="352">
        <f t="shared" si="40"/>
        <v>0</v>
      </c>
      <c r="GD17" s="353">
        <f t="shared" si="80"/>
        <v>0</v>
      </c>
      <c r="GE17" s="4">
        <f t="shared" si="80"/>
        <v>0</v>
      </c>
      <c r="GF17" s="4">
        <f t="shared" si="80"/>
        <v>7.1586246973254511E-2</v>
      </c>
      <c r="GG17" s="354">
        <f t="shared" si="80"/>
        <v>23.272037932574847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89" t="s">
        <v>117</v>
      </c>
      <c r="C18" s="41" t="s">
        <v>218</v>
      </c>
      <c r="D18" s="161">
        <v>6.57</v>
      </c>
      <c r="E18" s="114">
        <f t="shared" si="0"/>
        <v>0</v>
      </c>
      <c r="F18" s="484" t="s">
        <v>52</v>
      </c>
      <c r="G18" s="115">
        <f t="shared" si="1"/>
        <v>1</v>
      </c>
      <c r="H18" s="116" t="s">
        <v>53</v>
      </c>
      <c r="I18" s="484">
        <f t="shared" si="41"/>
        <v>0</v>
      </c>
      <c r="J18" s="115" t="s">
        <v>54</v>
      </c>
      <c r="K18" s="116">
        <f t="shared" si="2"/>
        <v>0</v>
      </c>
      <c r="L18" s="484" t="s">
        <v>52</v>
      </c>
      <c r="M18" s="115">
        <f t="shared" si="3"/>
        <v>0</v>
      </c>
      <c r="N18" s="116" t="s">
        <v>53</v>
      </c>
      <c r="O18" s="484">
        <f t="shared" si="4"/>
        <v>0</v>
      </c>
      <c r="P18" s="115" t="s">
        <v>54</v>
      </c>
      <c r="Q18" s="116">
        <f t="shared" si="5"/>
        <v>0</v>
      </c>
      <c r="R18" s="484" t="s">
        <v>52</v>
      </c>
      <c r="S18" s="115">
        <f t="shared" si="42"/>
        <v>0</v>
      </c>
      <c r="T18" s="116" t="s">
        <v>53</v>
      </c>
      <c r="U18" s="484">
        <f t="shared" si="6"/>
        <v>0</v>
      </c>
      <c r="V18" s="115" t="s">
        <v>54</v>
      </c>
      <c r="W18" s="116">
        <f t="shared" si="7"/>
        <v>0</v>
      </c>
      <c r="X18" s="484" t="s">
        <v>52</v>
      </c>
      <c r="Y18" s="115">
        <f t="shared" si="8"/>
        <v>1</v>
      </c>
      <c r="Z18" s="116" t="s">
        <v>53</v>
      </c>
      <c r="AA18" s="484">
        <f t="shared" si="9"/>
        <v>0</v>
      </c>
      <c r="AB18" s="115" t="s">
        <v>54</v>
      </c>
      <c r="AC18" s="116">
        <f t="shared" si="43"/>
        <v>0</v>
      </c>
      <c r="AD18" s="484" t="s">
        <v>52</v>
      </c>
      <c r="AE18" s="117">
        <f t="shared" si="44"/>
        <v>0</v>
      </c>
      <c r="AF18" s="485"/>
      <c r="AG18" s="114">
        <f>IFERROR(AM18+AS18+AY18,"0")</f>
        <v>0</v>
      </c>
      <c r="AH18" s="484" t="s">
        <v>52</v>
      </c>
      <c r="AI18" s="115">
        <f t="shared" si="10"/>
        <v>1</v>
      </c>
      <c r="AJ18" s="116" t="s">
        <v>53</v>
      </c>
      <c r="AK18" s="484">
        <f t="shared" si="11"/>
        <v>0</v>
      </c>
      <c r="AL18" s="115" t="s">
        <v>54</v>
      </c>
      <c r="AM18" s="246">
        <v>0</v>
      </c>
      <c r="AN18" s="244" t="s">
        <v>52</v>
      </c>
      <c r="AO18" s="245">
        <v>0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1</v>
      </c>
      <c r="BB18" s="246" t="s">
        <v>53</v>
      </c>
      <c r="BC18" s="244">
        <v>0</v>
      </c>
      <c r="BD18" s="245" t="s">
        <v>54</v>
      </c>
      <c r="BE18" s="116">
        <v>0</v>
      </c>
      <c r="BF18" s="484" t="s">
        <v>52</v>
      </c>
      <c r="BG18" s="117">
        <v>0</v>
      </c>
      <c r="BH18" s="115"/>
      <c r="BI18" s="114">
        <f t="shared" si="12"/>
        <v>0</v>
      </c>
      <c r="BJ18" s="484" t="s">
        <v>52</v>
      </c>
      <c r="BK18" s="115">
        <f t="shared" si="46"/>
        <v>0</v>
      </c>
      <c r="BL18" s="116" t="s">
        <v>53</v>
      </c>
      <c r="BM18" s="484">
        <f t="shared" si="13"/>
        <v>0</v>
      </c>
      <c r="BN18" s="115" t="s">
        <v>54</v>
      </c>
      <c r="BO18" s="246">
        <v>0</v>
      </c>
      <c r="BP18" s="244" t="s">
        <v>52</v>
      </c>
      <c r="BQ18" s="245">
        <v>0</v>
      </c>
      <c r="BR18" s="246" t="s">
        <v>53</v>
      </c>
      <c r="BS18" s="244">
        <v>0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0</v>
      </c>
      <c r="CB18" s="244" t="s">
        <v>52</v>
      </c>
      <c r="CC18" s="245">
        <v>0</v>
      </c>
      <c r="CD18" s="246" t="s">
        <v>53</v>
      </c>
      <c r="CE18" s="244">
        <v>0</v>
      </c>
      <c r="CF18" s="245" t="s">
        <v>54</v>
      </c>
      <c r="CG18" s="116">
        <v>0</v>
      </c>
      <c r="CH18" s="484" t="s">
        <v>52</v>
      </c>
      <c r="CI18" s="117">
        <v>0</v>
      </c>
      <c r="CJ18" s="140">
        <v>0</v>
      </c>
      <c r="CK18" s="148">
        <f t="shared" si="47"/>
        <v>0</v>
      </c>
      <c r="CL18" s="148">
        <v>0</v>
      </c>
      <c r="CM18" s="148">
        <v>0</v>
      </c>
      <c r="CN18" s="148">
        <f t="shared" si="48"/>
        <v>0</v>
      </c>
      <c r="CO18" s="175">
        <v>0</v>
      </c>
      <c r="CP18" s="140">
        <v>0</v>
      </c>
      <c r="CQ18" s="175">
        <v>1</v>
      </c>
      <c r="CR18" s="148">
        <v>0</v>
      </c>
      <c r="CS18" s="148">
        <v>0</v>
      </c>
      <c r="CT18" s="140">
        <v>0</v>
      </c>
      <c r="CU18" s="140">
        <v>0</v>
      </c>
      <c r="CV18" s="148">
        <f t="shared" si="49"/>
        <v>0</v>
      </c>
      <c r="CW18" s="140"/>
      <c r="CX18" s="140">
        <f t="shared" si="50"/>
        <v>0</v>
      </c>
      <c r="CY18" s="140">
        <f t="shared" si="14"/>
        <v>0</v>
      </c>
      <c r="CZ18" s="165">
        <f t="shared" si="15"/>
        <v>3.3809066068113909E-2</v>
      </c>
      <c r="DA18" s="164">
        <f t="shared" si="16"/>
        <v>157.84210654214937</v>
      </c>
      <c r="DB18" s="141"/>
      <c r="DC18" s="141"/>
      <c r="DD18" s="77">
        <f t="shared" si="51"/>
        <v>1.0003045066991474</v>
      </c>
      <c r="DE18" s="37">
        <f t="shared" si="52"/>
        <v>0</v>
      </c>
      <c r="DF18" s="37">
        <f t="shared" si="53"/>
        <v>0</v>
      </c>
      <c r="DG18" s="37">
        <f t="shared" si="54"/>
        <v>0</v>
      </c>
      <c r="DH18" s="37">
        <f t="shared" si="17"/>
        <v>0</v>
      </c>
      <c r="DI18" s="37">
        <f t="shared" si="18"/>
        <v>0</v>
      </c>
      <c r="DJ18" s="37">
        <f t="shared" si="19"/>
        <v>0</v>
      </c>
      <c r="DK18" s="37">
        <f t="shared" si="20"/>
        <v>0</v>
      </c>
      <c r="DL18" s="37">
        <f t="shared" si="21"/>
        <v>0</v>
      </c>
      <c r="DM18" s="37">
        <f t="shared" si="22"/>
        <v>0</v>
      </c>
      <c r="DN18" s="37">
        <f t="shared" si="55"/>
        <v>0</v>
      </c>
      <c r="DO18" s="37" t="str">
        <f t="shared" si="56"/>
        <v>0</v>
      </c>
      <c r="DP18" s="66">
        <f t="shared" si="57"/>
        <v>6.0882800608828003</v>
      </c>
      <c r="DQ18" s="78">
        <f t="shared" si="58"/>
        <v>0</v>
      </c>
      <c r="DR18" s="6"/>
      <c r="DS18" s="36"/>
      <c r="DT18" s="75">
        <f t="shared" si="59"/>
        <v>-8.5789954337899541</v>
      </c>
      <c r="DU18" s="18">
        <f t="shared" si="23"/>
        <v>0</v>
      </c>
      <c r="DV18" s="13">
        <f t="shared" si="60"/>
        <v>0</v>
      </c>
      <c r="DW18" s="14">
        <f t="shared" si="24"/>
        <v>1.1400426309378806</v>
      </c>
      <c r="DX18" s="14">
        <f t="shared" si="25"/>
        <v>0</v>
      </c>
      <c r="DY18" s="14" t="str">
        <f t="shared" si="61"/>
        <v>0</v>
      </c>
      <c r="DZ18" s="15">
        <f t="shared" si="26"/>
        <v>2.7395</v>
      </c>
      <c r="EA18" s="14">
        <f t="shared" si="62"/>
        <v>0.18510135135135133</v>
      </c>
      <c r="EB18" s="14">
        <f t="shared" si="27"/>
        <v>0.5</v>
      </c>
      <c r="EC18" s="14">
        <f t="shared" si="28"/>
        <v>0.18510135135135133</v>
      </c>
      <c r="ED18" s="14">
        <f t="shared" si="63"/>
        <v>0</v>
      </c>
      <c r="EE18" s="19">
        <f t="shared" si="64"/>
        <v>0.46499999999999997</v>
      </c>
      <c r="EF18" s="67" t="str">
        <f t="shared" si="65"/>
        <v>0</v>
      </c>
      <c r="EG18" s="74">
        <f>IFERROR(DU18+EE18+EF18+CT18,"0")</f>
        <v>0.46499999999999997</v>
      </c>
      <c r="EH18" s="27">
        <f t="shared" si="67"/>
        <v>0</v>
      </c>
      <c r="EI18" s="25">
        <f t="shared" si="68"/>
        <v>0</v>
      </c>
      <c r="EJ18" s="25">
        <f t="shared" si="69"/>
        <v>0</v>
      </c>
      <c r="EK18" s="26">
        <f t="shared" si="29"/>
        <v>0</v>
      </c>
      <c r="EL18" s="29">
        <f t="shared" si="70"/>
        <v>0.88732394366197176</v>
      </c>
      <c r="EM18" s="30">
        <f t="shared" si="30"/>
        <v>0.125</v>
      </c>
      <c r="EN18" s="30">
        <f t="shared" si="31"/>
        <v>0.52941176470588236</v>
      </c>
      <c r="EO18" s="31">
        <f t="shared" si="71"/>
        <v>0</v>
      </c>
      <c r="EP18" s="31">
        <f t="shared" si="32"/>
        <v>1.8423881817090115</v>
      </c>
      <c r="EQ18" s="31">
        <f t="shared" si="72"/>
        <v>1.8423881817090115</v>
      </c>
      <c r="ER18" s="93">
        <f t="shared" si="33"/>
        <v>0.6697787500915291</v>
      </c>
      <c r="ES18" s="109">
        <f t="shared" si="34"/>
        <v>177.46073380375375</v>
      </c>
      <c r="ET18" s="32">
        <f t="shared" si="35"/>
        <v>2.4034672970843185</v>
      </c>
      <c r="EV18" s="277"/>
      <c r="EW18" s="278"/>
      <c r="EX18" s="37">
        <f>AC18</f>
        <v>0</v>
      </c>
      <c r="EY18" s="72">
        <f>AE18</f>
        <v>0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6.57</v>
      </c>
      <c r="FG18" s="182">
        <f t="shared" si="36"/>
        <v>0</v>
      </c>
      <c r="FH18" s="183" t="s">
        <v>52</v>
      </c>
      <c r="FI18" s="184">
        <f t="shared" si="74"/>
        <v>1</v>
      </c>
      <c r="FJ18" s="193">
        <f t="shared" si="75"/>
        <v>0</v>
      </c>
      <c r="FK18" s="185">
        <f t="shared" si="37"/>
        <v>0</v>
      </c>
      <c r="FL18" s="183" t="s">
        <v>52</v>
      </c>
      <c r="FM18" s="186">
        <f t="shared" si="38"/>
        <v>1</v>
      </c>
      <c r="FN18" s="193">
        <f t="shared" si="76"/>
        <v>0</v>
      </c>
      <c r="FO18" s="261">
        <f t="shared" si="77"/>
        <v>0</v>
      </c>
      <c r="FP18" s="183" t="s">
        <v>52</v>
      </c>
      <c r="FQ18" s="268">
        <f>EW18</f>
        <v>0</v>
      </c>
      <c r="FR18" s="196" t="str">
        <f t="shared" si="79"/>
        <v>0</v>
      </c>
      <c r="FS18" s="179">
        <f t="shared" si="39"/>
        <v>0</v>
      </c>
      <c r="FT18" s="179">
        <f t="shared" si="39"/>
        <v>0</v>
      </c>
      <c r="FU18" s="179">
        <f t="shared" si="40"/>
        <v>0</v>
      </c>
      <c r="FV18" s="187">
        <f t="shared" si="40"/>
        <v>0</v>
      </c>
      <c r="FW18" s="179">
        <f t="shared" si="40"/>
        <v>0</v>
      </c>
      <c r="FX18" s="179">
        <f t="shared" si="40"/>
        <v>1</v>
      </c>
      <c r="FY18" s="179">
        <f t="shared" si="40"/>
        <v>0</v>
      </c>
      <c r="FZ18" s="179">
        <f t="shared" si="40"/>
        <v>0</v>
      </c>
      <c r="GA18" s="179">
        <f t="shared" si="40"/>
        <v>0</v>
      </c>
      <c r="GB18" s="179">
        <f t="shared" si="40"/>
        <v>0</v>
      </c>
      <c r="GC18" s="187">
        <f t="shared" si="40"/>
        <v>0</v>
      </c>
      <c r="GD18" s="203">
        <f t="shared" si="80"/>
        <v>0</v>
      </c>
      <c r="GE18" s="179">
        <f t="shared" si="80"/>
        <v>0</v>
      </c>
      <c r="GF18" s="179">
        <f t="shared" si="80"/>
        <v>3.3809066068113909E-2</v>
      </c>
      <c r="GG18" s="258">
        <f t="shared" si="80"/>
        <v>157.84210654214937</v>
      </c>
      <c r="GH18" s="179"/>
      <c r="GJ18" s="82"/>
      <c r="GK18" s="24"/>
      <c r="GL18" s="185">
        <f>(CQ18/CQ51)*(EY52-EX52)</f>
        <v>0.15000000000000002</v>
      </c>
      <c r="GM18" s="185">
        <f>((E53/G53)*(1-(CJ53/(CJ53+CK52))))/((E53/G53)*(1-(CJ53/(CJ53+CK52)))+((1-(E53/G53)))*(CJ53/(CJ53+CK52)))</f>
        <v>0.33333333333333331</v>
      </c>
      <c r="GN18" s="24">
        <f>GK18+(GL18/10)+(GJ18*GM18*(1-(CJ53/(CJ53+CK52))))+(CK18*(1-GM18))</f>
        <v>1.5000000000000003E-2</v>
      </c>
      <c r="GO18" s="213">
        <f>GN18/(DD18*EG53)</f>
        <v>1.0906150344552877E-3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484"/>
      <c r="G19" s="115"/>
      <c r="H19" s="116"/>
      <c r="I19" s="484"/>
      <c r="J19" s="115"/>
      <c r="K19" s="116"/>
      <c r="L19" s="484"/>
      <c r="M19" s="115"/>
      <c r="N19" s="116"/>
      <c r="O19" s="484"/>
      <c r="P19" s="115"/>
      <c r="Q19" s="116"/>
      <c r="R19" s="484"/>
      <c r="S19" s="115"/>
      <c r="T19" s="116"/>
      <c r="U19" s="484"/>
      <c r="V19" s="115"/>
      <c r="W19" s="116"/>
      <c r="X19" s="484"/>
      <c r="Y19" s="115"/>
      <c r="Z19" s="116"/>
      <c r="AA19" s="484"/>
      <c r="AB19" s="115"/>
      <c r="AC19" s="116"/>
      <c r="AD19" s="484"/>
      <c r="AE19" s="117"/>
      <c r="AF19" s="485"/>
      <c r="AG19" s="114"/>
      <c r="AH19" s="484"/>
      <c r="AI19" s="115"/>
      <c r="AJ19" s="116"/>
      <c r="AK19" s="484"/>
      <c r="AL19" s="115"/>
      <c r="AM19" s="116"/>
      <c r="AN19" s="484"/>
      <c r="AO19" s="115"/>
      <c r="AP19" s="116"/>
      <c r="AQ19" s="484"/>
      <c r="AR19" s="115"/>
      <c r="AS19" s="116"/>
      <c r="AT19" s="484"/>
      <c r="AU19" s="115"/>
      <c r="AV19" s="116"/>
      <c r="AW19" s="484"/>
      <c r="AX19" s="115"/>
      <c r="AY19" s="116"/>
      <c r="AZ19" s="484"/>
      <c r="BA19" s="115"/>
      <c r="BB19" s="116"/>
      <c r="BC19" s="484"/>
      <c r="BD19" s="115"/>
      <c r="BE19" s="116"/>
      <c r="BF19" s="484"/>
      <c r="BG19" s="117"/>
      <c r="BH19" s="115"/>
      <c r="BI19" s="114"/>
      <c r="BJ19" s="484"/>
      <c r="BK19" s="115"/>
      <c r="BL19" s="116"/>
      <c r="BM19" s="484"/>
      <c r="BN19" s="115"/>
      <c r="BO19" s="116"/>
      <c r="BP19" s="484"/>
      <c r="BQ19" s="115"/>
      <c r="BR19" s="116"/>
      <c r="BS19" s="484"/>
      <c r="BT19" s="115"/>
      <c r="BU19" s="116"/>
      <c r="BV19" s="484"/>
      <c r="BW19" s="115"/>
      <c r="BX19" s="116"/>
      <c r="BY19" s="484"/>
      <c r="BZ19" s="115"/>
      <c r="CA19" s="116"/>
      <c r="CB19" s="484"/>
      <c r="CC19" s="115"/>
      <c r="CD19" s="116"/>
      <c r="CE19" s="484"/>
      <c r="CF19" s="115"/>
      <c r="CG19" s="116"/>
      <c r="CH19" s="484"/>
      <c r="CI19" s="117"/>
      <c r="CJ19" s="140">
        <v>2</v>
      </c>
      <c r="CK19" s="148">
        <v>0</v>
      </c>
      <c r="CL19" s="148"/>
      <c r="CM19" s="148"/>
      <c r="CN19" s="148">
        <f t="shared" si="48"/>
        <v>2</v>
      </c>
      <c r="CO19" s="175"/>
      <c r="CP19" s="140"/>
      <c r="CQ19" s="175"/>
      <c r="CR19" s="148"/>
      <c r="CS19" s="148"/>
      <c r="CT19" s="140">
        <v>0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23"/>
        <v>0</v>
      </c>
      <c r="DV19" s="13" t="str">
        <f t="shared" si="60"/>
        <v>0</v>
      </c>
      <c r="DW19" s="14" t="str">
        <f t="shared" si="24"/>
        <v>0</v>
      </c>
      <c r="DX19" s="14">
        <f t="shared" si="25"/>
        <v>0</v>
      </c>
      <c r="DY19" s="14" t="str">
        <f t="shared" si="61"/>
        <v>0</v>
      </c>
      <c r="DZ19" s="15">
        <f t="shared" si="26"/>
        <v>2.7395</v>
      </c>
      <c r="EA19" s="14">
        <f t="shared" si="62"/>
        <v>0</v>
      </c>
      <c r="EB19" s="14">
        <f t="shared" si="27"/>
        <v>1</v>
      </c>
      <c r="EC19" s="14">
        <f t="shared" si="28"/>
        <v>0.18510135135135133</v>
      </c>
      <c r="ED19" s="14">
        <f t="shared" si="63"/>
        <v>0</v>
      </c>
      <c r="EE19" s="19">
        <f t="shared" si="64"/>
        <v>0</v>
      </c>
      <c r="EF19" s="67" t="str">
        <f t="shared" si="65"/>
        <v>0</v>
      </c>
      <c r="EG19" s="74">
        <f t="shared" si="66"/>
        <v>0</v>
      </c>
      <c r="EH19" s="27">
        <f t="shared" si="67"/>
        <v>0</v>
      </c>
      <c r="EI19" s="25" t="str">
        <f t="shared" si="68"/>
        <v>0</v>
      </c>
      <c r="EJ19" s="25">
        <f t="shared" si="69"/>
        <v>0</v>
      </c>
      <c r="EK19" s="26">
        <f t="shared" si="29"/>
        <v>0</v>
      </c>
      <c r="EL19" s="29" t="str">
        <f t="shared" si="70"/>
        <v>0</v>
      </c>
      <c r="EM19" s="30">
        <f t="shared" si="30"/>
        <v>0</v>
      </c>
      <c r="EN19" s="30" t="str">
        <f t="shared" si="31"/>
        <v>0</v>
      </c>
      <c r="EO19" s="31">
        <f t="shared" si="71"/>
        <v>0</v>
      </c>
      <c r="EP19" s="31" t="str">
        <f t="shared" si="32"/>
        <v>0</v>
      </c>
      <c r="EQ19" s="31">
        <f t="shared" si="72"/>
        <v>0</v>
      </c>
      <c r="ER19" s="93" t="str">
        <f t="shared" si="33"/>
        <v>0</v>
      </c>
      <c r="ES19" s="109">
        <f t="shared" si="34"/>
        <v>0</v>
      </c>
      <c r="ET19" s="32" t="str">
        <f t="shared" si="35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2</v>
      </c>
      <c r="FT19" s="140">
        <f t="shared" si="39"/>
        <v>0</v>
      </c>
      <c r="FU19" s="140">
        <f t="shared" si="40"/>
        <v>2</v>
      </c>
      <c r="FV19" s="175"/>
      <c r="FW19" s="140"/>
      <c r="FX19" s="140"/>
      <c r="FY19" s="140"/>
      <c r="FZ19" s="140"/>
      <c r="GA19" s="140">
        <f t="shared" si="40"/>
        <v>0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489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485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48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23"/>
        <v>0</v>
      </c>
      <c r="DV20" s="13" t="str">
        <f t="shared" si="60"/>
        <v>0</v>
      </c>
      <c r="DW20" s="14" t="str">
        <f t="shared" si="24"/>
        <v>0</v>
      </c>
      <c r="DX20" s="14">
        <f t="shared" si="25"/>
        <v>0</v>
      </c>
      <c r="DY20" s="14" t="str">
        <f t="shared" si="61"/>
        <v>0</v>
      </c>
      <c r="DZ20" s="15">
        <f t="shared" si="26"/>
        <v>2.7395</v>
      </c>
      <c r="EA20" s="14">
        <f t="shared" si="62"/>
        <v>0</v>
      </c>
      <c r="EB20" s="14">
        <f t="shared" si="27"/>
        <v>1</v>
      </c>
      <c r="EC20" s="14">
        <f t="shared" si="28"/>
        <v>0.18510135135135133</v>
      </c>
      <c r="ED20" s="14">
        <f t="shared" si="63"/>
        <v>0</v>
      </c>
      <c r="EE20" s="19">
        <f t="shared" si="64"/>
        <v>0</v>
      </c>
      <c r="EF20" s="67" t="str">
        <f t="shared" si="65"/>
        <v>0</v>
      </c>
      <c r="EG20" s="74">
        <f t="shared" si="66"/>
        <v>0</v>
      </c>
      <c r="EH20" s="27">
        <f t="shared" si="67"/>
        <v>0</v>
      </c>
      <c r="EI20" s="25" t="str">
        <f t="shared" si="68"/>
        <v>0</v>
      </c>
      <c r="EJ20" s="25">
        <f t="shared" si="69"/>
        <v>0</v>
      </c>
      <c r="EK20" s="26">
        <f t="shared" si="29"/>
        <v>0</v>
      </c>
      <c r="EL20" s="29" t="str">
        <f t="shared" si="70"/>
        <v>0</v>
      </c>
      <c r="EM20" s="30">
        <f t="shared" si="30"/>
        <v>0</v>
      </c>
      <c r="EN20" s="30" t="str">
        <f t="shared" si="31"/>
        <v>0</v>
      </c>
      <c r="EO20" s="31">
        <f t="shared" si="71"/>
        <v>0</v>
      </c>
      <c r="EP20" s="31" t="str">
        <f t="shared" si="32"/>
        <v>0</v>
      </c>
      <c r="EQ20" s="31">
        <f t="shared" si="72"/>
        <v>0</v>
      </c>
      <c r="ER20" s="93" t="str">
        <f t="shared" si="33"/>
        <v>0</v>
      </c>
      <c r="ES20" s="109">
        <f t="shared" si="34"/>
        <v>0</v>
      </c>
      <c r="ET20" s="32" t="str">
        <f t="shared" si="35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0</v>
      </c>
      <c r="FT20" s="140">
        <f t="shared" si="39"/>
        <v>0</v>
      </c>
      <c r="FU20" s="140">
        <f t="shared" ref="FU20:FZ23" si="82">CN20</f>
        <v>0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65.680000000000007</v>
      </c>
      <c r="E21" s="163">
        <f>IFERROR(SUM(E4:E20),"0")</f>
        <v>11</v>
      </c>
      <c r="F21" s="118" t="s">
        <v>52</v>
      </c>
      <c r="G21" s="145">
        <f>IFERROR(SUM(G4:G20),"0")</f>
        <v>23</v>
      </c>
      <c r="H21" s="143" t="s">
        <v>53</v>
      </c>
      <c r="I21" s="230">
        <f>IFERROR(SUM(I4:I20),"0")</f>
        <v>7</v>
      </c>
      <c r="J21" s="145" t="s">
        <v>54</v>
      </c>
      <c r="K21" s="143">
        <f>IFERROR(SUM(K4:K20),"0")</f>
        <v>5</v>
      </c>
      <c r="L21" s="118" t="s">
        <v>52</v>
      </c>
      <c r="M21" s="145">
        <f>IFERROR(SUM(M4:M20),"0")</f>
        <v>9</v>
      </c>
      <c r="N21" s="143" t="s">
        <v>53</v>
      </c>
      <c r="O21" s="118">
        <f>IFERROR(SUM(O4:O20),"0")</f>
        <v>4</v>
      </c>
      <c r="P21" s="145" t="s">
        <v>54</v>
      </c>
      <c r="Q21" s="111">
        <f>IFERROR(SUM(Q4:Q20),"0")</f>
        <v>1</v>
      </c>
      <c r="R21" s="118" t="s">
        <v>52</v>
      </c>
      <c r="S21" s="145">
        <f>IFERROR(SUM(S4:S20),"0")</f>
        <v>3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5</v>
      </c>
      <c r="X21" s="118" t="s">
        <v>52</v>
      </c>
      <c r="Y21" s="145">
        <f>IFERROR(SUM(Y4:Y18),"0")</f>
        <v>11</v>
      </c>
      <c r="Z21" s="143" t="s">
        <v>53</v>
      </c>
      <c r="AA21" s="118">
        <f>IFERROR(SUM(AA4:AA18),"0")</f>
        <v>3</v>
      </c>
      <c r="AB21" s="111" t="s">
        <v>54</v>
      </c>
      <c r="AC21" s="143">
        <f>IFERROR(SUM(AC4:AC18),"0")</f>
        <v>3.8499999999999996</v>
      </c>
      <c r="AD21" s="118" t="s">
        <v>52</v>
      </c>
      <c r="AE21" s="146">
        <f>IFERROR(SUM(AE4:AE18),"0")</f>
        <v>5</v>
      </c>
      <c r="AF21" s="129"/>
      <c r="AG21" s="144">
        <f>IFERROR(SUM(AG4:AG18),"0")</f>
        <v>9</v>
      </c>
      <c r="AH21" s="118" t="s">
        <v>52</v>
      </c>
      <c r="AI21" s="145">
        <f>IFERROR(SUM(AI4:AI18),"0")</f>
        <v>20</v>
      </c>
      <c r="AJ21" s="143" t="s">
        <v>53</v>
      </c>
      <c r="AK21" s="111">
        <f>IFERROR(SUM(AK4:AK18),"0")</f>
        <v>7</v>
      </c>
      <c r="AL21" s="145" t="s">
        <v>54</v>
      </c>
      <c r="AM21" s="143">
        <f>IFERROR(SUM(AM4:AM18),"0")</f>
        <v>5</v>
      </c>
      <c r="AN21" s="118" t="s">
        <v>52</v>
      </c>
      <c r="AO21" s="145">
        <f>IFERROR(SUM(AO4:AO18),"0")</f>
        <v>9</v>
      </c>
      <c r="AP21" s="143" t="s">
        <v>53</v>
      </c>
      <c r="AQ21" s="111">
        <f>IFERROR(SUM(AQ4:AQ18),"0")</f>
        <v>4</v>
      </c>
      <c r="AR21" s="111" t="s">
        <v>54</v>
      </c>
      <c r="AS21" s="143">
        <f>IFERROR(SUM(AS4:AS18),"0")</f>
        <v>1</v>
      </c>
      <c r="AT21" s="118" t="s">
        <v>52</v>
      </c>
      <c r="AU21" s="145">
        <f>IFERROR(SUM(AU4:AU18),"0")</f>
        <v>3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3</v>
      </c>
      <c r="AZ21" s="118" t="s">
        <v>52</v>
      </c>
      <c r="BA21" s="145">
        <f>IFERROR(SUM(BA4:BA18),"0")</f>
        <v>8</v>
      </c>
      <c r="BB21" s="143" t="s">
        <v>53</v>
      </c>
      <c r="BC21" s="118">
        <f>IFERROR(SUM(BC4:BC18),"0")</f>
        <v>3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2</v>
      </c>
      <c r="BJ21" s="118" t="s">
        <v>52</v>
      </c>
      <c r="BK21" s="145">
        <f>IFERROR(SUM(BK4:BK18),"0")</f>
        <v>3</v>
      </c>
      <c r="BL21" s="143" t="s">
        <v>53</v>
      </c>
      <c r="BM21" s="118">
        <f>IFERROR(SUM(BM4:BM18),"0")</f>
        <v>0</v>
      </c>
      <c r="BN21" s="145" t="s">
        <v>54</v>
      </c>
      <c r="BO21" s="143">
        <f>IFERROR(SUM(BO4:BO18),"0")</f>
        <v>0</v>
      </c>
      <c r="BP21" s="118" t="s">
        <v>52</v>
      </c>
      <c r="BQ21" s="145">
        <f>IFERROR(SUM(BQ4:BQ18),"0")</f>
        <v>0</v>
      </c>
      <c r="BR21" s="143" t="s">
        <v>53</v>
      </c>
      <c r="BS21" s="118">
        <f>IFERROR(SUM(BS4:BS18),"0")</f>
        <v>0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2</v>
      </c>
      <c r="CB21" s="118" t="s">
        <v>52</v>
      </c>
      <c r="CC21" s="145">
        <f>IFERROR(SUM(CC4:CC18),"0")</f>
        <v>3</v>
      </c>
      <c r="CD21" s="143" t="s">
        <v>53</v>
      </c>
      <c r="CE21" s="118">
        <f>IFERROR(SUM(CE4:CE18),"0")</f>
        <v>0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3</v>
      </c>
      <c r="CK21" s="129">
        <f>IFERROR(SUM(CK4:CK20),"0")</f>
        <v>9</v>
      </c>
      <c r="CL21" s="129">
        <f>IFERROR(SUM(CL4:CL20),"0")</f>
        <v>5</v>
      </c>
      <c r="CM21" s="129">
        <f t="shared" ref="CM21" si="85">IFERROR(SUM(CM4:CM20),"0")</f>
        <v>4</v>
      </c>
      <c r="CN21" s="129">
        <f t="shared" si="84"/>
        <v>12</v>
      </c>
      <c r="CO21" s="438">
        <f t="shared" si="84"/>
        <v>7</v>
      </c>
      <c r="CP21" s="11">
        <f t="shared" si="84"/>
        <v>5</v>
      </c>
      <c r="CQ21" s="356">
        <f t="shared" si="84"/>
        <v>5</v>
      </c>
      <c r="CR21" s="158">
        <f t="shared" si="84"/>
        <v>5</v>
      </c>
      <c r="CS21" s="129">
        <f t="shared" si="84"/>
        <v>5</v>
      </c>
      <c r="CT21" s="129">
        <f t="shared" si="84"/>
        <v>11</v>
      </c>
      <c r="CU21" s="129">
        <f t="shared" si="84"/>
        <v>1</v>
      </c>
      <c r="CV21" s="209">
        <f t="shared" si="84"/>
        <v>30.849999999999998</v>
      </c>
      <c r="CW21" s="11"/>
      <c r="CX21" s="150">
        <f>DG21</f>
        <v>0.58695652173913049</v>
      </c>
      <c r="CY21" s="151">
        <f>DN21</f>
        <v>0.33103199361133856</v>
      </c>
      <c r="CZ21" s="151">
        <f>DH21</f>
        <v>0.25</v>
      </c>
      <c r="DA21" s="156">
        <f>FA21</f>
        <v>0.21739130434782608</v>
      </c>
      <c r="DB21" s="149" t="s">
        <v>219</v>
      </c>
      <c r="DC21" s="123"/>
      <c r="DD21" s="34"/>
      <c r="DE21" s="34"/>
      <c r="DF21" s="35"/>
      <c r="DG21" s="37">
        <f>IFERROR(((E21-W21)+1.5*W21)/G21,"0")</f>
        <v>0.58695652173913049</v>
      </c>
      <c r="DH21" s="37">
        <f>IFERROR(CJ21/(CJ21+CK21),"0")</f>
        <v>0.25</v>
      </c>
      <c r="DI21" s="34"/>
      <c r="DJ21" s="35"/>
      <c r="DK21" s="35"/>
      <c r="DL21" s="35"/>
      <c r="DM21" s="35"/>
      <c r="DN21" s="37">
        <f>IFERROR(CT21/EG21,"0")</f>
        <v>0.33103199361133856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IFERROR(SUM(EG4:EG18),"0")</f>
        <v>33.229416528587848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3.8499999999999996</v>
      </c>
      <c r="EY21" s="6">
        <f>IFERROR(SUM(EY4:EY18),"0")</f>
        <v>5</v>
      </c>
      <c r="EZ21" s="6">
        <f>IFERROR(E21+(1-(1-(EX21/EY21))^2)*EY21*0.4,"0")</f>
        <v>12.8942</v>
      </c>
      <c r="FA21" s="6">
        <f>IFERROR(EY21/G21,"0")</f>
        <v>0.21739130434782608</v>
      </c>
      <c r="FC21" s="234"/>
      <c r="FD21" s="235"/>
      <c r="FE21" s="236" t="s">
        <v>219</v>
      </c>
      <c r="FF21" s="237">
        <f t="shared" ref="FF21:FG23" si="86">D21</f>
        <v>65.680000000000007</v>
      </c>
      <c r="FG21" s="206">
        <f t="shared" si="86"/>
        <v>11</v>
      </c>
      <c r="FH21" s="238" t="s">
        <v>52</v>
      </c>
      <c r="FI21" s="210">
        <f t="shared" si="74"/>
        <v>23</v>
      </c>
      <c r="FJ21" s="239">
        <f t="shared" si="75"/>
        <v>0.47826086956521741</v>
      </c>
      <c r="FK21" s="234">
        <f>W21</f>
        <v>5</v>
      </c>
      <c r="FL21" s="238" t="s">
        <v>52</v>
      </c>
      <c r="FM21" s="240">
        <f>Y21</f>
        <v>11</v>
      </c>
      <c r="FN21" s="239">
        <f t="shared" si="76"/>
        <v>0.45454545454545453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9"/>
        <v>0</v>
      </c>
      <c r="FS21" s="235">
        <f t="shared" si="39"/>
        <v>3</v>
      </c>
      <c r="FT21" s="235">
        <f t="shared" si="39"/>
        <v>9</v>
      </c>
      <c r="FU21" s="235">
        <f t="shared" si="82"/>
        <v>12</v>
      </c>
      <c r="FV21" s="241">
        <f t="shared" si="82"/>
        <v>7</v>
      </c>
      <c r="FW21" s="235">
        <f t="shared" si="82"/>
        <v>5</v>
      </c>
      <c r="FX21" s="235">
        <f t="shared" si="82"/>
        <v>5</v>
      </c>
      <c r="FY21" s="235">
        <f t="shared" si="82"/>
        <v>5</v>
      </c>
      <c r="FZ21" s="235">
        <f t="shared" si="82"/>
        <v>5</v>
      </c>
      <c r="GA21" s="235">
        <f t="shared" si="83"/>
        <v>11</v>
      </c>
      <c r="GB21" s="235">
        <f t="shared" si="83"/>
        <v>1</v>
      </c>
      <c r="GC21" s="241">
        <f t="shared" si="83"/>
        <v>30.849999999999998</v>
      </c>
      <c r="GD21" s="204">
        <f t="shared" ref="GD21:GG23" si="87">CX21</f>
        <v>0.58695652173913049</v>
      </c>
      <c r="GE21" s="205">
        <f t="shared" si="87"/>
        <v>0.33103199361133856</v>
      </c>
      <c r="GF21" s="205">
        <f t="shared" si="87"/>
        <v>0.25</v>
      </c>
      <c r="GG21" s="152">
        <f t="shared" si="87"/>
        <v>0.21739130434782608</v>
      </c>
      <c r="GH21" s="242"/>
      <c r="GO21" s="489"/>
    </row>
    <row r="22" spans="1:197" x14ac:dyDescent="0.2">
      <c r="A22" s="139"/>
      <c r="B22" s="139"/>
      <c r="C22" s="432" t="s">
        <v>116</v>
      </c>
      <c r="D22" s="121">
        <f>IFERROR(SUMIFS(D4:D20,B4:B20,"R"),"0")</f>
        <v>32.840000000000003</v>
      </c>
      <c r="E22" s="162">
        <f>IFERROR(SUMIFS(E4:E20,B4:B20,"R"),"0")</f>
        <v>2</v>
      </c>
      <c r="F22" s="143" t="s">
        <v>52</v>
      </c>
      <c r="G22" s="145">
        <f>IFERROR(SUMIFS(G4:G20,B4:B20,"R"),"0")</f>
        <v>6</v>
      </c>
      <c r="H22" s="143" t="s">
        <v>53</v>
      </c>
      <c r="I22" s="118">
        <f>IFERROR(SUMIFS(I4:I20,B4:B20,"R"),"0")</f>
        <v>2</v>
      </c>
      <c r="J22" s="145" t="s">
        <v>54</v>
      </c>
      <c r="K22" s="143">
        <f>IFERROR(SUMIFS(K4:K20,B4:B20,"R"),"0")</f>
        <v>1</v>
      </c>
      <c r="L22" s="143" t="s">
        <v>52</v>
      </c>
      <c r="M22" s="145">
        <f>IFERROR(SUMIFS(M4:M20,B4:B20,"R"),"0")</f>
        <v>2</v>
      </c>
      <c r="N22" s="143" t="s">
        <v>53</v>
      </c>
      <c r="O22" s="118">
        <f>IFERROR(SUMIFS(O4:O20,B4:B20,"R"),"0")</f>
        <v>1</v>
      </c>
      <c r="P22" s="145" t="s">
        <v>54</v>
      </c>
      <c r="Q22" s="111">
        <f>IFERROR(SUMIFS(Q4:Q20,B4:B20,"R"),"0")</f>
        <v>0</v>
      </c>
      <c r="R22" s="143" t="s">
        <v>52</v>
      </c>
      <c r="S22" s="145">
        <f>IFERROR(SUMIFS(S4:S20,B4:B20,"R"),"0")</f>
        <v>2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1</v>
      </c>
      <c r="X22" s="143" t="s">
        <v>52</v>
      </c>
      <c r="Y22" s="145">
        <f>IFERROR(SUMIFS(Y4:Y20,B4:B20,"R"),"0")</f>
        <v>2</v>
      </c>
      <c r="Z22" s="143" t="s">
        <v>53</v>
      </c>
      <c r="AA22" s="118">
        <f>IFERROR(SUMIFS(AA4:AA20,B4:B20,"R"),"0")</f>
        <v>1</v>
      </c>
      <c r="AB22" s="111" t="s">
        <v>54</v>
      </c>
      <c r="AC22" s="143">
        <f>IFERROR(SUMIFS(AC4:AC20,B4:B20,"R"),"0")</f>
        <v>1.45</v>
      </c>
      <c r="AD22" s="143" t="s">
        <v>52</v>
      </c>
      <c r="AE22" s="146">
        <f>IFERROR(SUMIFS(AE4:AE20,B4:B20,"R"),"0")</f>
        <v>2</v>
      </c>
      <c r="AF22" s="143"/>
      <c r="AG22" s="144">
        <f>IFERROR(SUMIFS(AG4:AG20,B4:B20,"R"),"0")</f>
        <v>2</v>
      </c>
      <c r="AH22" s="143" t="s">
        <v>52</v>
      </c>
      <c r="AI22" s="145">
        <f>IFERROR(SUMIFS(AI4:AI20,B4:B20,"R"),"0")</f>
        <v>6</v>
      </c>
      <c r="AJ22" s="143" t="s">
        <v>53</v>
      </c>
      <c r="AK22" s="111">
        <f>IFERROR(SUMIFS(AK4:AK20,B4:B20,"R"),"0")</f>
        <v>2</v>
      </c>
      <c r="AL22" s="145" t="s">
        <v>54</v>
      </c>
      <c r="AM22" s="143">
        <f>IFERROR(SUMIFS(AM4:AM20,B4:B20,"R"),"0")</f>
        <v>1</v>
      </c>
      <c r="AN22" s="143" t="s">
        <v>52</v>
      </c>
      <c r="AO22" s="145">
        <f>IFERROR(SUMIFS(AO4:AO20,B4:B20,"R"),"0")</f>
        <v>2</v>
      </c>
      <c r="AP22" s="143" t="s">
        <v>53</v>
      </c>
      <c r="AQ22" s="111">
        <f>IFERROR(SUMIFS(AQ4:AQ20,B4:B20,"R"),"0")</f>
        <v>1</v>
      </c>
      <c r="AR22" s="111" t="s">
        <v>54</v>
      </c>
      <c r="AS22" s="143">
        <f>IFERROR(SUMIFS(AS4:AS20,B4:B20,"R"),"0")</f>
        <v>0</v>
      </c>
      <c r="AT22" s="143" t="s">
        <v>52</v>
      </c>
      <c r="AU22" s="145">
        <f>IFERROR(SUMIFS(AU4:AU20,B4:B20,"R"),"0")</f>
        <v>2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1</v>
      </c>
      <c r="AZ22" s="143" t="s">
        <v>52</v>
      </c>
      <c r="BA22" s="145">
        <f>IFERROR(SUMIFS(BA4:BA20,B4:B20,"R"),"0")</f>
        <v>2</v>
      </c>
      <c r="BB22" s="143" t="s">
        <v>53</v>
      </c>
      <c r="BC22" s="118">
        <f>IFERROR(SUMIFS(BC4:BC20,B4:B20,"R"),"0")</f>
        <v>1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0</v>
      </c>
      <c r="BJ22" s="143" t="s">
        <v>52</v>
      </c>
      <c r="BK22" s="145">
        <f>IFERROR(SUMIFS(BK4:BK20,B4:B20,"R"),"0")</f>
        <v>0</v>
      </c>
      <c r="BL22" s="143" t="s">
        <v>53</v>
      </c>
      <c r="BM22" s="118">
        <f>IFERROR(SUMIFS(BM4:BM20,B4:B20,"R"),"0")</f>
        <v>0</v>
      </c>
      <c r="BN22" s="145" t="s">
        <v>54</v>
      </c>
      <c r="BO22" s="143">
        <f>IFERROR(SUMIFS(BO4:BO20,B4:B20,"R"),"0")</f>
        <v>0</v>
      </c>
      <c r="BP22" s="143" t="s">
        <v>52</v>
      </c>
      <c r="BQ22" s="145">
        <f>IFERROR(SUMIFS(BQ4:BQ20,B4:B20,"R"),"0")</f>
        <v>0</v>
      </c>
      <c r="BR22" s="143" t="s">
        <v>53</v>
      </c>
      <c r="BS22" s="143">
        <f>IFERROR(SUMIFS(BS4:BS20,B4:B20,"R"),"0")</f>
        <v>0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0</v>
      </c>
      <c r="CB22" s="143" t="s">
        <v>52</v>
      </c>
      <c r="CC22" s="145">
        <f>IFERROR(SUMIFS(CC4:CC20,B4:B20,"R"),"0")</f>
        <v>0</v>
      </c>
      <c r="CD22" s="143" t="s">
        <v>53</v>
      </c>
      <c r="CE22" s="118">
        <f>IFERROR(SUMIFS(CE4:CE20,B4:B20,"R"),"0")</f>
        <v>0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2</v>
      </c>
      <c r="CK22" s="118">
        <f>IFERROR(SUMIFS(CK4:CK20,B4:B20,"R"),"0")</f>
        <v>7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9</v>
      </c>
      <c r="CO22" s="175">
        <f>IFERROR(SUMIFS(CO4:CO20,B4:B20,"R"),"0")</f>
        <v>2</v>
      </c>
      <c r="CP22" s="118">
        <f>IFERROR(SUMIFS(CP4:CP20,B4:B20,"R"),"0")</f>
        <v>1</v>
      </c>
      <c r="CQ22" s="175">
        <f>IFERROR(SUMIFS(CQ4:CQ20,B4:B20,"R"),"0")</f>
        <v>4</v>
      </c>
      <c r="CR22" s="118">
        <f>IFERROR(SUMIFS(CR4:CR20,B4:B20,"R"),"0")</f>
        <v>2</v>
      </c>
      <c r="CS22" s="118">
        <f>IFERROR(SUMIFS(CS4:CS20,B4:B20,"R"),"0")</f>
        <v>0</v>
      </c>
      <c r="CT22" s="118">
        <f>IFERROR(SUMIFS(CT4:CT20,B4:B20,"R"),"0")</f>
        <v>8</v>
      </c>
      <c r="CU22" s="118">
        <f>IFERROR(SUMIFS(CU4:CU20,B4:B20,"R"),"0")</f>
        <v>0</v>
      </c>
      <c r="CV22" s="119">
        <f>IFERROR(SUMIFS(CV4:CV20,B4:B20,"R"),"0")</f>
        <v>6.45</v>
      </c>
      <c r="CW22" s="118"/>
      <c r="CX22" s="134">
        <f>DG22</f>
        <v>0.41666666666666669</v>
      </c>
      <c r="CY22" s="121">
        <f>DN22</f>
        <v>0.58183847148771728</v>
      </c>
      <c r="CZ22" s="121">
        <f>DH22</f>
        <v>0.5</v>
      </c>
      <c r="DA22" s="135">
        <f>FA22</f>
        <v>0.33333333333333331</v>
      </c>
      <c r="DB22" s="433" t="s">
        <v>231</v>
      </c>
      <c r="DC22" s="116"/>
      <c r="DD22" s="34"/>
      <c r="DE22" s="34"/>
      <c r="DF22" s="35"/>
      <c r="DG22" s="37">
        <f>IFERROR(((E22-W22)+1.5*W22)/G22,"0")</f>
        <v>0.41666666666666669</v>
      </c>
      <c r="DH22" s="37">
        <f>IFERROR(CJ22/(CJ22+CK23),"0")</f>
        <v>0.5</v>
      </c>
      <c r="DI22" s="34"/>
      <c r="DJ22" s="35"/>
      <c r="DK22" s="35"/>
      <c r="DL22" s="35"/>
      <c r="DM22" s="35"/>
      <c r="DN22" s="37">
        <f>IFERROR(CT22/EG22,"0")</f>
        <v>0.58183847148771728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13.749520514765209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1.45</v>
      </c>
      <c r="EY22" s="6">
        <f>IFERROR(SUMIFS(EY4:EY20,B4:B20,"R"),"0")</f>
        <v>2</v>
      </c>
      <c r="EZ22" s="6">
        <f>IFERROR(E22+(1-(1-(EX22/EY22))^2)*EY22*0.4,"0")</f>
        <v>2.7395</v>
      </c>
      <c r="FA22" s="6">
        <f>IFERROR(EY22/G22,"0")</f>
        <v>0.33333333333333331</v>
      </c>
      <c r="FC22" s="139"/>
      <c r="FD22" s="139"/>
      <c r="FE22" s="437" t="s">
        <v>232</v>
      </c>
      <c r="FF22" s="121">
        <f t="shared" si="86"/>
        <v>32.840000000000003</v>
      </c>
      <c r="FG22" s="144">
        <f t="shared" si="86"/>
        <v>2</v>
      </c>
      <c r="FH22" s="484" t="s">
        <v>52</v>
      </c>
      <c r="FI22" s="145">
        <f t="shared" si="74"/>
        <v>6</v>
      </c>
      <c r="FJ22" s="194">
        <f t="shared" si="75"/>
        <v>0.33333333333333331</v>
      </c>
      <c r="FK22" s="110">
        <f>W22</f>
        <v>1</v>
      </c>
      <c r="FL22" s="484" t="s">
        <v>52</v>
      </c>
      <c r="FM22" s="168">
        <f>Y22</f>
        <v>2</v>
      </c>
      <c r="FN22" s="194">
        <f t="shared" si="76"/>
        <v>0.5</v>
      </c>
      <c r="FO22" s="110">
        <f>IFERROR(SUMIFS(FO4:FO20,B4:B20,"R"),"0")</f>
        <v>0</v>
      </c>
      <c r="FP22" s="484" t="s">
        <v>52</v>
      </c>
      <c r="FQ22" s="131">
        <f>IFERROR(SUMIFS(FQ4:FQ20,B4:B20,"R"),"0")</f>
        <v>0</v>
      </c>
      <c r="FR22" s="197" t="str">
        <f t="shared" si="79"/>
        <v>0</v>
      </c>
      <c r="FS22" s="118">
        <f t="shared" si="39"/>
        <v>2</v>
      </c>
      <c r="FT22" s="118">
        <f t="shared" si="39"/>
        <v>7</v>
      </c>
      <c r="FU22" s="118">
        <f t="shared" si="82"/>
        <v>9</v>
      </c>
      <c r="FV22" s="175">
        <f t="shared" si="82"/>
        <v>2</v>
      </c>
      <c r="FW22" s="118">
        <f t="shared" si="82"/>
        <v>1</v>
      </c>
      <c r="FX22" s="118">
        <f t="shared" si="82"/>
        <v>4</v>
      </c>
      <c r="FY22" s="118">
        <f t="shared" si="82"/>
        <v>2</v>
      </c>
      <c r="FZ22" s="118">
        <f t="shared" si="82"/>
        <v>0</v>
      </c>
      <c r="GA22" s="118">
        <f t="shared" si="83"/>
        <v>8</v>
      </c>
      <c r="GB22" s="118">
        <f t="shared" si="83"/>
        <v>0</v>
      </c>
      <c r="GC22" s="175">
        <f t="shared" si="83"/>
        <v>6.45</v>
      </c>
      <c r="GD22" s="134">
        <f t="shared" si="87"/>
        <v>0.41666666666666669</v>
      </c>
      <c r="GE22" s="121">
        <f t="shared" si="87"/>
        <v>0.58183847148771728</v>
      </c>
      <c r="GF22" s="121">
        <f t="shared" si="87"/>
        <v>0.5</v>
      </c>
      <c r="GG22" s="135">
        <f t="shared" si="87"/>
        <v>0.33333333333333331</v>
      </c>
      <c r="GH22" s="208"/>
      <c r="GO22" s="489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32.839999999999996</v>
      </c>
      <c r="E23" s="162">
        <f>IFERROR(SUMIFS(E4:E20,B4:B20,"W"),"0")</f>
        <v>9</v>
      </c>
      <c r="F23" s="143" t="s">
        <v>52</v>
      </c>
      <c r="G23" s="145">
        <f>IFERROR(SUMIFS(G4:G20,B4:B20,"W"),"0")</f>
        <v>17</v>
      </c>
      <c r="H23" s="143" t="s">
        <v>53</v>
      </c>
      <c r="I23" s="118">
        <f>IFERROR(SUMIFS(I4:I20,B4:B20,"W"),"0")</f>
        <v>5</v>
      </c>
      <c r="J23" s="145" t="s">
        <v>54</v>
      </c>
      <c r="K23" s="143">
        <f>IFERROR(SUMIFS(K4:K20,B4:B20,"W"),"0")</f>
        <v>4</v>
      </c>
      <c r="L23" s="143" t="s">
        <v>52</v>
      </c>
      <c r="M23" s="145">
        <f>IFERROR(SUMIFS(M4:M20,B4:B20,"W"),"0")</f>
        <v>7</v>
      </c>
      <c r="N23" s="143" t="s">
        <v>53</v>
      </c>
      <c r="O23" s="118">
        <f>IFERROR(SUMIFS(O4:O20,B4:B20,"W"),"0")</f>
        <v>3</v>
      </c>
      <c r="P23" s="145" t="s">
        <v>54</v>
      </c>
      <c r="Q23" s="111">
        <f>IFERROR(SUMIFS(Q4:Q20,B4:B20,"W"),"0")</f>
        <v>1</v>
      </c>
      <c r="R23" s="143" t="s">
        <v>52</v>
      </c>
      <c r="S23" s="145">
        <f>IFERROR(SUMIFS(S4:S20,B4:B20,"W"),"0")</f>
        <v>1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4</v>
      </c>
      <c r="X23" s="143" t="s">
        <v>52</v>
      </c>
      <c r="Y23" s="145">
        <f>IFERROR(SUMIFS(Y4:Y20,B4:B20,"W"),"0")</f>
        <v>9</v>
      </c>
      <c r="Z23" s="143" t="s">
        <v>53</v>
      </c>
      <c r="AA23" s="118">
        <f>IFERROR(SUMIFS(AA4:AA20,B4:B20,"W"),"0")</f>
        <v>2</v>
      </c>
      <c r="AB23" s="111" t="s">
        <v>54</v>
      </c>
      <c r="AC23" s="143">
        <f>IFERROR(SUMIFS(AC4:AC20,B4:B20,"W"),"0")</f>
        <v>2.4</v>
      </c>
      <c r="AD23" s="143" t="s">
        <v>52</v>
      </c>
      <c r="AE23" s="146">
        <f>IFERROR(SUMIFS(AE4:AE20,B4:B20,"W"),"0")</f>
        <v>3</v>
      </c>
      <c r="AF23" s="143"/>
      <c r="AG23" s="144">
        <f>IFERROR(SUMIFS(AG4:AG20,B4:B20,"W"),"0")</f>
        <v>7</v>
      </c>
      <c r="AH23" s="143" t="s">
        <v>52</v>
      </c>
      <c r="AI23" s="145">
        <f>IFERROR(SUMIFS(AI4:AI20,B4:B20,"W"),"0")</f>
        <v>14</v>
      </c>
      <c r="AJ23" s="143" t="s">
        <v>53</v>
      </c>
      <c r="AK23" s="111">
        <f>IFERROR(SUMIFS(AK4:AK20,B4:B20,"W"),"0")</f>
        <v>5</v>
      </c>
      <c r="AL23" s="145" t="s">
        <v>54</v>
      </c>
      <c r="AM23" s="143">
        <f>IFERROR(SUMIFS(AM4:AM20,B4:B20,"W"),"0")</f>
        <v>4</v>
      </c>
      <c r="AN23" s="143" t="s">
        <v>52</v>
      </c>
      <c r="AO23" s="145">
        <f>IFERROR(SUMIFS(AO4:AO20,B4:B20,"W"),"0")</f>
        <v>7</v>
      </c>
      <c r="AP23" s="143" t="s">
        <v>53</v>
      </c>
      <c r="AQ23" s="111">
        <f>IFERROR(SUMIFS(AQ4:AQ20,B4:B20,"W"),"0")</f>
        <v>3</v>
      </c>
      <c r="AR23" s="111" t="s">
        <v>54</v>
      </c>
      <c r="AS23" s="143">
        <f>IFERROR(SUMIFS(AS4:AS20,B4:B20,"W"),"0")</f>
        <v>1</v>
      </c>
      <c r="AT23" s="143" t="s">
        <v>52</v>
      </c>
      <c r="AU23" s="145">
        <f>IFERROR(SUMIFS(AU4:AU20,B4:B20,"W"),"0")</f>
        <v>1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2</v>
      </c>
      <c r="AZ23" s="143" t="s">
        <v>52</v>
      </c>
      <c r="BA23" s="145">
        <f>IFERROR(SUMIFS(BA4:BA20,B4:B20,"W"),"0")</f>
        <v>6</v>
      </c>
      <c r="BB23" s="143" t="s">
        <v>53</v>
      </c>
      <c r="BC23" s="118">
        <f>IFERROR(SUMIFS(BC4:BC20,B4:B20,"W"),"0")</f>
        <v>2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2</v>
      </c>
      <c r="BJ23" s="143" t="s">
        <v>52</v>
      </c>
      <c r="BK23" s="145">
        <f>IFERROR(SUMIFS(BK4:BK20,B4:B20,"W"),"0")</f>
        <v>3</v>
      </c>
      <c r="BL23" s="143" t="s">
        <v>53</v>
      </c>
      <c r="BM23" s="118">
        <f>IFERROR(SUMIFS(BM4:BM20,B4:B20,"W"),"0")</f>
        <v>0</v>
      </c>
      <c r="BN23" s="145" t="s">
        <v>54</v>
      </c>
      <c r="BO23" s="143">
        <f>IFERROR(SUMIFS(BO4:BO20,B4:B20,"W"),"0")</f>
        <v>0</v>
      </c>
      <c r="BP23" s="143" t="s">
        <v>52</v>
      </c>
      <c r="BQ23" s="145">
        <f>IFERROR(SUMIFS(BQ4:BQ20,B4:B20,"W"),"0")</f>
        <v>0</v>
      </c>
      <c r="BR23" s="143" t="s">
        <v>53</v>
      </c>
      <c r="BS23" s="143">
        <f>IFERROR(SUMIFS(BS4:BS20,B4:B20,"W"),"0")</f>
        <v>0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2</v>
      </c>
      <c r="CB23" s="143" t="s">
        <v>52</v>
      </c>
      <c r="CC23" s="145">
        <f>IFERROR(SUMIFS(CC4:CC20,B4:B20,"W"),"0")</f>
        <v>3</v>
      </c>
      <c r="CD23" s="143" t="s">
        <v>53</v>
      </c>
      <c r="CE23" s="118">
        <f>IFERROR(SUMIFS(CE4:CE20,B4:B20,"W"),"0")</f>
        <v>0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1</v>
      </c>
      <c r="CK23" s="118">
        <f>IFERROR(SUMIFS(CK4:CK20,B4:B20,"W"),"0")</f>
        <v>2</v>
      </c>
      <c r="CL23" s="118">
        <f t="shared" ref="CL23:CM23" si="89">IFERROR(SUMIFS(CL4:CL20,C4:C20,"W"),"0")</f>
        <v>0</v>
      </c>
      <c r="CM23" s="118">
        <f t="shared" si="89"/>
        <v>0</v>
      </c>
      <c r="CN23" s="118">
        <f>IFERROR(SUMIFS(CN4:CN20,B4:B20,"W"),"0")</f>
        <v>3</v>
      </c>
      <c r="CO23" s="175">
        <f>IFERROR(SUMIFS(CO4:CO20,B4:B20,"W"),"0")</f>
        <v>5</v>
      </c>
      <c r="CP23" s="118">
        <f>IFERROR(SUMIFS(CP4:CP20,B4:B20,"W"),"0")</f>
        <v>4</v>
      </c>
      <c r="CQ23" s="175">
        <f>IFERROR(SUMIFS(CQ4:CQ20,B4:B20,"W"),"0")</f>
        <v>1</v>
      </c>
      <c r="CR23" s="118">
        <f>IFERROR(SUMIFS(CR4:CR20,B4:B20,"W"),"0")</f>
        <v>3</v>
      </c>
      <c r="CS23" s="119">
        <f>IFERROR(SUMIFS(CS4:CS20,B4:B20,"W"),"0")</f>
        <v>5</v>
      </c>
      <c r="CT23" s="118">
        <f>IFERROR(SUMIFS(CT4:CT20,B4:B20,"W"),"0")</f>
        <v>3</v>
      </c>
      <c r="CU23" s="118">
        <f>IFERROR(SUMIFS(CU4:CU20,B4:B20,"W"),"0")</f>
        <v>1</v>
      </c>
      <c r="CV23" s="119">
        <f>IFERROR(SUMIFS(CV4:CV20,B4:B20,"W"),"0")</f>
        <v>24.4</v>
      </c>
      <c r="CW23" s="118"/>
      <c r="CX23" s="136">
        <f>DG23</f>
        <v>0.6470588235294118</v>
      </c>
      <c r="CY23" s="137">
        <f>DN23</f>
        <v>0.15400492886980738</v>
      </c>
      <c r="CZ23" s="137">
        <f>DH23</f>
        <v>0.125</v>
      </c>
      <c r="DA23" s="138">
        <f>FA23</f>
        <v>0.17647058823529413</v>
      </c>
      <c r="DB23" s="232" t="s">
        <v>84</v>
      </c>
      <c r="DC23" s="116"/>
      <c r="DG23" s="37">
        <f>IFERROR(((E23-W23)+1.5*W23)/G23,"0")</f>
        <v>0.6470588235294118</v>
      </c>
      <c r="DH23" s="37">
        <f>IFERROR(CJ23/(CJ23+CK22),"0")</f>
        <v>0.125</v>
      </c>
      <c r="DN23" s="37">
        <f>IFERROR(CT23/EG23,"0")</f>
        <v>0.15400492886980738</v>
      </c>
      <c r="DS23" s="10"/>
      <c r="DT23" s="10"/>
      <c r="EF23" s="233" t="s">
        <v>89</v>
      </c>
      <c r="EG23" s="28">
        <f>IFERROR(SUMIFS(EG4:EG20,B4:B20,"W"),"0")</f>
        <v>19.479896013822639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2.4</v>
      </c>
      <c r="EY23" s="6">
        <f>IFERROR(SUMIFS(EY4:EY20,B4:B20,"W"),"0")</f>
        <v>3</v>
      </c>
      <c r="EZ23" s="6">
        <f t="shared" ref="EZ23" si="90">IFERROR(E23+(1-(1-(EX23/EY23))^2)*EY23*0.4,"0")</f>
        <v>10.151999999999999</v>
      </c>
      <c r="FA23" s="6">
        <f>IFERROR(EY23/G23,"0")</f>
        <v>0.17647058823529413</v>
      </c>
      <c r="FC23" s="139"/>
      <c r="FD23" s="139"/>
      <c r="FE23" s="116" t="s">
        <v>89</v>
      </c>
      <c r="FF23" s="121">
        <f t="shared" si="86"/>
        <v>32.839999999999996</v>
      </c>
      <c r="FG23" s="169">
        <f t="shared" si="86"/>
        <v>9</v>
      </c>
      <c r="FH23" s="166" t="s">
        <v>52</v>
      </c>
      <c r="FI23" s="170">
        <f t="shared" si="74"/>
        <v>17</v>
      </c>
      <c r="FJ23" s="195">
        <f t="shared" si="75"/>
        <v>0.52941176470588236</v>
      </c>
      <c r="FK23" s="171">
        <f>W23</f>
        <v>4</v>
      </c>
      <c r="FL23" s="166" t="s">
        <v>52</v>
      </c>
      <c r="FM23" s="172">
        <f>Y23</f>
        <v>9</v>
      </c>
      <c r="FN23" s="195">
        <f t="shared" si="76"/>
        <v>0.44444444444444442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9"/>
        <v>0</v>
      </c>
      <c r="FS23" s="118">
        <f t="shared" si="39"/>
        <v>1</v>
      </c>
      <c r="FT23" s="118">
        <f t="shared" si="39"/>
        <v>2</v>
      </c>
      <c r="FU23" s="118">
        <f t="shared" si="82"/>
        <v>3</v>
      </c>
      <c r="FV23" s="175">
        <f t="shared" si="82"/>
        <v>5</v>
      </c>
      <c r="FW23" s="118">
        <f t="shared" si="82"/>
        <v>4</v>
      </c>
      <c r="FX23" s="118">
        <f t="shared" si="82"/>
        <v>1</v>
      </c>
      <c r="FY23" s="118">
        <f t="shared" si="82"/>
        <v>3</v>
      </c>
      <c r="FZ23" s="118">
        <f t="shared" si="82"/>
        <v>5</v>
      </c>
      <c r="GA23" s="118">
        <f t="shared" si="83"/>
        <v>3</v>
      </c>
      <c r="GB23" s="118">
        <f t="shared" si="83"/>
        <v>1</v>
      </c>
      <c r="GC23" s="175">
        <f t="shared" si="83"/>
        <v>24.4</v>
      </c>
      <c r="GD23" s="136">
        <f t="shared" si="87"/>
        <v>0.6470588235294118</v>
      </c>
      <c r="GE23" s="137">
        <f t="shared" si="87"/>
        <v>0.15400492886980738</v>
      </c>
      <c r="GF23" s="137">
        <f t="shared" si="87"/>
        <v>0.125</v>
      </c>
      <c r="GG23" s="138">
        <f t="shared" si="87"/>
        <v>0.17647058823529413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489"/>
      <c r="EY24" s="489"/>
      <c r="EZ24" s="48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32.839999999999996</v>
      </c>
      <c r="E25" s="86">
        <f>IFERROR(IF(B4="W",$E$23,$E$22),"0")</f>
        <v>9</v>
      </c>
      <c r="F25" s="33" t="s">
        <v>52</v>
      </c>
      <c r="G25" s="49">
        <f>IFERROR(IF(B4="W",$G$23,$G$22),"0")</f>
        <v>17</v>
      </c>
      <c r="H25" s="12" t="s">
        <v>53</v>
      </c>
      <c r="I25" s="33">
        <f>IFERROR(IF(B4="W",I$23,I$22),"0")</f>
        <v>5</v>
      </c>
      <c r="J25" s="49" t="s">
        <v>54</v>
      </c>
      <c r="K25" s="12">
        <f>IFERROR(IF(B4="W",K$23,K$22),"0")</f>
        <v>4</v>
      </c>
      <c r="L25" s="33" t="s">
        <v>52</v>
      </c>
      <c r="M25" s="49">
        <f>IFERROR(IF(B4="W",M$23,M$22),"0")</f>
        <v>7</v>
      </c>
      <c r="N25" s="12" t="s">
        <v>53</v>
      </c>
      <c r="O25" s="33">
        <f>IFERROR(IF(B4="W",O$23,O$22),"0")</f>
        <v>3</v>
      </c>
      <c r="P25" s="49" t="s">
        <v>54</v>
      </c>
      <c r="Q25" s="12">
        <f>IFERROR(IF(B4="W",Q$23,Q$22),"0")</f>
        <v>1</v>
      </c>
      <c r="R25" s="33" t="s">
        <v>52</v>
      </c>
      <c r="S25" s="49">
        <f>IFERROR(IF(B4="W",S$23,S$22),"0")</f>
        <v>1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4</v>
      </c>
      <c r="X25" s="33" t="s">
        <v>52</v>
      </c>
      <c r="Y25" s="49">
        <f>IFERROR(IF(B4="W",Y$23,Y$22),"0")</f>
        <v>9</v>
      </c>
      <c r="Z25" s="12" t="s">
        <v>53</v>
      </c>
      <c r="AA25" s="33">
        <f>IFERROR(IF(B4="W",AA$23,AA$22),"0")</f>
        <v>2</v>
      </c>
      <c r="AB25" s="49" t="s">
        <v>54</v>
      </c>
      <c r="AC25" s="12">
        <f>IFERROR(IF(B4="W",AC$23,AC$22),"0")</f>
        <v>2.4</v>
      </c>
      <c r="AD25" s="33" t="s">
        <v>52</v>
      </c>
      <c r="AE25" s="53">
        <f>IFERROR(IF(B4="W",AE$23,AE$22),"0")</f>
        <v>3</v>
      </c>
      <c r="AF25" s="12"/>
      <c r="AG25" s="43">
        <f>IFERROR(IF(B4="W",AG$23,AG$22),"0")</f>
        <v>7</v>
      </c>
      <c r="AH25" s="33" t="s">
        <v>52</v>
      </c>
      <c r="AI25" s="49">
        <f>IFERROR(IF(B4="W",AI$23,AI$22),"0")</f>
        <v>14</v>
      </c>
      <c r="AJ25" s="12" t="s">
        <v>53</v>
      </c>
      <c r="AK25" s="33">
        <f>IFERROR(IF(B4="W",AK$23,AK$22),"0")</f>
        <v>5</v>
      </c>
      <c r="AL25" s="49" t="s">
        <v>54</v>
      </c>
      <c r="AM25" s="12">
        <f>IFERROR(IF(B4="W",AM$23,AM$22),"0")</f>
        <v>4</v>
      </c>
      <c r="AN25" s="33" t="s">
        <v>52</v>
      </c>
      <c r="AO25" s="49">
        <f>IFERROR(IF(B4="W",AO$23,AO$22),"0")</f>
        <v>7</v>
      </c>
      <c r="AP25" s="12" t="s">
        <v>53</v>
      </c>
      <c r="AQ25" s="33">
        <f>IFERROR(IF(B4="W",AQ$23,AQ$22),"0")</f>
        <v>3</v>
      </c>
      <c r="AR25" s="49" t="s">
        <v>54</v>
      </c>
      <c r="AS25" s="12">
        <f>IFERROR(IF(B4="W",AS$23,AS$22),"0")</f>
        <v>1</v>
      </c>
      <c r="AT25" s="33" t="s">
        <v>52</v>
      </c>
      <c r="AU25" s="49">
        <f>IFERROR(IF(B4="W",AU$23,AU$22),"0")</f>
        <v>1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2</v>
      </c>
      <c r="AZ25" s="33" t="s">
        <v>52</v>
      </c>
      <c r="BA25" s="49">
        <f>IFERROR(IF(B4="W",BA$23,BA$22),"0")</f>
        <v>6</v>
      </c>
      <c r="BB25" s="12" t="s">
        <v>53</v>
      </c>
      <c r="BC25" s="33">
        <f>IFERROR(IF(B4="W",BC$23,BC$22),"0")</f>
        <v>2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2</v>
      </c>
      <c r="BJ25" s="33" t="s">
        <v>52</v>
      </c>
      <c r="BK25" s="49">
        <f>IFERROR(IF($B$4="W",BK23,BK22),"0")</f>
        <v>3</v>
      </c>
      <c r="BL25" s="12" t="s">
        <v>53</v>
      </c>
      <c r="BM25" s="33">
        <f>IFERROR(IF($B$4="W",BM23,BM22),"0")</f>
        <v>0</v>
      </c>
      <c r="BN25" s="49" t="s">
        <v>54</v>
      </c>
      <c r="BO25" s="12">
        <f>IFERROR(IF($B$4="W",BO23,BO22),"0")</f>
        <v>0</v>
      </c>
      <c r="BP25" s="33" t="s">
        <v>52</v>
      </c>
      <c r="BQ25" s="49">
        <f>IFERROR(IF($B$4="W",BQ23,BQ22),"0")</f>
        <v>0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2</v>
      </c>
      <c r="CB25" s="33" t="s">
        <v>52</v>
      </c>
      <c r="CC25" s="49">
        <f>IFERROR(IF($B$4="W",CC23,CC22),"0")</f>
        <v>3</v>
      </c>
      <c r="CD25" s="12" t="s">
        <v>53</v>
      </c>
      <c r="CE25" s="33">
        <f>IFERROR(IF($B$4="W",CE23,CE22),"0")</f>
        <v>0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1</v>
      </c>
      <c r="CK25" s="33">
        <f>IFERROR(IF($B$4="W",CK23,CK22),"0")</f>
        <v>2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3</v>
      </c>
      <c r="CO25" s="33">
        <f t="shared" si="91"/>
        <v>5</v>
      </c>
      <c r="CP25" s="33">
        <f t="shared" si="91"/>
        <v>4</v>
      </c>
      <c r="CQ25" s="33">
        <f t="shared" si="91"/>
        <v>1</v>
      </c>
      <c r="CR25" s="33">
        <f t="shared" si="91"/>
        <v>3</v>
      </c>
      <c r="CS25" s="33">
        <f t="shared" si="91"/>
        <v>5</v>
      </c>
      <c r="CT25" s="33">
        <f t="shared" si="91"/>
        <v>3</v>
      </c>
      <c r="CU25" s="33">
        <f t="shared" si="91"/>
        <v>1</v>
      </c>
      <c r="CV25" s="58">
        <f t="shared" si="91"/>
        <v>24.4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19.479896013822639</v>
      </c>
      <c r="EW25" s="12" t="s">
        <v>73</v>
      </c>
      <c r="EX25" s="6">
        <f t="shared" ref="EX25:EX39" si="94">IFERROR(IF(B4="W",$EX$23,$EX$22),"0")</f>
        <v>2.4</v>
      </c>
      <c r="EY25" s="6">
        <f t="shared" ref="EY25:EY39" si="95">IFERROR(IF(B4="W",$EY$23,$EY$22),"0")</f>
        <v>3</v>
      </c>
      <c r="EZ25" s="6">
        <f>IFERROR(IF(B4="W",$EZ$23,$EZ$22),"0")</f>
        <v>10.151999999999999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32.839999999999996</v>
      </c>
      <c r="E26" s="86">
        <f t="shared" ref="E26:E39" si="96">IFERROR(IF(B5="W",$E$23,$E$22),"0")</f>
        <v>9</v>
      </c>
      <c r="F26" s="33" t="s">
        <v>52</v>
      </c>
      <c r="G26" s="49">
        <f t="shared" ref="G26:G39" si="97">IFERROR(IF(B5="W",$G$23,$G$22),"0")</f>
        <v>17</v>
      </c>
      <c r="H26" s="12" t="s">
        <v>53</v>
      </c>
      <c r="I26" s="33">
        <f t="shared" ref="I26:I39" si="98">IFERROR(IF(B5="W",I$23,I$22),"0")</f>
        <v>5</v>
      </c>
      <c r="J26" s="49" t="s">
        <v>54</v>
      </c>
      <c r="K26" s="12">
        <f t="shared" ref="K26:K39" si="99">IFERROR(IF(B5="W",K$23,K$22),"0")</f>
        <v>4</v>
      </c>
      <c r="L26" s="33" t="s">
        <v>52</v>
      </c>
      <c r="M26" s="49">
        <f t="shared" ref="M26:M39" si="100">IFERROR(IF(B5="W",M$23,M$22),"0")</f>
        <v>7</v>
      </c>
      <c r="N26" s="12" t="s">
        <v>53</v>
      </c>
      <c r="O26" s="33">
        <f t="shared" ref="O26:O39" si="101">IFERROR(IF(B5="W",O$23,O$22),"0")</f>
        <v>3</v>
      </c>
      <c r="P26" s="49" t="s">
        <v>54</v>
      </c>
      <c r="Q26" s="12">
        <f t="shared" ref="Q26:Q39" si="102">IFERROR(IF(B5="W",Q$23,Q$22),"0")</f>
        <v>1</v>
      </c>
      <c r="R26" s="33" t="s">
        <v>52</v>
      </c>
      <c r="S26" s="49">
        <f t="shared" ref="S26:S39" si="103">IFERROR(IF(B5="W",S$23,S$22),"0")</f>
        <v>1</v>
      </c>
      <c r="T26" s="12" t="s">
        <v>53</v>
      </c>
      <c r="U26" s="33">
        <f t="shared" ref="U26:U39" si="104">IFERROR(IF(B5="W",U$23,U$22),"0")</f>
        <v>0</v>
      </c>
      <c r="V26" s="49" t="s">
        <v>54</v>
      </c>
      <c r="W26" s="12">
        <f t="shared" ref="W26:W39" si="105">IFERROR(IF(B5="W",W$23,W$22),"0")</f>
        <v>4</v>
      </c>
      <c r="X26" s="33" t="s">
        <v>52</v>
      </c>
      <c r="Y26" s="49">
        <f t="shared" ref="Y26:Y39" si="106">IFERROR(IF(B5="W",Y$23,Y$22),"0")</f>
        <v>9</v>
      </c>
      <c r="Z26" s="12" t="s">
        <v>53</v>
      </c>
      <c r="AA26" s="33">
        <f t="shared" ref="AA26:AA39" si="107">IFERROR(IF(B5="W",AA$23,AA$22),"0")</f>
        <v>2</v>
      </c>
      <c r="AB26" s="49" t="s">
        <v>54</v>
      </c>
      <c r="AC26" s="12">
        <f t="shared" ref="AC26:AC39" si="108">IFERROR(IF(B5="W",AC$23,AC$22),"0")</f>
        <v>2.4</v>
      </c>
      <c r="AD26" s="33" t="s">
        <v>52</v>
      </c>
      <c r="AE26" s="53">
        <f t="shared" ref="AE26:AE39" si="109">IFERROR(IF(B5="W",AE$23,AE$22),"0")</f>
        <v>3</v>
      </c>
      <c r="AF26" s="12"/>
      <c r="AG26" s="43">
        <f t="shared" ref="AG26:AG39" si="110">IFERROR(IF(B5="W",AG$23,AG$22),"0")</f>
        <v>7</v>
      </c>
      <c r="AH26" s="33" t="s">
        <v>52</v>
      </c>
      <c r="AI26" s="49">
        <f t="shared" ref="AI26:AI39" si="111">IFERROR(IF(B5="W",AI$23,AI$22),"0")</f>
        <v>14</v>
      </c>
      <c r="AJ26" s="12" t="s">
        <v>53</v>
      </c>
      <c r="AK26" s="33">
        <f t="shared" ref="AK26:AK39" si="112">IFERROR(IF(B5="W",AK$23,AK$22),"0")</f>
        <v>5</v>
      </c>
      <c r="AL26" s="49" t="s">
        <v>54</v>
      </c>
      <c r="AM26" s="12">
        <f t="shared" ref="AM26:AM39" si="113">IFERROR(IF(B5="W",AM$23,AM$22),"0")</f>
        <v>4</v>
      </c>
      <c r="AN26" s="33" t="s">
        <v>52</v>
      </c>
      <c r="AO26" s="49">
        <f t="shared" ref="AO26:AO39" si="114">IFERROR(IF(B5="W",AO$23,AO$22),"0")</f>
        <v>7</v>
      </c>
      <c r="AP26" s="12" t="s">
        <v>53</v>
      </c>
      <c r="AQ26" s="33">
        <f t="shared" ref="AQ26:AQ39" si="115">IFERROR(IF(B5="W",AQ$23,AQ$22),"0")</f>
        <v>3</v>
      </c>
      <c r="AR26" s="49" t="s">
        <v>54</v>
      </c>
      <c r="AS26" s="12">
        <f t="shared" ref="AS26:AS39" si="116">IFERROR(IF(B5="W",AS$23,AS$22),"0")</f>
        <v>1</v>
      </c>
      <c r="AT26" s="33" t="s">
        <v>52</v>
      </c>
      <c r="AU26" s="49">
        <f t="shared" ref="AU26:AU39" si="117">IFERROR(IF(B5="W",AU$23,AU$22),"0")</f>
        <v>1</v>
      </c>
      <c r="AV26" s="12" t="s">
        <v>53</v>
      </c>
      <c r="AW26" s="33">
        <f t="shared" ref="AW26:AW39" si="118">IFERROR(IF(B5="W",AW$23,AW$22),"0")</f>
        <v>0</v>
      </c>
      <c r="AX26" s="49" t="s">
        <v>54</v>
      </c>
      <c r="AY26" s="12">
        <f t="shared" ref="AY26:AY39" si="119">IFERROR(IF(B5="W",AY$23,AY$22),"0")</f>
        <v>2</v>
      </c>
      <c r="AZ26" s="33" t="s">
        <v>52</v>
      </c>
      <c r="BA26" s="49">
        <f t="shared" ref="BA26:BA39" si="120">IFERROR(IF(B5="W",BA$23,BA$22),"0")</f>
        <v>6</v>
      </c>
      <c r="BB26" s="12" t="s">
        <v>53</v>
      </c>
      <c r="BC26" s="33">
        <f t="shared" ref="BC26:BC39" si="121">IFERROR(IF(B5="W",BC$23,BC$22),"0")</f>
        <v>2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2</v>
      </c>
      <c r="BJ26" s="33" t="s">
        <v>52</v>
      </c>
      <c r="BK26" s="49">
        <f>IFERROR(IF($B$5="W",BK23,BK22),"0")</f>
        <v>3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0</v>
      </c>
      <c r="BP26" s="33" t="s">
        <v>52</v>
      </c>
      <c r="BQ26" s="49">
        <f>IFERROR(IF($B$5="W",BQ23,BQ22),"0")</f>
        <v>0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2</v>
      </c>
      <c r="CB26" s="33" t="s">
        <v>52</v>
      </c>
      <c r="CC26" s="49">
        <f>IFERROR(IF($B$5="W",CC23,CC22),"0")</f>
        <v>3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1</v>
      </c>
      <c r="CK26" s="33">
        <f t="shared" si="124"/>
        <v>2</v>
      </c>
      <c r="CL26" s="33">
        <f t="shared" si="124"/>
        <v>0</v>
      </c>
      <c r="CM26" s="33">
        <f t="shared" si="124"/>
        <v>0</v>
      </c>
      <c r="CN26" s="33">
        <f t="shared" si="124"/>
        <v>3</v>
      </c>
      <c r="CO26" s="33">
        <f t="shared" si="124"/>
        <v>5</v>
      </c>
      <c r="CP26" s="33">
        <f t="shared" si="124"/>
        <v>4</v>
      </c>
      <c r="CQ26" s="33">
        <f t="shared" si="124"/>
        <v>1</v>
      </c>
      <c r="CR26" s="33">
        <f t="shared" si="124"/>
        <v>3</v>
      </c>
      <c r="CS26" s="33">
        <f t="shared" si="124"/>
        <v>5</v>
      </c>
      <c r="CT26" s="33">
        <f t="shared" si="124"/>
        <v>3</v>
      </c>
      <c r="CU26" s="33">
        <f t="shared" si="124"/>
        <v>1</v>
      </c>
      <c r="CV26" s="58">
        <f t="shared" si="124"/>
        <v>24.4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19.479896013822639</v>
      </c>
      <c r="EW26" s="228" t="s">
        <v>74</v>
      </c>
      <c r="EX26" s="6">
        <f t="shared" si="94"/>
        <v>2.4</v>
      </c>
      <c r="EY26" s="6">
        <f t="shared" si="95"/>
        <v>3</v>
      </c>
      <c r="EZ26" s="6">
        <f t="shared" ref="EZ26:EZ39" si="125">IFERROR(IF(B5="W",$EZ$23,$EZ$22),"0")</f>
        <v>10.151999999999999</v>
      </c>
    </row>
    <row r="27" spans="1:197" x14ac:dyDescent="0.2">
      <c r="C27" s="228" t="s">
        <v>75</v>
      </c>
      <c r="D27" s="28">
        <f>IFERROR(IF(B6="W",D23,D22),"0")</f>
        <v>32.840000000000003</v>
      </c>
      <c r="E27" s="86">
        <f t="shared" si="96"/>
        <v>2</v>
      </c>
      <c r="F27" s="33" t="s">
        <v>52</v>
      </c>
      <c r="G27" s="49">
        <f t="shared" si="97"/>
        <v>6</v>
      </c>
      <c r="H27" s="12" t="s">
        <v>53</v>
      </c>
      <c r="I27" s="33">
        <f t="shared" si="98"/>
        <v>2</v>
      </c>
      <c r="J27" s="49" t="s">
        <v>54</v>
      </c>
      <c r="K27" s="12">
        <f t="shared" si="99"/>
        <v>1</v>
      </c>
      <c r="L27" s="33" t="s">
        <v>52</v>
      </c>
      <c r="M27" s="49">
        <f t="shared" si="100"/>
        <v>2</v>
      </c>
      <c r="N27" s="12" t="s">
        <v>53</v>
      </c>
      <c r="O27" s="33">
        <f t="shared" si="101"/>
        <v>1</v>
      </c>
      <c r="P27" s="49" t="s">
        <v>54</v>
      </c>
      <c r="Q27" s="12">
        <f t="shared" si="102"/>
        <v>0</v>
      </c>
      <c r="R27" s="33" t="s">
        <v>52</v>
      </c>
      <c r="S27" s="49">
        <f t="shared" si="103"/>
        <v>2</v>
      </c>
      <c r="T27" s="12" t="s">
        <v>53</v>
      </c>
      <c r="U27" s="33">
        <f t="shared" si="104"/>
        <v>0</v>
      </c>
      <c r="V27" s="49" t="s">
        <v>54</v>
      </c>
      <c r="W27" s="12">
        <f t="shared" si="105"/>
        <v>1</v>
      </c>
      <c r="X27" s="33" t="s">
        <v>52</v>
      </c>
      <c r="Y27" s="49">
        <f t="shared" si="106"/>
        <v>2</v>
      </c>
      <c r="Z27" s="12" t="s">
        <v>53</v>
      </c>
      <c r="AA27" s="33">
        <f t="shared" si="107"/>
        <v>1</v>
      </c>
      <c r="AB27" s="49" t="s">
        <v>54</v>
      </c>
      <c r="AC27" s="12">
        <f t="shared" si="108"/>
        <v>1.45</v>
      </c>
      <c r="AD27" s="33" t="s">
        <v>52</v>
      </c>
      <c r="AE27" s="53">
        <f t="shared" si="109"/>
        <v>2</v>
      </c>
      <c r="AF27" s="12"/>
      <c r="AG27" s="43">
        <f t="shared" si="110"/>
        <v>2</v>
      </c>
      <c r="AH27" s="33" t="s">
        <v>52</v>
      </c>
      <c r="AI27" s="49">
        <f t="shared" si="111"/>
        <v>6</v>
      </c>
      <c r="AJ27" s="12" t="s">
        <v>53</v>
      </c>
      <c r="AK27" s="33">
        <f t="shared" si="112"/>
        <v>2</v>
      </c>
      <c r="AL27" s="49" t="s">
        <v>54</v>
      </c>
      <c r="AM27" s="12">
        <f t="shared" si="113"/>
        <v>1</v>
      </c>
      <c r="AN27" s="33" t="s">
        <v>52</v>
      </c>
      <c r="AO27" s="49">
        <f t="shared" si="114"/>
        <v>2</v>
      </c>
      <c r="AP27" s="12" t="s">
        <v>53</v>
      </c>
      <c r="AQ27" s="33">
        <f t="shared" si="115"/>
        <v>1</v>
      </c>
      <c r="AR27" s="49" t="s">
        <v>54</v>
      </c>
      <c r="AS27" s="12">
        <f t="shared" si="116"/>
        <v>0</v>
      </c>
      <c r="AT27" s="33" t="s">
        <v>52</v>
      </c>
      <c r="AU27" s="49">
        <f t="shared" si="117"/>
        <v>2</v>
      </c>
      <c r="AV27" s="12" t="s">
        <v>53</v>
      </c>
      <c r="AW27" s="33">
        <f t="shared" si="118"/>
        <v>0</v>
      </c>
      <c r="AX27" s="49" t="s">
        <v>54</v>
      </c>
      <c r="AY27" s="12">
        <f t="shared" si="119"/>
        <v>1</v>
      </c>
      <c r="AZ27" s="33" t="s">
        <v>52</v>
      </c>
      <c r="BA27" s="49">
        <f t="shared" si="120"/>
        <v>2</v>
      </c>
      <c r="BB27" s="12" t="s">
        <v>53</v>
      </c>
      <c r="BC27" s="33">
        <f t="shared" si="121"/>
        <v>1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0</v>
      </c>
      <c r="BJ27" s="33" t="s">
        <v>52</v>
      </c>
      <c r="BK27" s="49">
        <f>IFERROR(IF($B$6="W",BK23,BK22),"0")</f>
        <v>0</v>
      </c>
      <c r="BL27" s="12" t="s">
        <v>53</v>
      </c>
      <c r="BM27" s="33">
        <f>IFERROR(IF($B$6="W",BM23,BM22),"0")</f>
        <v>0</v>
      </c>
      <c r="BN27" s="49" t="s">
        <v>54</v>
      </c>
      <c r="BO27" s="12">
        <f>IFERROR(IF($B$6="W",BO23,BO22),"0")</f>
        <v>0</v>
      </c>
      <c r="BP27" s="33" t="s">
        <v>52</v>
      </c>
      <c r="BQ27" s="49">
        <f>IFERROR(IF($B$6="W",BQ23,BQ22),"0")</f>
        <v>0</v>
      </c>
      <c r="BR27" s="12" t="s">
        <v>53</v>
      </c>
      <c r="BS27" s="33">
        <f>IFERROR(IF($B$6="W",BS23,BS22),"0")</f>
        <v>0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0</v>
      </c>
      <c r="CB27" s="33" t="s">
        <v>52</v>
      </c>
      <c r="CC27" s="49">
        <f>IFERROR(IF($B$6="W",CC23,CC22),"0")</f>
        <v>0</v>
      </c>
      <c r="CD27" s="12" t="s">
        <v>53</v>
      </c>
      <c r="CE27" s="33">
        <f>IFERROR(IF($B$6="W",CE23,CE22),"0")</f>
        <v>0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2</v>
      </c>
      <c r="CK27" s="33">
        <f t="shared" si="126"/>
        <v>7</v>
      </c>
      <c r="CL27" s="33">
        <f t="shared" si="126"/>
        <v>0</v>
      </c>
      <c r="CM27" s="33">
        <f t="shared" si="126"/>
        <v>0</v>
      </c>
      <c r="CN27" s="33">
        <f t="shared" si="126"/>
        <v>9</v>
      </c>
      <c r="CO27" s="33">
        <f t="shared" si="126"/>
        <v>2</v>
      </c>
      <c r="CP27" s="33">
        <f t="shared" si="126"/>
        <v>1</v>
      </c>
      <c r="CQ27" s="33">
        <f t="shared" si="126"/>
        <v>4</v>
      </c>
      <c r="CR27" s="33">
        <f t="shared" si="126"/>
        <v>2</v>
      </c>
      <c r="CS27" s="33">
        <f t="shared" si="126"/>
        <v>0</v>
      </c>
      <c r="CT27" s="33">
        <f t="shared" si="126"/>
        <v>8</v>
      </c>
      <c r="CU27" s="33">
        <f t="shared" si="126"/>
        <v>0</v>
      </c>
      <c r="CV27" s="58">
        <f t="shared" si="126"/>
        <v>6.45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13.749520514765209</v>
      </c>
      <c r="EW27" s="228" t="s">
        <v>75</v>
      </c>
      <c r="EX27" s="6">
        <f t="shared" si="94"/>
        <v>1.45</v>
      </c>
      <c r="EY27" s="6">
        <f t="shared" si="95"/>
        <v>2</v>
      </c>
      <c r="EZ27" s="6">
        <f t="shared" si="125"/>
        <v>2.7395</v>
      </c>
    </row>
    <row r="28" spans="1:197" ht="17" thickBot="1" x14ac:dyDescent="0.25">
      <c r="C28" s="228" t="s">
        <v>76</v>
      </c>
      <c r="D28" s="28">
        <f>IFERROR(IF(B7="W",D23,D22),"0")</f>
        <v>32.839999999999996</v>
      </c>
      <c r="E28" s="86">
        <f t="shared" si="96"/>
        <v>9</v>
      </c>
      <c r="F28" s="33" t="s">
        <v>52</v>
      </c>
      <c r="G28" s="49">
        <f t="shared" si="97"/>
        <v>17</v>
      </c>
      <c r="H28" s="12" t="s">
        <v>53</v>
      </c>
      <c r="I28" s="33">
        <f t="shared" si="98"/>
        <v>5</v>
      </c>
      <c r="J28" s="49" t="s">
        <v>54</v>
      </c>
      <c r="K28" s="12">
        <f t="shared" si="99"/>
        <v>4</v>
      </c>
      <c r="L28" s="33" t="s">
        <v>52</v>
      </c>
      <c r="M28" s="49">
        <f t="shared" si="100"/>
        <v>7</v>
      </c>
      <c r="N28" s="12" t="s">
        <v>53</v>
      </c>
      <c r="O28" s="33">
        <f t="shared" si="101"/>
        <v>3</v>
      </c>
      <c r="P28" s="49" t="s">
        <v>54</v>
      </c>
      <c r="Q28" s="12">
        <f t="shared" si="102"/>
        <v>1</v>
      </c>
      <c r="R28" s="33" t="s">
        <v>52</v>
      </c>
      <c r="S28" s="49">
        <f t="shared" si="103"/>
        <v>1</v>
      </c>
      <c r="T28" s="12" t="s">
        <v>53</v>
      </c>
      <c r="U28" s="33">
        <f t="shared" si="104"/>
        <v>0</v>
      </c>
      <c r="V28" s="49" t="s">
        <v>54</v>
      </c>
      <c r="W28" s="12">
        <f t="shared" si="105"/>
        <v>4</v>
      </c>
      <c r="X28" s="33" t="s">
        <v>52</v>
      </c>
      <c r="Y28" s="49">
        <f t="shared" si="106"/>
        <v>9</v>
      </c>
      <c r="Z28" s="12" t="s">
        <v>53</v>
      </c>
      <c r="AA28" s="33">
        <f t="shared" si="107"/>
        <v>2</v>
      </c>
      <c r="AB28" s="49" t="s">
        <v>54</v>
      </c>
      <c r="AC28" s="12">
        <f t="shared" si="108"/>
        <v>2.4</v>
      </c>
      <c r="AD28" s="33" t="s">
        <v>52</v>
      </c>
      <c r="AE28" s="53">
        <f t="shared" si="109"/>
        <v>3</v>
      </c>
      <c r="AF28" s="12"/>
      <c r="AG28" s="43">
        <f t="shared" si="110"/>
        <v>7</v>
      </c>
      <c r="AH28" s="33" t="s">
        <v>52</v>
      </c>
      <c r="AI28" s="49">
        <f t="shared" si="111"/>
        <v>14</v>
      </c>
      <c r="AJ28" s="12" t="s">
        <v>53</v>
      </c>
      <c r="AK28" s="33">
        <f t="shared" si="112"/>
        <v>5</v>
      </c>
      <c r="AL28" s="49" t="s">
        <v>54</v>
      </c>
      <c r="AM28" s="12">
        <f t="shared" si="113"/>
        <v>4</v>
      </c>
      <c r="AN28" s="33" t="s">
        <v>52</v>
      </c>
      <c r="AO28" s="49">
        <f t="shared" si="114"/>
        <v>7</v>
      </c>
      <c r="AP28" s="12" t="s">
        <v>53</v>
      </c>
      <c r="AQ28" s="33">
        <f t="shared" si="115"/>
        <v>3</v>
      </c>
      <c r="AR28" s="49" t="s">
        <v>54</v>
      </c>
      <c r="AS28" s="12">
        <f t="shared" si="116"/>
        <v>1</v>
      </c>
      <c r="AT28" s="33" t="s">
        <v>52</v>
      </c>
      <c r="AU28" s="49">
        <f t="shared" si="117"/>
        <v>1</v>
      </c>
      <c r="AV28" s="12" t="s">
        <v>53</v>
      </c>
      <c r="AW28" s="33">
        <f t="shared" si="118"/>
        <v>0</v>
      </c>
      <c r="AX28" s="49" t="s">
        <v>54</v>
      </c>
      <c r="AY28" s="12">
        <f t="shared" si="119"/>
        <v>2</v>
      </c>
      <c r="AZ28" s="33" t="s">
        <v>52</v>
      </c>
      <c r="BA28" s="49">
        <f t="shared" si="120"/>
        <v>6</v>
      </c>
      <c r="BB28" s="12" t="s">
        <v>53</v>
      </c>
      <c r="BC28" s="33">
        <f t="shared" si="121"/>
        <v>2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2</v>
      </c>
      <c r="BJ28" s="33" t="s">
        <v>52</v>
      </c>
      <c r="BK28" s="49">
        <f>IFERROR(IF($B$7="W",BK23,BK22),"0")</f>
        <v>3</v>
      </c>
      <c r="BL28" s="12" t="s">
        <v>53</v>
      </c>
      <c r="BM28" s="33">
        <f>IFERROR(IF($B$7="W",BM23,BM22),"0")</f>
        <v>0</v>
      </c>
      <c r="BN28" s="49" t="s">
        <v>54</v>
      </c>
      <c r="BO28" s="12">
        <f>IFERROR(IF($B$7="W",BO23,BO22),"0")</f>
        <v>0</v>
      </c>
      <c r="BP28" s="33" t="s">
        <v>52</v>
      </c>
      <c r="BQ28" s="49">
        <f>IFERROR(IF($B$7="W",BQ23,BQ22),"0")</f>
        <v>0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2</v>
      </c>
      <c r="CB28" s="33" t="s">
        <v>52</v>
      </c>
      <c r="CC28" s="49">
        <f>IFERROR(IF($B$7="W",CC23,CC22),"0")</f>
        <v>3</v>
      </c>
      <c r="CD28" s="12" t="s">
        <v>53</v>
      </c>
      <c r="CE28" s="33">
        <f>IFERROR(IF($B$7="W",CE23,CE22),"0")</f>
        <v>0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1</v>
      </c>
      <c r="CK28" s="33">
        <f t="shared" si="127"/>
        <v>2</v>
      </c>
      <c r="CL28" s="33">
        <f t="shared" si="127"/>
        <v>0</v>
      </c>
      <c r="CM28" s="33">
        <f t="shared" si="127"/>
        <v>0</v>
      </c>
      <c r="CN28" s="33">
        <f t="shared" si="127"/>
        <v>3</v>
      </c>
      <c r="CO28" s="33">
        <f t="shared" si="127"/>
        <v>5</v>
      </c>
      <c r="CP28" s="33">
        <f t="shared" si="127"/>
        <v>4</v>
      </c>
      <c r="CQ28" s="33">
        <f t="shared" si="127"/>
        <v>1</v>
      </c>
      <c r="CR28" s="33">
        <f t="shared" si="127"/>
        <v>3</v>
      </c>
      <c r="CS28" s="33">
        <f t="shared" si="127"/>
        <v>5</v>
      </c>
      <c r="CT28" s="33">
        <f t="shared" si="127"/>
        <v>3</v>
      </c>
      <c r="CU28" s="33">
        <f t="shared" si="127"/>
        <v>1</v>
      </c>
      <c r="CV28" s="58">
        <f t="shared" si="127"/>
        <v>24.4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19.479896013822639</v>
      </c>
      <c r="EW28" s="228" t="s">
        <v>76</v>
      </c>
      <c r="EX28" s="6">
        <f t="shared" si="94"/>
        <v>2.4</v>
      </c>
      <c r="EY28" s="6">
        <f t="shared" si="95"/>
        <v>3</v>
      </c>
      <c r="EZ28" s="6">
        <f t="shared" si="125"/>
        <v>10.151999999999999</v>
      </c>
    </row>
    <row r="29" spans="1:197" x14ac:dyDescent="0.2">
      <c r="C29" s="228" t="s">
        <v>222</v>
      </c>
      <c r="D29" s="28">
        <f>IFERROR(IF(B8="W",D23,D22),"0")</f>
        <v>32.840000000000003</v>
      </c>
      <c r="E29" s="86">
        <f t="shared" si="96"/>
        <v>2</v>
      </c>
      <c r="F29" s="33" t="s">
        <v>52</v>
      </c>
      <c r="G29" s="49">
        <f t="shared" si="97"/>
        <v>6</v>
      </c>
      <c r="H29" s="12" t="s">
        <v>53</v>
      </c>
      <c r="I29" s="33">
        <f t="shared" si="98"/>
        <v>2</v>
      </c>
      <c r="J29" s="49" t="s">
        <v>54</v>
      </c>
      <c r="K29" s="12">
        <f t="shared" si="99"/>
        <v>1</v>
      </c>
      <c r="L29" s="33" t="s">
        <v>52</v>
      </c>
      <c r="M29" s="49">
        <f t="shared" si="100"/>
        <v>2</v>
      </c>
      <c r="N29" s="12" t="s">
        <v>53</v>
      </c>
      <c r="O29" s="33">
        <f t="shared" si="101"/>
        <v>1</v>
      </c>
      <c r="P29" s="49" t="s">
        <v>54</v>
      </c>
      <c r="Q29" s="12">
        <f t="shared" si="102"/>
        <v>0</v>
      </c>
      <c r="R29" s="33" t="s">
        <v>52</v>
      </c>
      <c r="S29" s="49">
        <f t="shared" si="103"/>
        <v>2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1</v>
      </c>
      <c r="X29" s="33" t="s">
        <v>52</v>
      </c>
      <c r="Y29" s="49">
        <f t="shared" si="106"/>
        <v>2</v>
      </c>
      <c r="Z29" s="12" t="s">
        <v>53</v>
      </c>
      <c r="AA29" s="33">
        <f t="shared" si="107"/>
        <v>1</v>
      </c>
      <c r="AB29" s="49" t="s">
        <v>54</v>
      </c>
      <c r="AC29" s="12">
        <f t="shared" si="108"/>
        <v>1.45</v>
      </c>
      <c r="AD29" s="33" t="s">
        <v>52</v>
      </c>
      <c r="AE29" s="53">
        <f t="shared" si="109"/>
        <v>2</v>
      </c>
      <c r="AF29" s="12"/>
      <c r="AG29" s="43">
        <f t="shared" si="110"/>
        <v>2</v>
      </c>
      <c r="AH29" s="33" t="s">
        <v>52</v>
      </c>
      <c r="AI29" s="49">
        <f t="shared" si="111"/>
        <v>6</v>
      </c>
      <c r="AJ29" s="12" t="s">
        <v>53</v>
      </c>
      <c r="AK29" s="33">
        <f t="shared" si="112"/>
        <v>2</v>
      </c>
      <c r="AL29" s="49" t="s">
        <v>54</v>
      </c>
      <c r="AM29" s="12">
        <f t="shared" si="113"/>
        <v>1</v>
      </c>
      <c r="AN29" s="33" t="s">
        <v>52</v>
      </c>
      <c r="AO29" s="49">
        <f t="shared" si="114"/>
        <v>2</v>
      </c>
      <c r="AP29" s="12" t="s">
        <v>53</v>
      </c>
      <c r="AQ29" s="33">
        <f t="shared" si="115"/>
        <v>1</v>
      </c>
      <c r="AR29" s="49" t="s">
        <v>54</v>
      </c>
      <c r="AS29" s="12">
        <f t="shared" si="116"/>
        <v>0</v>
      </c>
      <c r="AT29" s="33" t="s">
        <v>52</v>
      </c>
      <c r="AU29" s="49">
        <f t="shared" si="117"/>
        <v>2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1</v>
      </c>
      <c r="AZ29" s="33" t="s">
        <v>52</v>
      </c>
      <c r="BA29" s="49">
        <f t="shared" si="120"/>
        <v>2</v>
      </c>
      <c r="BB29" s="12" t="s">
        <v>53</v>
      </c>
      <c r="BC29" s="33">
        <f t="shared" si="121"/>
        <v>1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0</v>
      </c>
      <c r="BJ29" s="33" t="s">
        <v>52</v>
      </c>
      <c r="BK29" s="49">
        <f>IFERROR(IF($B$8="W",BK23,BK22),"0")</f>
        <v>0</v>
      </c>
      <c r="BL29" s="12" t="s">
        <v>53</v>
      </c>
      <c r="BM29" s="33">
        <f>IFERROR(IF($B$8="W",BM23,BM22),"0")</f>
        <v>0</v>
      </c>
      <c r="BN29" s="49" t="s">
        <v>54</v>
      </c>
      <c r="BO29" s="12">
        <f>IFERROR(IF($B$8="W",BO23,BO22),"0")</f>
        <v>0</v>
      </c>
      <c r="BP29" s="33" t="s">
        <v>52</v>
      </c>
      <c r="BQ29" s="49">
        <f>IFERROR(IF($B$8="W",BQ23,BQ22),"0")</f>
        <v>0</v>
      </c>
      <c r="BR29" s="12" t="s">
        <v>53</v>
      </c>
      <c r="BS29" s="33">
        <f>IFERROR(IF($B$8="W",BS23,BS22),"0")</f>
        <v>0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0</v>
      </c>
      <c r="CB29" s="33" t="s">
        <v>52</v>
      </c>
      <c r="CC29" s="49">
        <f>IFERROR(IF($B$8="W",CC23,CC22),"0")</f>
        <v>0</v>
      </c>
      <c r="CD29" s="12" t="s">
        <v>53</v>
      </c>
      <c r="CE29" s="33">
        <f>IFERROR(IF($B$8="W",CE23,CE22),"0")</f>
        <v>0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2</v>
      </c>
      <c r="CK29" s="33">
        <f t="shared" si="128"/>
        <v>7</v>
      </c>
      <c r="CL29" s="33">
        <f t="shared" si="128"/>
        <v>0</v>
      </c>
      <c r="CM29" s="33">
        <f t="shared" si="128"/>
        <v>0</v>
      </c>
      <c r="CN29" s="33">
        <f t="shared" si="128"/>
        <v>9</v>
      </c>
      <c r="CO29" s="33">
        <f t="shared" si="128"/>
        <v>2</v>
      </c>
      <c r="CP29" s="33">
        <f t="shared" si="128"/>
        <v>1</v>
      </c>
      <c r="CQ29" s="33">
        <f t="shared" si="128"/>
        <v>4</v>
      </c>
      <c r="CR29" s="33">
        <f t="shared" si="128"/>
        <v>2</v>
      </c>
      <c r="CS29" s="33">
        <f t="shared" si="128"/>
        <v>0</v>
      </c>
      <c r="CT29" s="33">
        <f t="shared" si="128"/>
        <v>8</v>
      </c>
      <c r="CU29" s="33">
        <f t="shared" si="128"/>
        <v>0</v>
      </c>
      <c r="CV29" s="58">
        <f t="shared" si="128"/>
        <v>6.45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13.749520514765209</v>
      </c>
      <c r="EW29" s="228" t="s">
        <v>222</v>
      </c>
      <c r="EX29" s="6">
        <f t="shared" si="94"/>
        <v>1.45</v>
      </c>
      <c r="EY29" s="6">
        <f t="shared" si="95"/>
        <v>2</v>
      </c>
      <c r="EZ29" s="6">
        <f t="shared" si="125"/>
        <v>2.7395</v>
      </c>
    </row>
    <row r="30" spans="1:197" x14ac:dyDescent="0.2">
      <c r="C30" s="228" t="s">
        <v>77</v>
      </c>
      <c r="D30" s="28">
        <f>IFERROR(IF(B9="W",D23,D22),"0")</f>
        <v>32.840000000000003</v>
      </c>
      <c r="E30" s="86">
        <f t="shared" si="96"/>
        <v>2</v>
      </c>
      <c r="F30" s="33" t="s">
        <v>52</v>
      </c>
      <c r="G30" s="49">
        <f t="shared" si="97"/>
        <v>6</v>
      </c>
      <c r="H30" s="12" t="s">
        <v>53</v>
      </c>
      <c r="I30" s="33">
        <f t="shared" si="98"/>
        <v>2</v>
      </c>
      <c r="J30" s="49" t="s">
        <v>54</v>
      </c>
      <c r="K30" s="12">
        <f t="shared" si="99"/>
        <v>1</v>
      </c>
      <c r="L30" s="33" t="s">
        <v>52</v>
      </c>
      <c r="M30" s="49">
        <f t="shared" si="100"/>
        <v>2</v>
      </c>
      <c r="N30" s="12" t="s">
        <v>53</v>
      </c>
      <c r="O30" s="33">
        <f t="shared" si="101"/>
        <v>1</v>
      </c>
      <c r="P30" s="49" t="s">
        <v>54</v>
      </c>
      <c r="Q30" s="12">
        <f t="shared" si="102"/>
        <v>0</v>
      </c>
      <c r="R30" s="33" t="s">
        <v>52</v>
      </c>
      <c r="S30" s="49">
        <f t="shared" si="103"/>
        <v>2</v>
      </c>
      <c r="T30" s="12" t="s">
        <v>53</v>
      </c>
      <c r="U30" s="33">
        <f t="shared" si="104"/>
        <v>0</v>
      </c>
      <c r="V30" s="49" t="s">
        <v>54</v>
      </c>
      <c r="W30" s="12">
        <f t="shared" si="105"/>
        <v>1</v>
      </c>
      <c r="X30" s="33" t="s">
        <v>52</v>
      </c>
      <c r="Y30" s="49">
        <f t="shared" si="106"/>
        <v>2</v>
      </c>
      <c r="Z30" s="12" t="s">
        <v>53</v>
      </c>
      <c r="AA30" s="33">
        <f t="shared" si="107"/>
        <v>1</v>
      </c>
      <c r="AB30" s="49" t="s">
        <v>54</v>
      </c>
      <c r="AC30" s="12">
        <f t="shared" si="108"/>
        <v>1.45</v>
      </c>
      <c r="AD30" s="33" t="s">
        <v>52</v>
      </c>
      <c r="AE30" s="53">
        <f t="shared" si="109"/>
        <v>2</v>
      </c>
      <c r="AF30" s="12"/>
      <c r="AG30" s="43">
        <f t="shared" si="110"/>
        <v>2</v>
      </c>
      <c r="AH30" s="33" t="s">
        <v>52</v>
      </c>
      <c r="AI30" s="49">
        <f t="shared" si="111"/>
        <v>6</v>
      </c>
      <c r="AJ30" s="12" t="s">
        <v>53</v>
      </c>
      <c r="AK30" s="33">
        <f t="shared" si="112"/>
        <v>2</v>
      </c>
      <c r="AL30" s="49" t="s">
        <v>54</v>
      </c>
      <c r="AM30" s="12">
        <f t="shared" si="113"/>
        <v>1</v>
      </c>
      <c r="AN30" s="33" t="s">
        <v>52</v>
      </c>
      <c r="AO30" s="49">
        <f t="shared" si="114"/>
        <v>2</v>
      </c>
      <c r="AP30" s="12" t="s">
        <v>53</v>
      </c>
      <c r="AQ30" s="33">
        <f t="shared" si="115"/>
        <v>1</v>
      </c>
      <c r="AR30" s="49" t="s">
        <v>54</v>
      </c>
      <c r="AS30" s="12">
        <f t="shared" si="116"/>
        <v>0</v>
      </c>
      <c r="AT30" s="33" t="s">
        <v>52</v>
      </c>
      <c r="AU30" s="49">
        <f t="shared" si="117"/>
        <v>2</v>
      </c>
      <c r="AV30" s="12" t="s">
        <v>53</v>
      </c>
      <c r="AW30" s="33">
        <f t="shared" si="118"/>
        <v>0</v>
      </c>
      <c r="AX30" s="49" t="s">
        <v>54</v>
      </c>
      <c r="AY30" s="12">
        <f t="shared" si="119"/>
        <v>1</v>
      </c>
      <c r="AZ30" s="33" t="s">
        <v>52</v>
      </c>
      <c r="BA30" s="49">
        <f t="shared" si="120"/>
        <v>2</v>
      </c>
      <c r="BB30" s="12" t="s">
        <v>53</v>
      </c>
      <c r="BC30" s="33">
        <f t="shared" si="121"/>
        <v>1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0</v>
      </c>
      <c r="BJ30" s="33" t="s">
        <v>52</v>
      </c>
      <c r="BK30" s="49">
        <f>IFERROR(IF($B$9="W",BK23,BK22),"0")</f>
        <v>0</v>
      </c>
      <c r="BL30" s="12" t="s">
        <v>53</v>
      </c>
      <c r="BM30" s="33">
        <f>IFERROR(IF($B$9="W",BM23,BM22),"0")</f>
        <v>0</v>
      </c>
      <c r="BN30" s="49" t="s">
        <v>54</v>
      </c>
      <c r="BO30" s="12">
        <f>IFERROR(IF($B$9="W",BO23,BO22),"0")</f>
        <v>0</v>
      </c>
      <c r="BP30" s="33" t="s">
        <v>52</v>
      </c>
      <c r="BQ30" s="49">
        <f>IFERROR(IF($B$9="W",BQ23,BQ22),"0")</f>
        <v>0</v>
      </c>
      <c r="BR30" s="12" t="s">
        <v>53</v>
      </c>
      <c r="BS30" s="33">
        <f>IFERROR(IF($B$9="W",BS23,BS22),"0")</f>
        <v>0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0</v>
      </c>
      <c r="CB30" s="33" t="s">
        <v>52</v>
      </c>
      <c r="CC30" s="49">
        <f>IFERROR(IF($B$9="W",CC23,CC22),"0")</f>
        <v>0</v>
      </c>
      <c r="CD30" s="12" t="s">
        <v>53</v>
      </c>
      <c r="CE30" s="33">
        <f>IFERROR(IF($B$9="W",CE23,CE22),"0")</f>
        <v>0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2</v>
      </c>
      <c r="CK30" s="33">
        <f t="shared" si="129"/>
        <v>7</v>
      </c>
      <c r="CL30" s="33">
        <f t="shared" si="129"/>
        <v>0</v>
      </c>
      <c r="CM30" s="33">
        <f t="shared" si="129"/>
        <v>0</v>
      </c>
      <c r="CN30" s="33">
        <f t="shared" si="129"/>
        <v>9</v>
      </c>
      <c r="CO30" s="33">
        <f t="shared" si="129"/>
        <v>2</v>
      </c>
      <c r="CP30" s="33">
        <f t="shared" si="129"/>
        <v>1</v>
      </c>
      <c r="CQ30" s="33">
        <f t="shared" si="129"/>
        <v>4</v>
      </c>
      <c r="CR30" s="33">
        <f t="shared" si="129"/>
        <v>2</v>
      </c>
      <c r="CS30" s="33">
        <f t="shared" si="129"/>
        <v>0</v>
      </c>
      <c r="CT30" s="33">
        <f t="shared" si="129"/>
        <v>8</v>
      </c>
      <c r="CU30" s="33">
        <f t="shared" si="129"/>
        <v>0</v>
      </c>
      <c r="CV30" s="58">
        <f t="shared" si="129"/>
        <v>6.45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13.749520514765209</v>
      </c>
      <c r="EW30" s="228" t="s">
        <v>77</v>
      </c>
      <c r="EX30" s="6">
        <f t="shared" si="94"/>
        <v>1.45</v>
      </c>
      <c r="EY30" s="6">
        <f t="shared" si="95"/>
        <v>2</v>
      </c>
      <c r="EZ30" s="6">
        <f t="shared" si="125"/>
        <v>2.7395</v>
      </c>
    </row>
    <row r="31" spans="1:197" ht="17" thickBot="1" x14ac:dyDescent="0.25">
      <c r="C31" s="228" t="s">
        <v>78</v>
      </c>
      <c r="D31" s="28">
        <f>IFERROR(IF(B10="W",D23,D22),"0")</f>
        <v>32.840000000000003</v>
      </c>
      <c r="E31" s="86">
        <f t="shared" si="96"/>
        <v>2</v>
      </c>
      <c r="F31" s="33" t="s">
        <v>52</v>
      </c>
      <c r="G31" s="49">
        <f t="shared" si="97"/>
        <v>6</v>
      </c>
      <c r="H31" s="12" t="s">
        <v>53</v>
      </c>
      <c r="I31" s="33">
        <f t="shared" si="98"/>
        <v>2</v>
      </c>
      <c r="J31" s="49" t="s">
        <v>54</v>
      </c>
      <c r="K31" s="12">
        <f t="shared" si="99"/>
        <v>1</v>
      </c>
      <c r="L31" s="33" t="s">
        <v>52</v>
      </c>
      <c r="M31" s="49">
        <f t="shared" si="100"/>
        <v>2</v>
      </c>
      <c r="N31" s="12" t="s">
        <v>53</v>
      </c>
      <c r="O31" s="33">
        <f t="shared" si="101"/>
        <v>1</v>
      </c>
      <c r="P31" s="49" t="s">
        <v>54</v>
      </c>
      <c r="Q31" s="12">
        <f t="shared" si="102"/>
        <v>0</v>
      </c>
      <c r="R31" s="33" t="s">
        <v>52</v>
      </c>
      <c r="S31" s="49">
        <f t="shared" si="103"/>
        <v>2</v>
      </c>
      <c r="T31" s="12" t="s">
        <v>53</v>
      </c>
      <c r="U31" s="33">
        <f t="shared" si="104"/>
        <v>0</v>
      </c>
      <c r="V31" s="49" t="s">
        <v>54</v>
      </c>
      <c r="W31" s="12">
        <f t="shared" si="105"/>
        <v>1</v>
      </c>
      <c r="X31" s="33" t="s">
        <v>52</v>
      </c>
      <c r="Y31" s="49">
        <f t="shared" si="106"/>
        <v>2</v>
      </c>
      <c r="Z31" s="12" t="s">
        <v>53</v>
      </c>
      <c r="AA31" s="33">
        <f t="shared" si="107"/>
        <v>1</v>
      </c>
      <c r="AB31" s="49" t="s">
        <v>54</v>
      </c>
      <c r="AC31" s="12">
        <f t="shared" si="108"/>
        <v>1.45</v>
      </c>
      <c r="AD31" s="33" t="s">
        <v>52</v>
      </c>
      <c r="AE31" s="53">
        <f t="shared" si="109"/>
        <v>2</v>
      </c>
      <c r="AF31" s="12"/>
      <c r="AG31" s="43">
        <f t="shared" si="110"/>
        <v>2</v>
      </c>
      <c r="AH31" s="33" t="s">
        <v>52</v>
      </c>
      <c r="AI31" s="49">
        <f t="shared" si="111"/>
        <v>6</v>
      </c>
      <c r="AJ31" s="12" t="s">
        <v>53</v>
      </c>
      <c r="AK31" s="33">
        <f t="shared" si="112"/>
        <v>2</v>
      </c>
      <c r="AL31" s="49" t="s">
        <v>54</v>
      </c>
      <c r="AM31" s="12">
        <f t="shared" si="113"/>
        <v>1</v>
      </c>
      <c r="AN31" s="33" t="s">
        <v>52</v>
      </c>
      <c r="AO31" s="49">
        <f t="shared" si="114"/>
        <v>2</v>
      </c>
      <c r="AP31" s="12" t="s">
        <v>53</v>
      </c>
      <c r="AQ31" s="33">
        <f t="shared" si="115"/>
        <v>1</v>
      </c>
      <c r="AR31" s="49" t="s">
        <v>54</v>
      </c>
      <c r="AS31" s="12">
        <f t="shared" si="116"/>
        <v>0</v>
      </c>
      <c r="AT31" s="33" t="s">
        <v>52</v>
      </c>
      <c r="AU31" s="49">
        <f t="shared" si="117"/>
        <v>2</v>
      </c>
      <c r="AV31" s="12" t="s">
        <v>53</v>
      </c>
      <c r="AW31" s="33">
        <f t="shared" si="118"/>
        <v>0</v>
      </c>
      <c r="AX31" s="49" t="s">
        <v>54</v>
      </c>
      <c r="AY31" s="12">
        <f t="shared" si="119"/>
        <v>1</v>
      </c>
      <c r="AZ31" s="33" t="s">
        <v>52</v>
      </c>
      <c r="BA31" s="49">
        <f t="shared" si="120"/>
        <v>2</v>
      </c>
      <c r="BB31" s="12" t="s">
        <v>53</v>
      </c>
      <c r="BC31" s="33">
        <f t="shared" si="121"/>
        <v>1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0</v>
      </c>
      <c r="BJ31" s="33" t="s">
        <v>52</v>
      </c>
      <c r="BK31" s="49">
        <f>IFERROR(IF($B$10="W",BK23,BK22),"0")</f>
        <v>0</v>
      </c>
      <c r="BL31" s="12" t="s">
        <v>53</v>
      </c>
      <c r="BM31" s="33">
        <f>IFERROR(IF($B$10="W",BM23,BM22),"0")</f>
        <v>0</v>
      </c>
      <c r="BN31" s="49" t="s">
        <v>54</v>
      </c>
      <c r="BO31" s="12">
        <f>IFERROR(IF($B$10="W",BO23,BO22),"0")</f>
        <v>0</v>
      </c>
      <c r="BP31" s="33" t="s">
        <v>52</v>
      </c>
      <c r="BQ31" s="49">
        <f>IFERROR(IF($B$10="W",BQ23,BQ22),"0")</f>
        <v>0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0</v>
      </c>
      <c r="CB31" s="33" t="s">
        <v>52</v>
      </c>
      <c r="CC31" s="49">
        <f>IFERROR(IF($B$10="W",CC23,CC22),"0")</f>
        <v>0</v>
      </c>
      <c r="CD31" s="12" t="s">
        <v>53</v>
      </c>
      <c r="CE31" s="33">
        <f>IFERROR(IF($B$10="W",CE23,CE22),"0")</f>
        <v>0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2</v>
      </c>
      <c r="CK31" s="33">
        <f t="shared" si="130"/>
        <v>7</v>
      </c>
      <c r="CL31" s="33">
        <f t="shared" si="130"/>
        <v>0</v>
      </c>
      <c r="CM31" s="33">
        <f t="shared" si="130"/>
        <v>0</v>
      </c>
      <c r="CN31" s="33">
        <f t="shared" si="130"/>
        <v>9</v>
      </c>
      <c r="CO31" s="33">
        <f t="shared" si="130"/>
        <v>2</v>
      </c>
      <c r="CP31" s="33">
        <f t="shared" si="130"/>
        <v>1</v>
      </c>
      <c r="CQ31" s="33">
        <f t="shared" si="130"/>
        <v>4</v>
      </c>
      <c r="CR31" s="33">
        <f t="shared" si="130"/>
        <v>2</v>
      </c>
      <c r="CS31" s="33">
        <f t="shared" si="130"/>
        <v>0</v>
      </c>
      <c r="CT31" s="33">
        <f t="shared" si="130"/>
        <v>8</v>
      </c>
      <c r="CU31" s="33">
        <f t="shared" si="130"/>
        <v>0</v>
      </c>
      <c r="CV31" s="58">
        <f t="shared" si="130"/>
        <v>6.45</v>
      </c>
      <c r="CW31" s="33"/>
      <c r="CX31" s="4"/>
      <c r="CY31" s="289">
        <f>(G21-E21)+((SUM(EW4:EW18))-(SUM(EV4:EV18)))</f>
        <v>12</v>
      </c>
      <c r="CZ31" s="290">
        <f>CN21</f>
        <v>12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13.749520514765209</v>
      </c>
      <c r="EW31" s="228" t="s">
        <v>78</v>
      </c>
      <c r="EX31" s="6">
        <f t="shared" si="94"/>
        <v>1.45</v>
      </c>
      <c r="EY31" s="6">
        <f t="shared" si="95"/>
        <v>2</v>
      </c>
      <c r="EZ31" s="6">
        <f t="shared" si="125"/>
        <v>2.7395</v>
      </c>
    </row>
    <row r="32" spans="1:197" x14ac:dyDescent="0.2">
      <c r="C32" s="228" t="s">
        <v>79</v>
      </c>
      <c r="D32" s="28">
        <f>IFERROR(IF(B11="W",D23,D22),"0")</f>
        <v>32.839999999999996</v>
      </c>
      <c r="E32" s="86">
        <f t="shared" si="96"/>
        <v>9</v>
      </c>
      <c r="F32" s="33" t="s">
        <v>52</v>
      </c>
      <c r="G32" s="49">
        <f t="shared" si="97"/>
        <v>17</v>
      </c>
      <c r="H32" s="12" t="s">
        <v>53</v>
      </c>
      <c r="I32" s="33">
        <f t="shared" si="98"/>
        <v>5</v>
      </c>
      <c r="J32" s="49" t="s">
        <v>54</v>
      </c>
      <c r="K32" s="12">
        <f t="shared" si="99"/>
        <v>4</v>
      </c>
      <c r="L32" s="33" t="s">
        <v>52</v>
      </c>
      <c r="M32" s="49">
        <f t="shared" si="100"/>
        <v>7</v>
      </c>
      <c r="N32" s="12" t="s">
        <v>53</v>
      </c>
      <c r="O32" s="33">
        <f t="shared" si="101"/>
        <v>3</v>
      </c>
      <c r="P32" s="49" t="s">
        <v>54</v>
      </c>
      <c r="Q32" s="12">
        <f t="shared" si="102"/>
        <v>1</v>
      </c>
      <c r="R32" s="33" t="s">
        <v>52</v>
      </c>
      <c r="S32" s="49">
        <f t="shared" si="103"/>
        <v>1</v>
      </c>
      <c r="T32" s="12" t="s">
        <v>53</v>
      </c>
      <c r="U32" s="33">
        <f t="shared" si="104"/>
        <v>0</v>
      </c>
      <c r="V32" s="49" t="s">
        <v>54</v>
      </c>
      <c r="W32" s="12">
        <f t="shared" si="105"/>
        <v>4</v>
      </c>
      <c r="X32" s="33" t="s">
        <v>52</v>
      </c>
      <c r="Y32" s="49">
        <f t="shared" si="106"/>
        <v>9</v>
      </c>
      <c r="Z32" s="12" t="s">
        <v>53</v>
      </c>
      <c r="AA32" s="33">
        <f t="shared" si="107"/>
        <v>2</v>
      </c>
      <c r="AB32" s="49" t="s">
        <v>54</v>
      </c>
      <c r="AC32" s="12">
        <f t="shared" si="108"/>
        <v>2.4</v>
      </c>
      <c r="AD32" s="33" t="s">
        <v>52</v>
      </c>
      <c r="AE32" s="53">
        <f t="shared" si="109"/>
        <v>3</v>
      </c>
      <c r="AF32" s="12"/>
      <c r="AG32" s="43">
        <f t="shared" si="110"/>
        <v>7</v>
      </c>
      <c r="AH32" s="33" t="s">
        <v>52</v>
      </c>
      <c r="AI32" s="49">
        <f t="shared" si="111"/>
        <v>14</v>
      </c>
      <c r="AJ32" s="12" t="s">
        <v>53</v>
      </c>
      <c r="AK32" s="33">
        <f t="shared" si="112"/>
        <v>5</v>
      </c>
      <c r="AL32" s="49" t="s">
        <v>54</v>
      </c>
      <c r="AM32" s="12">
        <f t="shared" si="113"/>
        <v>4</v>
      </c>
      <c r="AN32" s="33" t="s">
        <v>52</v>
      </c>
      <c r="AO32" s="49">
        <f t="shared" si="114"/>
        <v>7</v>
      </c>
      <c r="AP32" s="12" t="s">
        <v>53</v>
      </c>
      <c r="AQ32" s="33">
        <f t="shared" si="115"/>
        <v>3</v>
      </c>
      <c r="AR32" s="49" t="s">
        <v>54</v>
      </c>
      <c r="AS32" s="12">
        <f t="shared" si="116"/>
        <v>1</v>
      </c>
      <c r="AT32" s="33" t="s">
        <v>52</v>
      </c>
      <c r="AU32" s="49">
        <f t="shared" si="117"/>
        <v>1</v>
      </c>
      <c r="AV32" s="12" t="s">
        <v>53</v>
      </c>
      <c r="AW32" s="33">
        <f t="shared" si="118"/>
        <v>0</v>
      </c>
      <c r="AX32" s="49" t="s">
        <v>54</v>
      </c>
      <c r="AY32" s="12">
        <f t="shared" si="119"/>
        <v>2</v>
      </c>
      <c r="AZ32" s="33" t="s">
        <v>52</v>
      </c>
      <c r="BA32" s="49">
        <f t="shared" si="120"/>
        <v>6</v>
      </c>
      <c r="BB32" s="12" t="s">
        <v>53</v>
      </c>
      <c r="BC32" s="33">
        <f t="shared" si="121"/>
        <v>2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2</v>
      </c>
      <c r="BJ32" s="33" t="s">
        <v>52</v>
      </c>
      <c r="BK32" s="49">
        <f>IFERROR(IF($B$11="W",BK23,BK22),"0")</f>
        <v>3</v>
      </c>
      <c r="BL32" s="12" t="s">
        <v>53</v>
      </c>
      <c r="BM32" s="33">
        <f>IFERROR(IF($B$11="W",BM23,BM22),"0")</f>
        <v>0</v>
      </c>
      <c r="BN32" s="49" t="s">
        <v>54</v>
      </c>
      <c r="BO32" s="12">
        <f>IFERROR(IF($B$11="W",BO23,BO22),"0")</f>
        <v>0</v>
      </c>
      <c r="BP32" s="33" t="s">
        <v>52</v>
      </c>
      <c r="BQ32" s="49">
        <f>IFERROR(IF($B$11="W",BQ23,BQ22),"0")</f>
        <v>0</v>
      </c>
      <c r="BR32" s="12" t="s">
        <v>53</v>
      </c>
      <c r="BS32" s="33">
        <f>IFERROR(IF($B$11="W",BS23,BS22),"0")</f>
        <v>0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2</v>
      </c>
      <c r="CB32" s="33" t="s">
        <v>52</v>
      </c>
      <c r="CC32" s="49">
        <f>IFERROR(IF($B$11="W",CC23,CC22),"0")</f>
        <v>3</v>
      </c>
      <c r="CD32" s="12" t="s">
        <v>53</v>
      </c>
      <c r="CE32" s="33">
        <f>IFERROR(IF($B$11="W",CE23,CE22),"0")</f>
        <v>0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1</v>
      </c>
      <c r="CK32" s="33">
        <f t="shared" si="131"/>
        <v>2</v>
      </c>
      <c r="CL32" s="33">
        <f t="shared" si="131"/>
        <v>0</v>
      </c>
      <c r="CM32" s="33">
        <f t="shared" si="131"/>
        <v>0</v>
      </c>
      <c r="CN32" s="33">
        <f t="shared" si="131"/>
        <v>3</v>
      </c>
      <c r="CO32" s="33">
        <f t="shared" si="131"/>
        <v>5</v>
      </c>
      <c r="CP32" s="33">
        <f t="shared" si="131"/>
        <v>4</v>
      </c>
      <c r="CQ32" s="33">
        <f t="shared" si="131"/>
        <v>1</v>
      </c>
      <c r="CR32" s="33">
        <f t="shared" si="131"/>
        <v>3</v>
      </c>
      <c r="CS32" s="33">
        <f t="shared" si="131"/>
        <v>5</v>
      </c>
      <c r="CT32" s="33">
        <f t="shared" si="131"/>
        <v>3</v>
      </c>
      <c r="CU32" s="33">
        <f t="shared" si="131"/>
        <v>1</v>
      </c>
      <c r="CV32" s="58">
        <f t="shared" si="131"/>
        <v>24.4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19.479896013822639</v>
      </c>
      <c r="EW32" s="228" t="s">
        <v>79</v>
      </c>
      <c r="EX32" s="6">
        <f t="shared" si="94"/>
        <v>2.4</v>
      </c>
      <c r="EY32" s="6">
        <f t="shared" si="95"/>
        <v>3</v>
      </c>
      <c r="EZ32" s="6">
        <f t="shared" si="125"/>
        <v>10.151999999999999</v>
      </c>
    </row>
    <row r="33" spans="3:156" x14ac:dyDescent="0.2">
      <c r="C33" s="228" t="s">
        <v>114</v>
      </c>
      <c r="D33" s="28">
        <f>IFERROR(IF(B12="W",D23,D22),"0")</f>
        <v>32.839999999999996</v>
      </c>
      <c r="E33" s="86">
        <f t="shared" si="96"/>
        <v>9</v>
      </c>
      <c r="F33" s="33" t="s">
        <v>52</v>
      </c>
      <c r="G33" s="49">
        <f t="shared" si="97"/>
        <v>17</v>
      </c>
      <c r="H33" s="12" t="s">
        <v>53</v>
      </c>
      <c r="I33" s="33">
        <f t="shared" si="98"/>
        <v>5</v>
      </c>
      <c r="J33" s="49" t="s">
        <v>54</v>
      </c>
      <c r="K33" s="12">
        <f t="shared" si="99"/>
        <v>4</v>
      </c>
      <c r="L33" s="33" t="s">
        <v>52</v>
      </c>
      <c r="M33" s="49">
        <f t="shared" si="100"/>
        <v>7</v>
      </c>
      <c r="N33" s="12" t="s">
        <v>53</v>
      </c>
      <c r="O33" s="33">
        <f t="shared" si="101"/>
        <v>3</v>
      </c>
      <c r="P33" s="49" t="s">
        <v>54</v>
      </c>
      <c r="Q33" s="12">
        <f t="shared" si="102"/>
        <v>1</v>
      </c>
      <c r="R33" s="33" t="s">
        <v>52</v>
      </c>
      <c r="S33" s="49">
        <f t="shared" si="103"/>
        <v>1</v>
      </c>
      <c r="T33" s="12" t="s">
        <v>53</v>
      </c>
      <c r="U33" s="33">
        <f t="shared" si="104"/>
        <v>0</v>
      </c>
      <c r="V33" s="49" t="s">
        <v>54</v>
      </c>
      <c r="W33" s="12">
        <f t="shared" si="105"/>
        <v>4</v>
      </c>
      <c r="X33" s="33" t="s">
        <v>52</v>
      </c>
      <c r="Y33" s="49">
        <f t="shared" si="106"/>
        <v>9</v>
      </c>
      <c r="Z33" s="12" t="s">
        <v>53</v>
      </c>
      <c r="AA33" s="33">
        <f t="shared" si="107"/>
        <v>2</v>
      </c>
      <c r="AB33" s="49" t="s">
        <v>54</v>
      </c>
      <c r="AC33" s="12">
        <f t="shared" si="108"/>
        <v>2.4</v>
      </c>
      <c r="AD33" s="33" t="s">
        <v>52</v>
      </c>
      <c r="AE33" s="53">
        <f t="shared" si="109"/>
        <v>3</v>
      </c>
      <c r="AF33" s="12"/>
      <c r="AG33" s="43">
        <f t="shared" si="110"/>
        <v>7</v>
      </c>
      <c r="AH33" s="33" t="s">
        <v>52</v>
      </c>
      <c r="AI33" s="49">
        <f t="shared" si="111"/>
        <v>14</v>
      </c>
      <c r="AJ33" s="12" t="s">
        <v>53</v>
      </c>
      <c r="AK33" s="33">
        <f t="shared" si="112"/>
        <v>5</v>
      </c>
      <c r="AL33" s="49" t="s">
        <v>54</v>
      </c>
      <c r="AM33" s="12">
        <f t="shared" si="113"/>
        <v>4</v>
      </c>
      <c r="AN33" s="33" t="s">
        <v>52</v>
      </c>
      <c r="AO33" s="49">
        <f t="shared" si="114"/>
        <v>7</v>
      </c>
      <c r="AP33" s="12" t="s">
        <v>53</v>
      </c>
      <c r="AQ33" s="33">
        <f t="shared" si="115"/>
        <v>3</v>
      </c>
      <c r="AR33" s="49" t="s">
        <v>54</v>
      </c>
      <c r="AS33" s="12">
        <f t="shared" si="116"/>
        <v>1</v>
      </c>
      <c r="AT33" s="33" t="s">
        <v>52</v>
      </c>
      <c r="AU33" s="49">
        <f t="shared" si="117"/>
        <v>1</v>
      </c>
      <c r="AV33" s="12" t="s">
        <v>53</v>
      </c>
      <c r="AW33" s="33">
        <f t="shared" si="118"/>
        <v>0</v>
      </c>
      <c r="AX33" s="49" t="s">
        <v>54</v>
      </c>
      <c r="AY33" s="12">
        <f t="shared" si="119"/>
        <v>2</v>
      </c>
      <c r="AZ33" s="33" t="s">
        <v>52</v>
      </c>
      <c r="BA33" s="49">
        <f t="shared" si="120"/>
        <v>6</v>
      </c>
      <c r="BB33" s="12" t="s">
        <v>53</v>
      </c>
      <c r="BC33" s="33">
        <f t="shared" si="121"/>
        <v>2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2</v>
      </c>
      <c r="BJ33" s="33" t="s">
        <v>52</v>
      </c>
      <c r="BK33" s="49">
        <f>IFERROR(IF($B$12="W",BK23,BK22),"0")</f>
        <v>3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0</v>
      </c>
      <c r="BP33" s="33" t="s">
        <v>52</v>
      </c>
      <c r="BQ33" s="49">
        <f>IFERROR(IF($B$12="W",BQ23,BQ22),"0")</f>
        <v>0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2</v>
      </c>
      <c r="CB33" s="33" t="s">
        <v>52</v>
      </c>
      <c r="CC33" s="49">
        <f>IFERROR(IF($B$12="W",CC23,CC22),"0")</f>
        <v>3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1</v>
      </c>
      <c r="CK33" s="33">
        <f t="shared" si="132"/>
        <v>2</v>
      </c>
      <c r="CL33" s="33">
        <f t="shared" si="132"/>
        <v>0</v>
      </c>
      <c r="CM33" s="33">
        <f t="shared" si="132"/>
        <v>0</v>
      </c>
      <c r="CN33" s="33">
        <f t="shared" si="132"/>
        <v>3</v>
      </c>
      <c r="CO33" s="33">
        <f t="shared" si="132"/>
        <v>5</v>
      </c>
      <c r="CP33" s="33">
        <f t="shared" si="132"/>
        <v>4</v>
      </c>
      <c r="CQ33" s="33">
        <f t="shared" si="132"/>
        <v>1</v>
      </c>
      <c r="CR33" s="33">
        <f t="shared" si="132"/>
        <v>3</v>
      </c>
      <c r="CS33" s="33">
        <f t="shared" si="132"/>
        <v>5</v>
      </c>
      <c r="CT33" s="33">
        <f t="shared" si="132"/>
        <v>3</v>
      </c>
      <c r="CU33" s="33">
        <f t="shared" si="132"/>
        <v>1</v>
      </c>
      <c r="CV33" s="58">
        <f t="shared" si="132"/>
        <v>24.4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19.479896013822639</v>
      </c>
      <c r="EW33" s="228" t="s">
        <v>114</v>
      </c>
      <c r="EX33" s="6">
        <f t="shared" si="94"/>
        <v>2.4</v>
      </c>
      <c r="EY33" s="6">
        <f t="shared" si="95"/>
        <v>3</v>
      </c>
      <c r="EZ33" s="6">
        <f t="shared" si="125"/>
        <v>10.151999999999999</v>
      </c>
    </row>
    <row r="34" spans="3:156" x14ac:dyDescent="0.2">
      <c r="C34" s="228" t="s">
        <v>223</v>
      </c>
      <c r="D34" s="28">
        <f>IFERROR(IF(B13="W",D23,D22),"0")</f>
        <v>32.839999999999996</v>
      </c>
      <c r="E34" s="86">
        <f t="shared" si="96"/>
        <v>9</v>
      </c>
      <c r="F34" s="33" t="s">
        <v>52</v>
      </c>
      <c r="G34" s="49">
        <f t="shared" si="97"/>
        <v>17</v>
      </c>
      <c r="H34" s="12" t="s">
        <v>53</v>
      </c>
      <c r="I34" s="33">
        <f t="shared" si="98"/>
        <v>5</v>
      </c>
      <c r="J34" s="49" t="s">
        <v>54</v>
      </c>
      <c r="K34" s="12">
        <f t="shared" si="99"/>
        <v>4</v>
      </c>
      <c r="L34" s="33" t="s">
        <v>52</v>
      </c>
      <c r="M34" s="49">
        <f t="shared" si="100"/>
        <v>7</v>
      </c>
      <c r="N34" s="12" t="s">
        <v>53</v>
      </c>
      <c r="O34" s="33">
        <f t="shared" si="101"/>
        <v>3</v>
      </c>
      <c r="P34" s="49" t="s">
        <v>54</v>
      </c>
      <c r="Q34" s="12">
        <f t="shared" si="102"/>
        <v>1</v>
      </c>
      <c r="R34" s="33" t="s">
        <v>52</v>
      </c>
      <c r="S34" s="49">
        <f t="shared" si="103"/>
        <v>1</v>
      </c>
      <c r="T34" s="12" t="s">
        <v>53</v>
      </c>
      <c r="U34" s="33">
        <f t="shared" si="104"/>
        <v>0</v>
      </c>
      <c r="V34" s="49" t="s">
        <v>54</v>
      </c>
      <c r="W34" s="12">
        <f t="shared" si="105"/>
        <v>4</v>
      </c>
      <c r="X34" s="33" t="s">
        <v>52</v>
      </c>
      <c r="Y34" s="49">
        <f t="shared" si="106"/>
        <v>9</v>
      </c>
      <c r="Z34" s="12" t="s">
        <v>53</v>
      </c>
      <c r="AA34" s="33">
        <f t="shared" si="107"/>
        <v>2</v>
      </c>
      <c r="AB34" s="49" t="s">
        <v>54</v>
      </c>
      <c r="AC34" s="12">
        <f t="shared" si="108"/>
        <v>2.4</v>
      </c>
      <c r="AD34" s="33" t="s">
        <v>52</v>
      </c>
      <c r="AE34" s="53">
        <f t="shared" si="109"/>
        <v>3</v>
      </c>
      <c r="AF34" s="12"/>
      <c r="AG34" s="43">
        <f t="shared" si="110"/>
        <v>7</v>
      </c>
      <c r="AH34" s="33" t="s">
        <v>52</v>
      </c>
      <c r="AI34" s="49">
        <f t="shared" si="111"/>
        <v>14</v>
      </c>
      <c r="AJ34" s="12" t="s">
        <v>53</v>
      </c>
      <c r="AK34" s="33">
        <f t="shared" si="112"/>
        <v>5</v>
      </c>
      <c r="AL34" s="49" t="s">
        <v>54</v>
      </c>
      <c r="AM34" s="12">
        <f t="shared" si="113"/>
        <v>4</v>
      </c>
      <c r="AN34" s="33" t="s">
        <v>52</v>
      </c>
      <c r="AO34" s="49">
        <f t="shared" si="114"/>
        <v>7</v>
      </c>
      <c r="AP34" s="12" t="s">
        <v>53</v>
      </c>
      <c r="AQ34" s="33">
        <f t="shared" si="115"/>
        <v>3</v>
      </c>
      <c r="AR34" s="49" t="s">
        <v>54</v>
      </c>
      <c r="AS34" s="12">
        <f t="shared" si="116"/>
        <v>1</v>
      </c>
      <c r="AT34" s="33" t="s">
        <v>52</v>
      </c>
      <c r="AU34" s="49">
        <f t="shared" si="117"/>
        <v>1</v>
      </c>
      <c r="AV34" s="12" t="s">
        <v>53</v>
      </c>
      <c r="AW34" s="33">
        <f t="shared" si="118"/>
        <v>0</v>
      </c>
      <c r="AX34" s="49" t="s">
        <v>54</v>
      </c>
      <c r="AY34" s="12">
        <f t="shared" si="119"/>
        <v>2</v>
      </c>
      <c r="AZ34" s="33" t="s">
        <v>52</v>
      </c>
      <c r="BA34" s="49">
        <f t="shared" si="120"/>
        <v>6</v>
      </c>
      <c r="BB34" s="12" t="s">
        <v>53</v>
      </c>
      <c r="BC34" s="33">
        <f t="shared" si="121"/>
        <v>2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2</v>
      </c>
      <c r="BJ34" s="33" t="s">
        <v>52</v>
      </c>
      <c r="BK34" s="49">
        <f>IFERROR(IF($B$13="W",BK23,BK22),"0")</f>
        <v>3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0</v>
      </c>
      <c r="BP34" s="33" t="s">
        <v>52</v>
      </c>
      <c r="BQ34" s="49">
        <f>IFERROR(IF($B$13="W",BQ23,BQ22),"0")</f>
        <v>0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2</v>
      </c>
      <c r="CB34" s="33" t="s">
        <v>52</v>
      </c>
      <c r="CC34" s="49">
        <f>IFERROR(IF($B$13="W",CC23,CC22),"0")</f>
        <v>3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1</v>
      </c>
      <c r="CK34" s="33">
        <f t="shared" si="133"/>
        <v>2</v>
      </c>
      <c r="CL34" s="33">
        <f t="shared" si="133"/>
        <v>0</v>
      </c>
      <c r="CM34" s="33">
        <f t="shared" si="133"/>
        <v>0</v>
      </c>
      <c r="CN34" s="33">
        <f t="shared" si="133"/>
        <v>3</v>
      </c>
      <c r="CO34" s="33">
        <f t="shared" si="133"/>
        <v>5</v>
      </c>
      <c r="CP34" s="33">
        <f t="shared" si="133"/>
        <v>4</v>
      </c>
      <c r="CQ34" s="33">
        <f t="shared" si="133"/>
        <v>1</v>
      </c>
      <c r="CR34" s="33">
        <f t="shared" si="133"/>
        <v>3</v>
      </c>
      <c r="CS34" s="33">
        <f t="shared" si="133"/>
        <v>5</v>
      </c>
      <c r="CT34" s="33">
        <f t="shared" si="133"/>
        <v>3</v>
      </c>
      <c r="CU34" s="33">
        <f t="shared" si="133"/>
        <v>1</v>
      </c>
      <c r="CV34" s="58">
        <f t="shared" si="133"/>
        <v>24.4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19.479896013822639</v>
      </c>
      <c r="EW34" s="228" t="s">
        <v>223</v>
      </c>
      <c r="EX34" s="6">
        <f t="shared" si="94"/>
        <v>2.4</v>
      </c>
      <c r="EY34" s="6">
        <f t="shared" si="95"/>
        <v>3</v>
      </c>
      <c r="EZ34" s="6">
        <f t="shared" si="125"/>
        <v>10.151999999999999</v>
      </c>
    </row>
    <row r="35" spans="3:156" x14ac:dyDescent="0.2">
      <c r="C35" s="228" t="s">
        <v>80</v>
      </c>
      <c r="D35" s="28">
        <f>IFERROR(IF(B14="W",D23,D22),"0")</f>
        <v>32.839999999999996</v>
      </c>
      <c r="E35" s="86">
        <f t="shared" si="96"/>
        <v>9</v>
      </c>
      <c r="F35" s="33" t="s">
        <v>52</v>
      </c>
      <c r="G35" s="49">
        <f t="shared" si="97"/>
        <v>17</v>
      </c>
      <c r="H35" s="12" t="s">
        <v>53</v>
      </c>
      <c r="I35" s="33">
        <f t="shared" si="98"/>
        <v>5</v>
      </c>
      <c r="J35" s="49" t="s">
        <v>54</v>
      </c>
      <c r="K35" s="12">
        <f t="shared" si="99"/>
        <v>4</v>
      </c>
      <c r="L35" s="33" t="s">
        <v>52</v>
      </c>
      <c r="M35" s="49">
        <f t="shared" si="100"/>
        <v>7</v>
      </c>
      <c r="N35" s="12" t="s">
        <v>53</v>
      </c>
      <c r="O35" s="33">
        <f t="shared" si="101"/>
        <v>3</v>
      </c>
      <c r="P35" s="49" t="s">
        <v>54</v>
      </c>
      <c r="Q35" s="12">
        <f t="shared" si="102"/>
        <v>1</v>
      </c>
      <c r="R35" s="33" t="s">
        <v>52</v>
      </c>
      <c r="S35" s="49">
        <f t="shared" si="103"/>
        <v>1</v>
      </c>
      <c r="T35" s="12" t="s">
        <v>53</v>
      </c>
      <c r="U35" s="33">
        <f t="shared" si="104"/>
        <v>0</v>
      </c>
      <c r="V35" s="49" t="s">
        <v>54</v>
      </c>
      <c r="W35" s="12">
        <f t="shared" si="105"/>
        <v>4</v>
      </c>
      <c r="X35" s="33" t="s">
        <v>52</v>
      </c>
      <c r="Y35" s="49">
        <f t="shared" si="106"/>
        <v>9</v>
      </c>
      <c r="Z35" s="12" t="s">
        <v>53</v>
      </c>
      <c r="AA35" s="33">
        <f t="shared" si="107"/>
        <v>2</v>
      </c>
      <c r="AB35" s="49" t="s">
        <v>54</v>
      </c>
      <c r="AC35" s="12">
        <f t="shared" si="108"/>
        <v>2.4</v>
      </c>
      <c r="AD35" s="33" t="s">
        <v>52</v>
      </c>
      <c r="AE35" s="53">
        <f t="shared" si="109"/>
        <v>3</v>
      </c>
      <c r="AF35" s="12"/>
      <c r="AG35" s="43">
        <f t="shared" si="110"/>
        <v>7</v>
      </c>
      <c r="AH35" s="33" t="s">
        <v>52</v>
      </c>
      <c r="AI35" s="49">
        <f t="shared" si="111"/>
        <v>14</v>
      </c>
      <c r="AJ35" s="12" t="s">
        <v>53</v>
      </c>
      <c r="AK35" s="33">
        <f t="shared" si="112"/>
        <v>5</v>
      </c>
      <c r="AL35" s="49" t="s">
        <v>54</v>
      </c>
      <c r="AM35" s="12">
        <f t="shared" si="113"/>
        <v>4</v>
      </c>
      <c r="AN35" s="33" t="s">
        <v>52</v>
      </c>
      <c r="AO35" s="49">
        <f t="shared" si="114"/>
        <v>7</v>
      </c>
      <c r="AP35" s="12" t="s">
        <v>53</v>
      </c>
      <c r="AQ35" s="33">
        <f t="shared" si="115"/>
        <v>3</v>
      </c>
      <c r="AR35" s="49" t="s">
        <v>54</v>
      </c>
      <c r="AS35" s="12">
        <f t="shared" si="116"/>
        <v>1</v>
      </c>
      <c r="AT35" s="33" t="s">
        <v>52</v>
      </c>
      <c r="AU35" s="49">
        <f t="shared" si="117"/>
        <v>1</v>
      </c>
      <c r="AV35" s="12" t="s">
        <v>53</v>
      </c>
      <c r="AW35" s="33">
        <f t="shared" si="118"/>
        <v>0</v>
      </c>
      <c r="AX35" s="49" t="s">
        <v>54</v>
      </c>
      <c r="AY35" s="12">
        <f t="shared" si="119"/>
        <v>2</v>
      </c>
      <c r="AZ35" s="33" t="s">
        <v>52</v>
      </c>
      <c r="BA35" s="49">
        <f t="shared" si="120"/>
        <v>6</v>
      </c>
      <c r="BB35" s="12" t="s">
        <v>53</v>
      </c>
      <c r="BC35" s="33">
        <f t="shared" si="121"/>
        <v>2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2</v>
      </c>
      <c r="BJ35" s="12" t="str">
        <f t="shared" ref="BJ35:CI35" si="134">IFERROR(IF($B$14="W",BJ23,BJ22),"0")</f>
        <v>-</v>
      </c>
      <c r="BK35" s="49">
        <f t="shared" si="134"/>
        <v>3</v>
      </c>
      <c r="BL35" s="12" t="str">
        <f t="shared" si="134"/>
        <v>(</v>
      </c>
      <c r="BM35" s="33">
        <f t="shared" si="134"/>
        <v>0</v>
      </c>
      <c r="BN35" s="49" t="str">
        <f t="shared" si="134"/>
        <v>)</v>
      </c>
      <c r="BO35" s="12">
        <f t="shared" si="134"/>
        <v>0</v>
      </c>
      <c r="BP35" s="12" t="str">
        <f t="shared" si="134"/>
        <v>-</v>
      </c>
      <c r="BQ35" s="49">
        <f t="shared" si="134"/>
        <v>0</v>
      </c>
      <c r="BR35" s="12" t="str">
        <f t="shared" si="134"/>
        <v>(</v>
      </c>
      <c r="BS35" s="33">
        <f t="shared" si="134"/>
        <v>0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2</v>
      </c>
      <c r="CB35" s="12" t="str">
        <f t="shared" si="134"/>
        <v>-</v>
      </c>
      <c r="CC35" s="49">
        <f t="shared" si="134"/>
        <v>3</v>
      </c>
      <c r="CD35" s="12" t="str">
        <f t="shared" si="134"/>
        <v>(</v>
      </c>
      <c r="CE35" s="33">
        <f t="shared" si="134"/>
        <v>0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1</v>
      </c>
      <c r="CK35" s="33">
        <f t="shared" ref="CK35:CV35" si="135">IFERROR(IF($B$14="W",CK23,CK22),"0")</f>
        <v>2</v>
      </c>
      <c r="CL35" s="33">
        <f t="shared" si="135"/>
        <v>0</v>
      </c>
      <c r="CM35" s="33">
        <f t="shared" si="135"/>
        <v>0</v>
      </c>
      <c r="CN35" s="33">
        <f t="shared" si="135"/>
        <v>3</v>
      </c>
      <c r="CO35" s="33">
        <f t="shared" si="135"/>
        <v>5</v>
      </c>
      <c r="CP35" s="33">
        <f t="shared" si="135"/>
        <v>4</v>
      </c>
      <c r="CQ35" s="33">
        <f t="shared" si="135"/>
        <v>1</v>
      </c>
      <c r="CR35" s="33">
        <f t="shared" si="135"/>
        <v>3</v>
      </c>
      <c r="CS35" s="33">
        <f t="shared" si="135"/>
        <v>5</v>
      </c>
      <c r="CT35" s="33">
        <f t="shared" si="135"/>
        <v>3</v>
      </c>
      <c r="CU35" s="33">
        <f t="shared" si="135"/>
        <v>1</v>
      </c>
      <c r="CV35" s="33">
        <f t="shared" si="135"/>
        <v>24.4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19.479896013822639</v>
      </c>
      <c r="EW35" s="228" t="s">
        <v>80</v>
      </c>
      <c r="EX35" s="6">
        <f t="shared" si="94"/>
        <v>2.4</v>
      </c>
      <c r="EY35" s="6">
        <f t="shared" si="95"/>
        <v>3</v>
      </c>
      <c r="EZ35" s="6">
        <f t="shared" si="125"/>
        <v>10.151999999999999</v>
      </c>
    </row>
    <row r="36" spans="3:156" x14ac:dyDescent="0.2">
      <c r="C36" s="228" t="s">
        <v>224</v>
      </c>
      <c r="D36" s="28">
        <f>IFERROR(IF(B15="W",D23,D22),"0")</f>
        <v>32.839999999999996</v>
      </c>
      <c r="E36" s="86">
        <f t="shared" si="96"/>
        <v>9</v>
      </c>
      <c r="F36" s="33" t="s">
        <v>52</v>
      </c>
      <c r="G36" s="49">
        <f t="shared" si="97"/>
        <v>17</v>
      </c>
      <c r="H36" s="12" t="s">
        <v>53</v>
      </c>
      <c r="I36" s="33">
        <f t="shared" si="98"/>
        <v>5</v>
      </c>
      <c r="J36" s="49" t="s">
        <v>54</v>
      </c>
      <c r="K36" s="12">
        <f t="shared" si="99"/>
        <v>4</v>
      </c>
      <c r="L36" s="33" t="s">
        <v>52</v>
      </c>
      <c r="M36" s="49">
        <f t="shared" si="100"/>
        <v>7</v>
      </c>
      <c r="N36" s="12" t="s">
        <v>53</v>
      </c>
      <c r="O36" s="33">
        <f t="shared" si="101"/>
        <v>3</v>
      </c>
      <c r="P36" s="49" t="s">
        <v>54</v>
      </c>
      <c r="Q36" s="12">
        <f t="shared" si="102"/>
        <v>1</v>
      </c>
      <c r="R36" s="33" t="s">
        <v>52</v>
      </c>
      <c r="S36" s="49">
        <f t="shared" si="103"/>
        <v>1</v>
      </c>
      <c r="T36" s="12" t="s">
        <v>53</v>
      </c>
      <c r="U36" s="33">
        <f t="shared" si="104"/>
        <v>0</v>
      </c>
      <c r="V36" s="49" t="s">
        <v>54</v>
      </c>
      <c r="W36" s="12">
        <f t="shared" si="105"/>
        <v>4</v>
      </c>
      <c r="X36" s="33" t="s">
        <v>52</v>
      </c>
      <c r="Y36" s="49">
        <f t="shared" si="106"/>
        <v>9</v>
      </c>
      <c r="Z36" s="12" t="s">
        <v>53</v>
      </c>
      <c r="AA36" s="33">
        <f t="shared" si="107"/>
        <v>2</v>
      </c>
      <c r="AB36" s="49" t="s">
        <v>54</v>
      </c>
      <c r="AC36" s="12">
        <f t="shared" si="108"/>
        <v>2.4</v>
      </c>
      <c r="AD36" s="33" t="s">
        <v>52</v>
      </c>
      <c r="AE36" s="53">
        <f t="shared" si="109"/>
        <v>3</v>
      </c>
      <c r="AF36" s="12"/>
      <c r="AG36" s="43">
        <f t="shared" si="110"/>
        <v>7</v>
      </c>
      <c r="AH36" s="33" t="s">
        <v>52</v>
      </c>
      <c r="AI36" s="49">
        <f t="shared" si="111"/>
        <v>14</v>
      </c>
      <c r="AJ36" s="12" t="s">
        <v>53</v>
      </c>
      <c r="AK36" s="33">
        <f t="shared" si="112"/>
        <v>5</v>
      </c>
      <c r="AL36" s="49" t="s">
        <v>54</v>
      </c>
      <c r="AM36" s="12">
        <f t="shared" si="113"/>
        <v>4</v>
      </c>
      <c r="AN36" s="33" t="s">
        <v>52</v>
      </c>
      <c r="AO36" s="49">
        <f t="shared" si="114"/>
        <v>7</v>
      </c>
      <c r="AP36" s="12" t="s">
        <v>53</v>
      </c>
      <c r="AQ36" s="33">
        <f t="shared" si="115"/>
        <v>3</v>
      </c>
      <c r="AR36" s="49" t="s">
        <v>54</v>
      </c>
      <c r="AS36" s="12">
        <f t="shared" si="116"/>
        <v>1</v>
      </c>
      <c r="AT36" s="33" t="s">
        <v>52</v>
      </c>
      <c r="AU36" s="49">
        <f t="shared" si="117"/>
        <v>1</v>
      </c>
      <c r="AV36" s="12" t="s">
        <v>53</v>
      </c>
      <c r="AW36" s="33">
        <f t="shared" si="118"/>
        <v>0</v>
      </c>
      <c r="AX36" s="49" t="s">
        <v>54</v>
      </c>
      <c r="AY36" s="12">
        <f t="shared" si="119"/>
        <v>2</v>
      </c>
      <c r="AZ36" s="33" t="s">
        <v>52</v>
      </c>
      <c r="BA36" s="49">
        <f t="shared" si="120"/>
        <v>6</v>
      </c>
      <c r="BB36" s="12" t="s">
        <v>53</v>
      </c>
      <c r="BC36" s="33">
        <f t="shared" si="121"/>
        <v>2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2</v>
      </c>
      <c r="BJ36" s="12" t="str">
        <f t="shared" ref="BJ36:CI36" si="136">IFERROR(IF($B$15="W",BJ23,BJ22),"0")</f>
        <v>-</v>
      </c>
      <c r="BK36" s="49">
        <f t="shared" si="136"/>
        <v>3</v>
      </c>
      <c r="BL36" s="12" t="str">
        <f t="shared" si="136"/>
        <v>(</v>
      </c>
      <c r="BM36" s="33">
        <f t="shared" si="136"/>
        <v>0</v>
      </c>
      <c r="BN36" s="49" t="str">
        <f t="shared" si="136"/>
        <v>)</v>
      </c>
      <c r="BO36" s="12">
        <f t="shared" si="136"/>
        <v>0</v>
      </c>
      <c r="BP36" s="12" t="str">
        <f t="shared" si="136"/>
        <v>-</v>
      </c>
      <c r="BQ36" s="49">
        <f t="shared" si="136"/>
        <v>0</v>
      </c>
      <c r="BR36" s="12" t="str">
        <f t="shared" si="136"/>
        <v>(</v>
      </c>
      <c r="BS36" s="33">
        <f t="shared" si="136"/>
        <v>0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0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2</v>
      </c>
      <c r="CB36" s="12" t="str">
        <f t="shared" si="136"/>
        <v>-</v>
      </c>
      <c r="CC36" s="49">
        <f t="shared" si="136"/>
        <v>3</v>
      </c>
      <c r="CD36" s="12" t="str">
        <f t="shared" si="136"/>
        <v>(</v>
      </c>
      <c r="CE36" s="33">
        <f t="shared" si="136"/>
        <v>0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1</v>
      </c>
      <c r="CK36" s="33">
        <f t="shared" ref="CK36:CV36" si="137">IFERROR(IF($B$15="W",CK23,CK22),"0")</f>
        <v>2</v>
      </c>
      <c r="CL36" s="33">
        <f t="shared" si="137"/>
        <v>0</v>
      </c>
      <c r="CM36" s="33">
        <f t="shared" si="137"/>
        <v>0</v>
      </c>
      <c r="CN36" s="33">
        <f t="shared" si="137"/>
        <v>3</v>
      </c>
      <c r="CO36" s="33">
        <f t="shared" si="137"/>
        <v>5</v>
      </c>
      <c r="CP36" s="33">
        <f t="shared" si="137"/>
        <v>4</v>
      </c>
      <c r="CQ36" s="33">
        <f t="shared" si="137"/>
        <v>1</v>
      </c>
      <c r="CR36" s="33">
        <f t="shared" si="137"/>
        <v>3</v>
      </c>
      <c r="CS36" s="33">
        <f t="shared" si="137"/>
        <v>5</v>
      </c>
      <c r="CT36" s="33">
        <f t="shared" si="137"/>
        <v>3</v>
      </c>
      <c r="CU36" s="33">
        <f t="shared" si="137"/>
        <v>1</v>
      </c>
      <c r="CV36" s="33">
        <f t="shared" si="137"/>
        <v>24.4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19.479896013822639</v>
      </c>
      <c r="EW36" s="228" t="s">
        <v>224</v>
      </c>
      <c r="EX36" s="6">
        <f t="shared" si="94"/>
        <v>2.4</v>
      </c>
      <c r="EY36" s="6">
        <f t="shared" si="95"/>
        <v>3</v>
      </c>
      <c r="EZ36" s="6">
        <f t="shared" si="125"/>
        <v>10.151999999999999</v>
      </c>
    </row>
    <row r="37" spans="3:156" x14ac:dyDescent="0.2">
      <c r="C37" s="228" t="s">
        <v>112</v>
      </c>
      <c r="D37" s="28">
        <f>IFERROR(IF(B16="W",D23,D22),"0")</f>
        <v>32.840000000000003</v>
      </c>
      <c r="E37" s="86">
        <f t="shared" si="96"/>
        <v>2</v>
      </c>
      <c r="F37" s="33" t="s">
        <v>52</v>
      </c>
      <c r="G37" s="49">
        <f t="shared" si="97"/>
        <v>6</v>
      </c>
      <c r="H37" s="12" t="s">
        <v>53</v>
      </c>
      <c r="I37" s="33">
        <f t="shared" si="98"/>
        <v>2</v>
      </c>
      <c r="J37" s="49" t="s">
        <v>54</v>
      </c>
      <c r="K37" s="12">
        <f t="shared" si="99"/>
        <v>1</v>
      </c>
      <c r="L37" s="33" t="s">
        <v>52</v>
      </c>
      <c r="M37" s="49">
        <f t="shared" si="100"/>
        <v>2</v>
      </c>
      <c r="N37" s="12" t="s">
        <v>53</v>
      </c>
      <c r="O37" s="33">
        <f t="shared" si="101"/>
        <v>1</v>
      </c>
      <c r="P37" s="49" t="s">
        <v>54</v>
      </c>
      <c r="Q37" s="12">
        <f t="shared" si="102"/>
        <v>0</v>
      </c>
      <c r="R37" s="33" t="s">
        <v>52</v>
      </c>
      <c r="S37" s="49">
        <f t="shared" si="103"/>
        <v>2</v>
      </c>
      <c r="T37" s="12" t="s">
        <v>53</v>
      </c>
      <c r="U37" s="33">
        <f t="shared" si="104"/>
        <v>0</v>
      </c>
      <c r="V37" s="49" t="s">
        <v>54</v>
      </c>
      <c r="W37" s="12">
        <f t="shared" si="105"/>
        <v>1</v>
      </c>
      <c r="X37" s="33" t="s">
        <v>52</v>
      </c>
      <c r="Y37" s="49">
        <f t="shared" si="106"/>
        <v>2</v>
      </c>
      <c r="Z37" s="12" t="s">
        <v>53</v>
      </c>
      <c r="AA37" s="33">
        <f t="shared" si="107"/>
        <v>1</v>
      </c>
      <c r="AB37" s="49" t="s">
        <v>54</v>
      </c>
      <c r="AC37" s="12">
        <f t="shared" si="108"/>
        <v>1.45</v>
      </c>
      <c r="AD37" s="33" t="s">
        <v>52</v>
      </c>
      <c r="AE37" s="53">
        <f t="shared" si="109"/>
        <v>2</v>
      </c>
      <c r="AF37" s="12"/>
      <c r="AG37" s="43">
        <f t="shared" si="110"/>
        <v>2</v>
      </c>
      <c r="AH37" s="33" t="s">
        <v>52</v>
      </c>
      <c r="AI37" s="49">
        <f t="shared" si="111"/>
        <v>6</v>
      </c>
      <c r="AJ37" s="12" t="s">
        <v>53</v>
      </c>
      <c r="AK37" s="33">
        <f t="shared" si="112"/>
        <v>2</v>
      </c>
      <c r="AL37" s="49" t="s">
        <v>54</v>
      </c>
      <c r="AM37" s="12">
        <f t="shared" si="113"/>
        <v>1</v>
      </c>
      <c r="AN37" s="33" t="s">
        <v>52</v>
      </c>
      <c r="AO37" s="49">
        <f t="shared" si="114"/>
        <v>2</v>
      </c>
      <c r="AP37" s="12" t="s">
        <v>53</v>
      </c>
      <c r="AQ37" s="33">
        <f t="shared" si="115"/>
        <v>1</v>
      </c>
      <c r="AR37" s="49" t="s">
        <v>54</v>
      </c>
      <c r="AS37" s="12">
        <f t="shared" si="116"/>
        <v>0</v>
      </c>
      <c r="AT37" s="33" t="s">
        <v>52</v>
      </c>
      <c r="AU37" s="49">
        <f t="shared" si="117"/>
        <v>2</v>
      </c>
      <c r="AV37" s="12" t="s">
        <v>53</v>
      </c>
      <c r="AW37" s="33">
        <f t="shared" si="118"/>
        <v>0</v>
      </c>
      <c r="AX37" s="49" t="s">
        <v>54</v>
      </c>
      <c r="AY37" s="12">
        <f t="shared" si="119"/>
        <v>1</v>
      </c>
      <c r="AZ37" s="33" t="s">
        <v>52</v>
      </c>
      <c r="BA37" s="49">
        <f t="shared" si="120"/>
        <v>2</v>
      </c>
      <c r="BB37" s="12" t="s">
        <v>53</v>
      </c>
      <c r="BC37" s="33">
        <f t="shared" si="121"/>
        <v>1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0</v>
      </c>
      <c r="BJ37" s="12" t="str">
        <f t="shared" ref="BJ37:CI37" si="138">IFERROR(IF($B$16="W",BJ23,BJ22),"0")</f>
        <v>-</v>
      </c>
      <c r="BK37" s="49">
        <f t="shared" si="138"/>
        <v>0</v>
      </c>
      <c r="BL37" s="12" t="str">
        <f t="shared" si="138"/>
        <v>(</v>
      </c>
      <c r="BM37" s="33">
        <f t="shared" si="138"/>
        <v>0</v>
      </c>
      <c r="BN37" s="49" t="str">
        <f t="shared" si="138"/>
        <v>)</v>
      </c>
      <c r="BO37" s="12">
        <f t="shared" si="138"/>
        <v>0</v>
      </c>
      <c r="BP37" s="12" t="str">
        <f t="shared" si="138"/>
        <v>-</v>
      </c>
      <c r="BQ37" s="49">
        <f t="shared" si="138"/>
        <v>0</v>
      </c>
      <c r="BR37" s="12" t="str">
        <f t="shared" si="138"/>
        <v>(</v>
      </c>
      <c r="BS37" s="33">
        <f t="shared" si="138"/>
        <v>0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0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0</v>
      </c>
      <c r="CB37" s="12" t="str">
        <f t="shared" si="138"/>
        <v>-</v>
      </c>
      <c r="CC37" s="49">
        <f t="shared" si="138"/>
        <v>0</v>
      </c>
      <c r="CD37" s="12" t="str">
        <f t="shared" si="138"/>
        <v>(</v>
      </c>
      <c r="CE37" s="33">
        <f t="shared" si="138"/>
        <v>0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2</v>
      </c>
      <c r="CK37" s="33">
        <f t="shared" ref="CK37:CV37" si="139">IFERROR(IF($B$16="W",CK23,CK22),"0")</f>
        <v>7</v>
      </c>
      <c r="CL37" s="33">
        <f t="shared" si="139"/>
        <v>0</v>
      </c>
      <c r="CM37" s="33">
        <f t="shared" si="139"/>
        <v>0</v>
      </c>
      <c r="CN37" s="33">
        <f t="shared" si="139"/>
        <v>9</v>
      </c>
      <c r="CO37" s="33">
        <f t="shared" si="139"/>
        <v>2</v>
      </c>
      <c r="CP37" s="33">
        <f t="shared" si="139"/>
        <v>1</v>
      </c>
      <c r="CQ37" s="33">
        <f t="shared" si="139"/>
        <v>4</v>
      </c>
      <c r="CR37" s="33">
        <f t="shared" si="139"/>
        <v>2</v>
      </c>
      <c r="CS37" s="33">
        <f t="shared" si="139"/>
        <v>0</v>
      </c>
      <c r="CT37" s="33">
        <f t="shared" si="139"/>
        <v>8</v>
      </c>
      <c r="CU37" s="33">
        <f t="shared" si="139"/>
        <v>0</v>
      </c>
      <c r="CV37" s="33">
        <f t="shared" si="139"/>
        <v>6.45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13.749520514765209</v>
      </c>
      <c r="EW37" s="228" t="s">
        <v>112</v>
      </c>
      <c r="EX37" s="6">
        <f t="shared" si="94"/>
        <v>1.45</v>
      </c>
      <c r="EY37" s="6">
        <f t="shared" si="95"/>
        <v>2</v>
      </c>
      <c r="EZ37" s="6">
        <f>IFERROR(IF(B16="W",$EZ$23,$EZ$22),"0")</f>
        <v>2.7395</v>
      </c>
    </row>
    <row r="38" spans="3:156" x14ac:dyDescent="0.2">
      <c r="C38" s="229" t="s">
        <v>81</v>
      </c>
      <c r="D38" s="28">
        <f>IFERROR(IF(B17="W",D23,D22),"0")</f>
        <v>32.839999999999996</v>
      </c>
      <c r="E38" s="86">
        <f t="shared" si="96"/>
        <v>9</v>
      </c>
      <c r="F38" s="33" t="s">
        <v>52</v>
      </c>
      <c r="G38" s="49">
        <f t="shared" si="97"/>
        <v>17</v>
      </c>
      <c r="H38" s="12" t="s">
        <v>53</v>
      </c>
      <c r="I38" s="33">
        <f t="shared" si="98"/>
        <v>5</v>
      </c>
      <c r="J38" s="49" t="s">
        <v>54</v>
      </c>
      <c r="K38" s="12">
        <f t="shared" si="99"/>
        <v>4</v>
      </c>
      <c r="L38" s="33" t="s">
        <v>52</v>
      </c>
      <c r="M38" s="49">
        <f t="shared" si="100"/>
        <v>7</v>
      </c>
      <c r="N38" s="12" t="s">
        <v>53</v>
      </c>
      <c r="O38" s="33">
        <f t="shared" si="101"/>
        <v>3</v>
      </c>
      <c r="P38" s="49" t="s">
        <v>54</v>
      </c>
      <c r="Q38" s="12">
        <f t="shared" si="102"/>
        <v>1</v>
      </c>
      <c r="R38" s="33" t="s">
        <v>52</v>
      </c>
      <c r="S38" s="49">
        <f t="shared" si="103"/>
        <v>1</v>
      </c>
      <c r="T38" s="12" t="s">
        <v>53</v>
      </c>
      <c r="U38" s="33">
        <f t="shared" si="104"/>
        <v>0</v>
      </c>
      <c r="V38" s="49" t="s">
        <v>54</v>
      </c>
      <c r="W38" s="12">
        <f t="shared" si="105"/>
        <v>4</v>
      </c>
      <c r="X38" s="33" t="s">
        <v>52</v>
      </c>
      <c r="Y38" s="49">
        <f t="shared" si="106"/>
        <v>9</v>
      </c>
      <c r="Z38" s="12" t="s">
        <v>53</v>
      </c>
      <c r="AA38" s="33">
        <f t="shared" si="107"/>
        <v>2</v>
      </c>
      <c r="AB38" s="49" t="s">
        <v>54</v>
      </c>
      <c r="AC38" s="12">
        <f t="shared" si="108"/>
        <v>2.4</v>
      </c>
      <c r="AD38" s="33" t="s">
        <v>52</v>
      </c>
      <c r="AE38" s="53">
        <f t="shared" si="109"/>
        <v>3</v>
      </c>
      <c r="AF38" s="12"/>
      <c r="AG38" s="43">
        <f t="shared" si="110"/>
        <v>7</v>
      </c>
      <c r="AH38" s="33" t="s">
        <v>52</v>
      </c>
      <c r="AI38" s="49">
        <f t="shared" si="111"/>
        <v>14</v>
      </c>
      <c r="AJ38" s="12" t="s">
        <v>53</v>
      </c>
      <c r="AK38" s="33">
        <f t="shared" si="112"/>
        <v>5</v>
      </c>
      <c r="AL38" s="49" t="s">
        <v>54</v>
      </c>
      <c r="AM38" s="12">
        <f t="shared" si="113"/>
        <v>4</v>
      </c>
      <c r="AN38" s="33" t="s">
        <v>52</v>
      </c>
      <c r="AO38" s="49">
        <f t="shared" si="114"/>
        <v>7</v>
      </c>
      <c r="AP38" s="12" t="s">
        <v>53</v>
      </c>
      <c r="AQ38" s="33">
        <f t="shared" si="115"/>
        <v>3</v>
      </c>
      <c r="AR38" s="49" t="s">
        <v>54</v>
      </c>
      <c r="AS38" s="12">
        <f t="shared" si="116"/>
        <v>1</v>
      </c>
      <c r="AT38" s="33" t="s">
        <v>52</v>
      </c>
      <c r="AU38" s="49">
        <f t="shared" si="117"/>
        <v>1</v>
      </c>
      <c r="AV38" s="12" t="s">
        <v>53</v>
      </c>
      <c r="AW38" s="33">
        <f t="shared" si="118"/>
        <v>0</v>
      </c>
      <c r="AX38" s="49" t="s">
        <v>54</v>
      </c>
      <c r="AY38" s="12">
        <f t="shared" si="119"/>
        <v>2</v>
      </c>
      <c r="AZ38" s="33" t="s">
        <v>52</v>
      </c>
      <c r="BA38" s="49">
        <f t="shared" si="120"/>
        <v>6</v>
      </c>
      <c r="BB38" s="12" t="s">
        <v>53</v>
      </c>
      <c r="BC38" s="33">
        <f t="shared" si="121"/>
        <v>2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2</v>
      </c>
      <c r="BJ38" s="12" t="str">
        <f t="shared" ref="BJ38:CI38" si="140">IFERROR(IF($B$17="W",BJ23,BJ22),"0")</f>
        <v>-</v>
      </c>
      <c r="BK38" s="49">
        <f t="shared" si="140"/>
        <v>3</v>
      </c>
      <c r="BL38" s="12" t="str">
        <f t="shared" si="140"/>
        <v>(</v>
      </c>
      <c r="BM38" s="33">
        <f t="shared" si="140"/>
        <v>0</v>
      </c>
      <c r="BN38" s="49" t="str">
        <f t="shared" si="140"/>
        <v>)</v>
      </c>
      <c r="BO38" s="12">
        <f t="shared" si="140"/>
        <v>0</v>
      </c>
      <c r="BP38" s="12" t="str">
        <f t="shared" si="140"/>
        <v>-</v>
      </c>
      <c r="BQ38" s="49">
        <f t="shared" si="140"/>
        <v>0</v>
      </c>
      <c r="BR38" s="12" t="str">
        <f t="shared" si="140"/>
        <v>(</v>
      </c>
      <c r="BS38" s="33">
        <f t="shared" si="140"/>
        <v>0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0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2</v>
      </c>
      <c r="CB38" s="12" t="str">
        <f t="shared" si="140"/>
        <v>-</v>
      </c>
      <c r="CC38" s="49">
        <f t="shared" si="140"/>
        <v>3</v>
      </c>
      <c r="CD38" s="12" t="str">
        <f t="shared" si="140"/>
        <v>(</v>
      </c>
      <c r="CE38" s="33">
        <f t="shared" si="140"/>
        <v>0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1</v>
      </c>
      <c r="CK38" s="33">
        <f t="shared" ref="CK38:CV38" si="141">IFERROR(IF($B$17="W",CK23,CK22),"0")</f>
        <v>2</v>
      </c>
      <c r="CL38" s="33">
        <f t="shared" si="141"/>
        <v>0</v>
      </c>
      <c r="CM38" s="33">
        <f t="shared" si="141"/>
        <v>0</v>
      </c>
      <c r="CN38" s="33">
        <f t="shared" si="141"/>
        <v>3</v>
      </c>
      <c r="CO38" s="33">
        <f t="shared" si="141"/>
        <v>5</v>
      </c>
      <c r="CP38" s="33">
        <f t="shared" si="141"/>
        <v>4</v>
      </c>
      <c r="CQ38" s="33">
        <f t="shared" si="141"/>
        <v>1</v>
      </c>
      <c r="CR38" s="33">
        <f t="shared" si="141"/>
        <v>3</v>
      </c>
      <c r="CS38" s="33">
        <f t="shared" si="141"/>
        <v>5</v>
      </c>
      <c r="CT38" s="33">
        <f t="shared" si="141"/>
        <v>3</v>
      </c>
      <c r="CU38" s="33">
        <f t="shared" si="141"/>
        <v>1</v>
      </c>
      <c r="CV38" s="33">
        <f t="shared" si="141"/>
        <v>24.4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19.479896013822639</v>
      </c>
      <c r="EW38" s="229" t="s">
        <v>81</v>
      </c>
      <c r="EX38" s="6">
        <f t="shared" si="94"/>
        <v>2.4</v>
      </c>
      <c r="EY38" s="6">
        <f t="shared" si="95"/>
        <v>3</v>
      </c>
      <c r="EZ38" s="6">
        <f t="shared" si="125"/>
        <v>10.151999999999999</v>
      </c>
    </row>
    <row r="39" spans="3:156" x14ac:dyDescent="0.2">
      <c r="C39" s="229" t="s">
        <v>225</v>
      </c>
      <c r="D39" s="28">
        <f>IFERROR(IF(B18="W",D23,D22),"0")</f>
        <v>32.840000000000003</v>
      </c>
      <c r="E39" s="86">
        <f t="shared" si="96"/>
        <v>2</v>
      </c>
      <c r="F39" s="33" t="s">
        <v>52</v>
      </c>
      <c r="G39" s="49">
        <f t="shared" si="97"/>
        <v>6</v>
      </c>
      <c r="H39" s="12" t="s">
        <v>53</v>
      </c>
      <c r="I39" s="33">
        <f t="shared" si="98"/>
        <v>2</v>
      </c>
      <c r="J39" s="49" t="s">
        <v>54</v>
      </c>
      <c r="K39" s="12">
        <f t="shared" si="99"/>
        <v>1</v>
      </c>
      <c r="L39" s="33" t="s">
        <v>52</v>
      </c>
      <c r="M39" s="49">
        <f t="shared" si="100"/>
        <v>2</v>
      </c>
      <c r="N39" s="12" t="s">
        <v>53</v>
      </c>
      <c r="O39" s="33">
        <f t="shared" si="101"/>
        <v>1</v>
      </c>
      <c r="P39" s="49" t="s">
        <v>54</v>
      </c>
      <c r="Q39" s="12">
        <f t="shared" si="102"/>
        <v>0</v>
      </c>
      <c r="R39" s="33" t="s">
        <v>52</v>
      </c>
      <c r="S39" s="49">
        <f t="shared" si="103"/>
        <v>2</v>
      </c>
      <c r="T39" s="12" t="s">
        <v>53</v>
      </c>
      <c r="U39" s="33">
        <f t="shared" si="104"/>
        <v>0</v>
      </c>
      <c r="V39" s="49" t="s">
        <v>54</v>
      </c>
      <c r="W39" s="12">
        <f t="shared" si="105"/>
        <v>1</v>
      </c>
      <c r="X39" s="33" t="s">
        <v>52</v>
      </c>
      <c r="Y39" s="49">
        <f t="shared" si="106"/>
        <v>2</v>
      </c>
      <c r="Z39" s="12" t="s">
        <v>53</v>
      </c>
      <c r="AA39" s="33">
        <f t="shared" si="107"/>
        <v>1</v>
      </c>
      <c r="AB39" s="49" t="s">
        <v>54</v>
      </c>
      <c r="AC39" s="12">
        <f t="shared" si="108"/>
        <v>1.45</v>
      </c>
      <c r="AD39" s="33" t="s">
        <v>52</v>
      </c>
      <c r="AE39" s="53">
        <f t="shared" si="109"/>
        <v>2</v>
      </c>
      <c r="AF39" s="12"/>
      <c r="AG39" s="43">
        <f t="shared" si="110"/>
        <v>2</v>
      </c>
      <c r="AH39" s="33" t="s">
        <v>52</v>
      </c>
      <c r="AI39" s="49">
        <f t="shared" si="111"/>
        <v>6</v>
      </c>
      <c r="AJ39" s="12" t="s">
        <v>53</v>
      </c>
      <c r="AK39" s="33">
        <f t="shared" si="112"/>
        <v>2</v>
      </c>
      <c r="AL39" s="49" t="s">
        <v>54</v>
      </c>
      <c r="AM39" s="12">
        <f t="shared" si="113"/>
        <v>1</v>
      </c>
      <c r="AN39" s="33" t="s">
        <v>52</v>
      </c>
      <c r="AO39" s="49">
        <f t="shared" si="114"/>
        <v>2</v>
      </c>
      <c r="AP39" s="12" t="s">
        <v>53</v>
      </c>
      <c r="AQ39" s="33">
        <f t="shared" si="115"/>
        <v>1</v>
      </c>
      <c r="AR39" s="49" t="s">
        <v>54</v>
      </c>
      <c r="AS39" s="12">
        <f t="shared" si="116"/>
        <v>0</v>
      </c>
      <c r="AT39" s="33" t="s">
        <v>52</v>
      </c>
      <c r="AU39" s="49">
        <f t="shared" si="117"/>
        <v>2</v>
      </c>
      <c r="AV39" s="12" t="s">
        <v>53</v>
      </c>
      <c r="AW39" s="33">
        <f t="shared" si="118"/>
        <v>0</v>
      </c>
      <c r="AX39" s="49" t="s">
        <v>54</v>
      </c>
      <c r="AY39" s="12">
        <f t="shared" si="119"/>
        <v>1</v>
      </c>
      <c r="AZ39" s="33" t="s">
        <v>52</v>
      </c>
      <c r="BA39" s="49">
        <f t="shared" si="120"/>
        <v>2</v>
      </c>
      <c r="BB39" s="12" t="s">
        <v>53</v>
      </c>
      <c r="BC39" s="33">
        <f t="shared" si="121"/>
        <v>1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0</v>
      </c>
      <c r="BJ39" s="12" t="str">
        <f t="shared" ref="BJ39:CI39" si="142">IFERROR(IF($B$18="W",BJ23,BJ22),"0")</f>
        <v>-</v>
      </c>
      <c r="BK39" s="49">
        <f t="shared" si="142"/>
        <v>0</v>
      </c>
      <c r="BL39" s="12" t="str">
        <f t="shared" si="142"/>
        <v>(</v>
      </c>
      <c r="BM39" s="33">
        <f t="shared" si="142"/>
        <v>0</v>
      </c>
      <c r="BN39" s="49" t="str">
        <f t="shared" si="142"/>
        <v>)</v>
      </c>
      <c r="BO39" s="12">
        <f t="shared" si="142"/>
        <v>0</v>
      </c>
      <c r="BP39" s="12" t="str">
        <f t="shared" si="142"/>
        <v>-</v>
      </c>
      <c r="BQ39" s="49">
        <f t="shared" si="142"/>
        <v>0</v>
      </c>
      <c r="BR39" s="12" t="str">
        <f t="shared" si="142"/>
        <v>(</v>
      </c>
      <c r="BS39" s="33">
        <f t="shared" si="142"/>
        <v>0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0</v>
      </c>
      <c r="CB39" s="12" t="str">
        <f t="shared" si="142"/>
        <v>-</v>
      </c>
      <c r="CC39" s="49">
        <f t="shared" si="142"/>
        <v>0</v>
      </c>
      <c r="CD39" s="12" t="str">
        <f t="shared" si="142"/>
        <v>(</v>
      </c>
      <c r="CE39" s="33">
        <f t="shared" si="142"/>
        <v>0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2</v>
      </c>
      <c r="CK39" s="33">
        <f t="shared" ref="CK39:CV39" si="143">IFERROR(IF($B$18="W",CK23,CK22),"0")</f>
        <v>7</v>
      </c>
      <c r="CL39" s="33">
        <f t="shared" si="143"/>
        <v>0</v>
      </c>
      <c r="CM39" s="33">
        <f t="shared" si="143"/>
        <v>0</v>
      </c>
      <c r="CN39" s="33">
        <f t="shared" si="143"/>
        <v>9</v>
      </c>
      <c r="CO39" s="33">
        <f t="shared" si="143"/>
        <v>2</v>
      </c>
      <c r="CP39" s="33">
        <f t="shared" si="143"/>
        <v>1</v>
      </c>
      <c r="CQ39" s="33">
        <f t="shared" si="143"/>
        <v>4</v>
      </c>
      <c r="CR39" s="33">
        <f t="shared" si="143"/>
        <v>2</v>
      </c>
      <c r="CS39" s="33">
        <f t="shared" si="143"/>
        <v>0</v>
      </c>
      <c r="CT39" s="33">
        <f t="shared" si="143"/>
        <v>8</v>
      </c>
      <c r="CU39" s="33">
        <f t="shared" si="143"/>
        <v>0</v>
      </c>
      <c r="CV39" s="33">
        <f t="shared" si="143"/>
        <v>6.45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13.749520514765209</v>
      </c>
      <c r="EW39" s="229" t="s">
        <v>225</v>
      </c>
      <c r="EX39" s="6">
        <f t="shared" si="94"/>
        <v>1.45</v>
      </c>
      <c r="EY39" s="6">
        <f t="shared" si="95"/>
        <v>2</v>
      </c>
      <c r="EZ39" s="6">
        <f t="shared" si="125"/>
        <v>2.7395</v>
      </c>
    </row>
    <row r="40" spans="3:156" x14ac:dyDescent="0.2">
      <c r="C40" s="38" t="s">
        <v>42</v>
      </c>
      <c r="D40" s="28">
        <f t="shared" ref="D40:D54" si="144">IFERROR(IF(B4="W",D$22,D$23),"0")</f>
        <v>32.840000000000003</v>
      </c>
      <c r="E40" s="86">
        <f>IFERROR(IF(B4="W",$E$22,$E$23),"0")</f>
        <v>2</v>
      </c>
      <c r="F40" s="33" t="s">
        <v>52</v>
      </c>
      <c r="G40" s="49">
        <f>IFERROR(IF(B4="W",$G$22,$G$23),"0")</f>
        <v>6</v>
      </c>
      <c r="H40" s="12" t="s">
        <v>53</v>
      </c>
      <c r="I40" s="33">
        <f>IFERROR(IF(B4="W",I$22,I$23),"0")</f>
        <v>2</v>
      </c>
      <c r="J40" s="49" t="s">
        <v>54</v>
      </c>
      <c r="K40" s="12">
        <f>IFERROR(IF(B4="W",K$22,K$23),"0")</f>
        <v>1</v>
      </c>
      <c r="L40" s="33" t="s">
        <v>52</v>
      </c>
      <c r="M40" s="49">
        <f>IFERROR(IF(B4="W",M$22,M$23),"0")</f>
        <v>2</v>
      </c>
      <c r="N40" s="12" t="s">
        <v>53</v>
      </c>
      <c r="O40" s="33">
        <f>IFERROR(IF(B4="W",O$22,O$23),"0")</f>
        <v>1</v>
      </c>
      <c r="P40" s="49" t="s">
        <v>54</v>
      </c>
      <c r="Q40" s="12">
        <f>IFERROR(IF(B4="W",Q$22,Q$23),"0")</f>
        <v>0</v>
      </c>
      <c r="R40" s="33" t="s">
        <v>52</v>
      </c>
      <c r="S40" s="49">
        <f>IFERROR(IF(B4="W",S$22,S$23),"0")</f>
        <v>2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1</v>
      </c>
      <c r="X40" s="33" t="s">
        <v>52</v>
      </c>
      <c r="Y40" s="49">
        <f>IFERROR(IF(B4="W",Y$22,Y$23),"0")</f>
        <v>2</v>
      </c>
      <c r="Z40" s="12" t="s">
        <v>53</v>
      </c>
      <c r="AA40" s="33">
        <f>IFERROR(IF(B4="W",AA$22,AA$23),"0")</f>
        <v>1</v>
      </c>
      <c r="AB40" s="49" t="s">
        <v>54</v>
      </c>
      <c r="AC40" s="12">
        <f>IFERROR(IF(B4="W",AC$22,AC$23),"0")</f>
        <v>1.45</v>
      </c>
      <c r="AD40" s="33" t="s">
        <v>52</v>
      </c>
      <c r="AE40" s="53">
        <f>IFERROR(IF(B4="W",AE$22,AE$23),"0")</f>
        <v>2</v>
      </c>
      <c r="AF40" s="12"/>
      <c r="AG40" s="43">
        <f>IFERROR(IF(B4="W",AG$22,AG$23),"0")</f>
        <v>2</v>
      </c>
      <c r="AH40" s="33" t="s">
        <v>52</v>
      </c>
      <c r="AI40" s="49">
        <f>IFERROR(IF(B4="W",AI$22,AI$23),"0")</f>
        <v>6</v>
      </c>
      <c r="AJ40" s="12" t="s">
        <v>53</v>
      </c>
      <c r="AK40" s="33">
        <f>IFERROR(IF(B4="W",AK$22,AK$23),"0")</f>
        <v>2</v>
      </c>
      <c r="AL40" s="49" t="s">
        <v>54</v>
      </c>
      <c r="AM40" s="12">
        <f>IFERROR(IF(B4="W",AM$22,AM$23),"0")</f>
        <v>1</v>
      </c>
      <c r="AN40" s="33" t="s">
        <v>52</v>
      </c>
      <c r="AO40" s="49">
        <f>IFERROR(IF(B4="W",AO$22,AO$23),"0")</f>
        <v>2</v>
      </c>
      <c r="AP40" s="12" t="s">
        <v>53</v>
      </c>
      <c r="AQ40" s="33">
        <f>IFERROR(IF(B4="W",AQ$22,AQ$23),"0")</f>
        <v>1</v>
      </c>
      <c r="AR40" s="49" t="s">
        <v>54</v>
      </c>
      <c r="AS40" s="12">
        <f>IFERROR(IF(B4="W",AS$22,AS$23),"0")</f>
        <v>0</v>
      </c>
      <c r="AT40" s="33" t="s">
        <v>52</v>
      </c>
      <c r="AU40" s="49">
        <f>IFERROR(IF(B4="W",AU$22,AU$23),"0")</f>
        <v>2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1</v>
      </c>
      <c r="AZ40" s="33" t="s">
        <v>52</v>
      </c>
      <c r="BA40" s="49">
        <f>IFERROR(IF(B4="W",BA$22,BA$23),"0")</f>
        <v>2</v>
      </c>
      <c r="BB40" s="12" t="s">
        <v>53</v>
      </c>
      <c r="BC40" s="33">
        <f>IFERROR(IF(B4="W",BC$22,BC$23),"0")</f>
        <v>1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0</v>
      </c>
      <c r="BJ40" s="33" t="s">
        <v>52</v>
      </c>
      <c r="BK40" s="49">
        <f>IFERROR(IF($B$4="W",BK22,BK23),"0")</f>
        <v>0</v>
      </c>
      <c r="BL40" s="12" t="s">
        <v>53</v>
      </c>
      <c r="BM40" s="33">
        <f>IFERROR(IF($B$4="W",BM22,BM23),"0")</f>
        <v>0</v>
      </c>
      <c r="BN40" s="49" t="s">
        <v>54</v>
      </c>
      <c r="BO40" s="12">
        <f>IFERROR(IF($B$4="W",BO22,BO23),"0")</f>
        <v>0</v>
      </c>
      <c r="BP40" s="33" t="s">
        <v>52</v>
      </c>
      <c r="BQ40" s="49">
        <f>IFERROR(IF($B$4="W",BQ22,BQ23),"0")</f>
        <v>0</v>
      </c>
      <c r="BR40" s="12" t="s">
        <v>53</v>
      </c>
      <c r="BS40" s="33">
        <f>IFERROR(IF($B$4="W",BS22,BS23),"0")</f>
        <v>0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0</v>
      </c>
      <c r="CB40" s="33" t="s">
        <v>52</v>
      </c>
      <c r="CC40" s="49">
        <f>IFERROR(IF($B$4="W",CC22,CC23),"0")</f>
        <v>0</v>
      </c>
      <c r="CD40" s="12" t="s">
        <v>53</v>
      </c>
      <c r="CE40" s="33">
        <f>IFERROR(IF($B$4="W",CE22,CE23),"0")</f>
        <v>0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2</v>
      </c>
      <c r="CK40" s="33">
        <f t="shared" si="145"/>
        <v>7</v>
      </c>
      <c r="CL40" s="33">
        <f t="shared" si="145"/>
        <v>0</v>
      </c>
      <c r="CM40" s="33">
        <f t="shared" si="145"/>
        <v>0</v>
      </c>
      <c r="CN40" s="33">
        <f t="shared" si="145"/>
        <v>9</v>
      </c>
      <c r="CO40" s="33">
        <f t="shared" si="145"/>
        <v>2</v>
      </c>
      <c r="CP40" s="33">
        <f t="shared" si="145"/>
        <v>1</v>
      </c>
      <c r="CQ40" s="33">
        <f t="shared" si="145"/>
        <v>4</v>
      </c>
      <c r="CR40" s="33">
        <f t="shared" si="145"/>
        <v>2</v>
      </c>
      <c r="CS40" s="33">
        <f t="shared" si="145"/>
        <v>0</v>
      </c>
      <c r="CT40" s="33">
        <f t="shared" si="145"/>
        <v>8</v>
      </c>
      <c r="CU40" s="33">
        <f t="shared" si="145"/>
        <v>0</v>
      </c>
      <c r="CV40" s="58">
        <f t="shared" si="145"/>
        <v>6.45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13.749520514765209</v>
      </c>
      <c r="EW40" s="38" t="s">
        <v>42</v>
      </c>
      <c r="EX40" s="6">
        <f t="shared" ref="EX40:EX54" si="147">IFERROR(IF(B4="W",$EX$22,$EX$23),"0")</f>
        <v>1.45</v>
      </c>
      <c r="EY40" s="6">
        <f>IFERROR(IF(B4="W",$EY$22,$EY$23),"0")</f>
        <v>2</v>
      </c>
      <c r="EZ40" s="6">
        <f>IFERROR(IF(B4="W",$EZ$22,$EZ$23),"0")</f>
        <v>2.7395</v>
      </c>
    </row>
    <row r="41" spans="3:156" x14ac:dyDescent="0.2">
      <c r="C41" s="38" t="s">
        <v>43</v>
      </c>
      <c r="D41" s="28">
        <f t="shared" si="144"/>
        <v>32.840000000000003</v>
      </c>
      <c r="E41" s="86">
        <f t="shared" ref="E41:E54" si="148">IFERROR(IF(B5="W",$E$22,$E$23),"0")</f>
        <v>2</v>
      </c>
      <c r="F41" s="33" t="s">
        <v>52</v>
      </c>
      <c r="G41" s="49">
        <f t="shared" ref="G41:G54" si="149">IFERROR(IF(B5="W",$G$22,$G$23),"0")</f>
        <v>6</v>
      </c>
      <c r="H41" s="12" t="s">
        <v>53</v>
      </c>
      <c r="I41" s="33">
        <f t="shared" ref="I41:I54" si="150">IFERROR(IF(B5="W",I$22,I$23),"0")</f>
        <v>2</v>
      </c>
      <c r="J41" s="49" t="s">
        <v>54</v>
      </c>
      <c r="K41" s="12">
        <f t="shared" ref="K41:K54" si="151">IFERROR(IF(B5="W",K$22,K$23),"0")</f>
        <v>1</v>
      </c>
      <c r="L41" s="33" t="s">
        <v>52</v>
      </c>
      <c r="M41" s="49">
        <f t="shared" ref="M41:M54" si="152">IFERROR(IF(B5="W",M$22,M$23),"0")</f>
        <v>2</v>
      </c>
      <c r="N41" s="12" t="s">
        <v>53</v>
      </c>
      <c r="O41" s="33">
        <f t="shared" ref="O41:O54" si="153">IFERROR(IF(B5="W",O$22,O$23),"0")</f>
        <v>1</v>
      </c>
      <c r="P41" s="49" t="s">
        <v>54</v>
      </c>
      <c r="Q41" s="12">
        <f t="shared" ref="Q41:Q54" si="154">IFERROR(IF(B5="W",Q$22,Q$23),"0")</f>
        <v>0</v>
      </c>
      <c r="R41" s="33" t="s">
        <v>52</v>
      </c>
      <c r="S41" s="49">
        <f t="shared" ref="S41:S54" si="155">IFERROR(IF(B5="W",S$22,S$23),"0")</f>
        <v>2</v>
      </c>
      <c r="T41" s="12" t="s">
        <v>53</v>
      </c>
      <c r="U41" s="33">
        <f t="shared" ref="U41:U54" si="156">IFERROR(IF(B5="W",U$22,U$23),"0")</f>
        <v>0</v>
      </c>
      <c r="V41" s="49" t="s">
        <v>54</v>
      </c>
      <c r="W41" s="12">
        <f t="shared" ref="W41:W54" si="157">IFERROR(IF(B5="W",W$22,W$23),"0")</f>
        <v>1</v>
      </c>
      <c r="X41" s="33" t="s">
        <v>52</v>
      </c>
      <c r="Y41" s="49">
        <f t="shared" ref="Y41:Y54" si="158">IFERROR(IF(B5="W",Y$22,Y$23),"0")</f>
        <v>2</v>
      </c>
      <c r="Z41" s="12" t="s">
        <v>53</v>
      </c>
      <c r="AA41" s="33">
        <f t="shared" ref="AA41:AA54" si="159">IFERROR(IF(B5="W",AA$22,AA$23),"0")</f>
        <v>1</v>
      </c>
      <c r="AB41" s="49" t="s">
        <v>54</v>
      </c>
      <c r="AC41" s="12">
        <f t="shared" ref="AC41:AC54" si="160">IFERROR(IF(B5="W",AC$22,AC$23),"0")</f>
        <v>1.45</v>
      </c>
      <c r="AD41" s="33" t="s">
        <v>52</v>
      </c>
      <c r="AE41" s="53">
        <f t="shared" ref="AE41:AE54" si="161">IFERROR(IF(B5="W",AE$22,AE$23),"0")</f>
        <v>2</v>
      </c>
      <c r="AF41" s="12"/>
      <c r="AG41" s="43">
        <f t="shared" ref="AG41:AG54" si="162">IFERROR(IF(B5="W",AG$22,AG$23),"0")</f>
        <v>2</v>
      </c>
      <c r="AH41" s="33" t="s">
        <v>52</v>
      </c>
      <c r="AI41" s="49">
        <f t="shared" ref="AI41:AI54" si="163">IFERROR(IF(B5="W",AI$22,AI$23),"0")</f>
        <v>6</v>
      </c>
      <c r="AJ41" s="12" t="s">
        <v>53</v>
      </c>
      <c r="AK41" s="33">
        <f t="shared" ref="AK41:AK54" si="164">IFERROR(IF(B5="W",AK$22,AK$23),"0")</f>
        <v>2</v>
      </c>
      <c r="AL41" s="49" t="s">
        <v>54</v>
      </c>
      <c r="AM41" s="12">
        <f t="shared" ref="AM41:AM54" si="165">IFERROR(IF(B5="W",AM$22,AM$23),"0")</f>
        <v>1</v>
      </c>
      <c r="AN41" s="33" t="s">
        <v>52</v>
      </c>
      <c r="AO41" s="49">
        <f t="shared" ref="AO41:AO54" si="166">IFERROR(IF(B5="W",AO$22,AO$23),"0")</f>
        <v>2</v>
      </c>
      <c r="AP41" s="12" t="s">
        <v>53</v>
      </c>
      <c r="AQ41" s="33">
        <f t="shared" ref="AQ41:AQ54" si="167">IFERROR(IF(B5="W",AQ$22,AQ$23),"0")</f>
        <v>1</v>
      </c>
      <c r="AR41" s="49" t="s">
        <v>54</v>
      </c>
      <c r="AS41" s="12">
        <f t="shared" ref="AS41:AS54" si="168">IFERROR(IF(B5="W",AS$22,AS$23),"0")</f>
        <v>0</v>
      </c>
      <c r="AT41" s="33" t="s">
        <v>52</v>
      </c>
      <c r="AU41" s="49">
        <f t="shared" ref="AU41:AU54" si="169">IFERROR(IF(B5="W",AU$22,AU$23),"0")</f>
        <v>2</v>
      </c>
      <c r="AV41" s="12" t="s">
        <v>53</v>
      </c>
      <c r="AW41" s="33">
        <f t="shared" ref="AW41:AW54" si="170">IFERROR(IF(B5="W",AW$22,AW$23),"0")</f>
        <v>0</v>
      </c>
      <c r="AX41" s="49" t="s">
        <v>54</v>
      </c>
      <c r="AY41" s="12">
        <f t="shared" ref="AY41:AY54" si="171">IFERROR(IF(B5="W",AY$22,AY$23),"0")</f>
        <v>1</v>
      </c>
      <c r="AZ41" s="33" t="s">
        <v>52</v>
      </c>
      <c r="BA41" s="49">
        <f t="shared" ref="BA41:BA54" si="172">IFERROR(IF(B5="W",BA$22,BA$23),"0")</f>
        <v>2</v>
      </c>
      <c r="BB41" s="12" t="s">
        <v>53</v>
      </c>
      <c r="BC41" s="33">
        <f t="shared" ref="BC41:BC54" si="173">IFERROR(IF(B5="W",BC$22,BC$23),"0")</f>
        <v>1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0</v>
      </c>
      <c r="BJ41" s="33" t="s">
        <v>52</v>
      </c>
      <c r="BK41" s="49">
        <f>IFERROR(IF($B$5="W",BK22,BK23),"0")</f>
        <v>0</v>
      </c>
      <c r="BL41" s="12" t="s">
        <v>53</v>
      </c>
      <c r="BM41" s="33">
        <f>IFERROR(IF($B$5="W",BM22,BM23),"0")</f>
        <v>0</v>
      </c>
      <c r="BN41" s="49" t="s">
        <v>54</v>
      </c>
      <c r="BO41" s="12">
        <f>IFERROR(IF($B$5="W",BO22,BO23),"0")</f>
        <v>0</v>
      </c>
      <c r="BP41" s="33" t="s">
        <v>52</v>
      </c>
      <c r="BQ41" s="49">
        <f>IFERROR(IF($B$5="W",BQ22,BQ23),"0")</f>
        <v>0</v>
      </c>
      <c r="BR41" s="12" t="s">
        <v>53</v>
      </c>
      <c r="BS41" s="33">
        <f>IFERROR(IF($B$5="W",BS22,BS23),"0")</f>
        <v>0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0</v>
      </c>
      <c r="CB41" s="33" t="s">
        <v>52</v>
      </c>
      <c r="CC41" s="49">
        <f>IFERROR(IF($B$5="W",CC22,CC23),"0")</f>
        <v>0</v>
      </c>
      <c r="CD41" s="12" t="s">
        <v>53</v>
      </c>
      <c r="CE41" s="33">
        <f>IFERROR(IF($B$5="W",CE22,CE23),"0")</f>
        <v>0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2</v>
      </c>
      <c r="CK41" s="33">
        <f t="shared" si="176"/>
        <v>7</v>
      </c>
      <c r="CL41" s="33">
        <f t="shared" si="176"/>
        <v>0</v>
      </c>
      <c r="CM41" s="33">
        <f t="shared" si="176"/>
        <v>0</v>
      </c>
      <c r="CN41" s="33">
        <f t="shared" si="176"/>
        <v>9</v>
      </c>
      <c r="CO41" s="33">
        <f t="shared" si="176"/>
        <v>2</v>
      </c>
      <c r="CP41" s="33">
        <f t="shared" si="176"/>
        <v>1</v>
      </c>
      <c r="CQ41" s="33">
        <f t="shared" si="176"/>
        <v>4</v>
      </c>
      <c r="CR41" s="33">
        <f t="shared" si="176"/>
        <v>2</v>
      </c>
      <c r="CS41" s="33">
        <f t="shared" si="176"/>
        <v>0</v>
      </c>
      <c r="CT41" s="33">
        <f t="shared" si="176"/>
        <v>8</v>
      </c>
      <c r="CU41" s="33">
        <f t="shared" si="176"/>
        <v>0</v>
      </c>
      <c r="CV41" s="58">
        <f t="shared" si="176"/>
        <v>6.45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13.749520514765209</v>
      </c>
      <c r="EW41" s="38" t="s">
        <v>43</v>
      </c>
      <c r="EX41" s="6">
        <f t="shared" si="147"/>
        <v>1.45</v>
      </c>
      <c r="EY41" s="6">
        <f t="shared" ref="EY41:EY54" si="177">IFERROR(IF(B5="W",$EY$22,$EY$23),"0")</f>
        <v>2</v>
      </c>
      <c r="EZ41" s="6">
        <f t="shared" ref="EZ41:EZ54" si="178">IFERROR(IF(B5="W",$EZ$22,$EZ$23),"0")</f>
        <v>2.7395</v>
      </c>
    </row>
    <row r="42" spans="3:156" x14ac:dyDescent="0.2">
      <c r="C42" s="38" t="s">
        <v>44</v>
      </c>
      <c r="D42" s="28">
        <f t="shared" si="144"/>
        <v>32.839999999999996</v>
      </c>
      <c r="E42" s="86">
        <f t="shared" si="148"/>
        <v>9</v>
      </c>
      <c r="F42" s="33" t="s">
        <v>52</v>
      </c>
      <c r="G42" s="49">
        <f t="shared" si="149"/>
        <v>17</v>
      </c>
      <c r="H42" s="12" t="s">
        <v>53</v>
      </c>
      <c r="I42" s="33">
        <f t="shared" si="150"/>
        <v>5</v>
      </c>
      <c r="J42" s="49" t="s">
        <v>54</v>
      </c>
      <c r="K42" s="12">
        <f t="shared" si="151"/>
        <v>4</v>
      </c>
      <c r="L42" s="33" t="s">
        <v>52</v>
      </c>
      <c r="M42" s="49">
        <f t="shared" si="152"/>
        <v>7</v>
      </c>
      <c r="N42" s="12" t="s">
        <v>53</v>
      </c>
      <c r="O42" s="33">
        <f t="shared" si="153"/>
        <v>3</v>
      </c>
      <c r="P42" s="49" t="s">
        <v>54</v>
      </c>
      <c r="Q42" s="12">
        <f t="shared" si="154"/>
        <v>1</v>
      </c>
      <c r="R42" s="33" t="s">
        <v>52</v>
      </c>
      <c r="S42" s="49">
        <f t="shared" si="155"/>
        <v>1</v>
      </c>
      <c r="T42" s="12" t="s">
        <v>53</v>
      </c>
      <c r="U42" s="33">
        <f t="shared" si="156"/>
        <v>0</v>
      </c>
      <c r="V42" s="49" t="s">
        <v>54</v>
      </c>
      <c r="W42" s="12">
        <f t="shared" si="157"/>
        <v>4</v>
      </c>
      <c r="X42" s="33" t="s">
        <v>52</v>
      </c>
      <c r="Y42" s="49">
        <f t="shared" si="158"/>
        <v>9</v>
      </c>
      <c r="Z42" s="12" t="s">
        <v>53</v>
      </c>
      <c r="AA42" s="33">
        <f t="shared" si="159"/>
        <v>2</v>
      </c>
      <c r="AB42" s="49" t="s">
        <v>54</v>
      </c>
      <c r="AC42" s="12">
        <f t="shared" si="160"/>
        <v>2.4</v>
      </c>
      <c r="AD42" s="33" t="s">
        <v>52</v>
      </c>
      <c r="AE42" s="53">
        <f t="shared" si="161"/>
        <v>3</v>
      </c>
      <c r="AF42" s="12"/>
      <c r="AG42" s="43">
        <f t="shared" si="162"/>
        <v>7</v>
      </c>
      <c r="AH42" s="33" t="s">
        <v>52</v>
      </c>
      <c r="AI42" s="49">
        <f t="shared" si="163"/>
        <v>14</v>
      </c>
      <c r="AJ42" s="12" t="s">
        <v>53</v>
      </c>
      <c r="AK42" s="33">
        <f t="shared" si="164"/>
        <v>5</v>
      </c>
      <c r="AL42" s="49" t="s">
        <v>54</v>
      </c>
      <c r="AM42" s="12">
        <f t="shared" si="165"/>
        <v>4</v>
      </c>
      <c r="AN42" s="33" t="s">
        <v>52</v>
      </c>
      <c r="AO42" s="49">
        <f t="shared" si="166"/>
        <v>7</v>
      </c>
      <c r="AP42" s="12" t="s">
        <v>53</v>
      </c>
      <c r="AQ42" s="33">
        <f t="shared" si="167"/>
        <v>3</v>
      </c>
      <c r="AR42" s="49" t="s">
        <v>54</v>
      </c>
      <c r="AS42" s="12">
        <f t="shared" si="168"/>
        <v>1</v>
      </c>
      <c r="AT42" s="33" t="s">
        <v>52</v>
      </c>
      <c r="AU42" s="49">
        <f t="shared" si="169"/>
        <v>1</v>
      </c>
      <c r="AV42" s="12" t="s">
        <v>53</v>
      </c>
      <c r="AW42" s="33">
        <f t="shared" si="170"/>
        <v>0</v>
      </c>
      <c r="AX42" s="49" t="s">
        <v>54</v>
      </c>
      <c r="AY42" s="12">
        <f t="shared" si="171"/>
        <v>2</v>
      </c>
      <c r="AZ42" s="33" t="s">
        <v>52</v>
      </c>
      <c r="BA42" s="49">
        <f t="shared" si="172"/>
        <v>6</v>
      </c>
      <c r="BB42" s="12" t="s">
        <v>53</v>
      </c>
      <c r="BC42" s="33">
        <f t="shared" si="173"/>
        <v>2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2</v>
      </c>
      <c r="BJ42" s="33" t="s">
        <v>52</v>
      </c>
      <c r="BK42" s="49">
        <f>IFERROR(IF($B$6="W",BK22,BK23),"0")</f>
        <v>3</v>
      </c>
      <c r="BL42" s="12" t="s">
        <v>53</v>
      </c>
      <c r="BM42" s="33">
        <f>IFERROR(IF($B$6="W",BM22,BM23),"0")</f>
        <v>0</v>
      </c>
      <c r="BN42" s="49" t="s">
        <v>54</v>
      </c>
      <c r="BO42" s="12">
        <f>IFERROR(IF($B$6="W",BO22,BO23),"0")</f>
        <v>0</v>
      </c>
      <c r="BP42" s="33" t="s">
        <v>52</v>
      </c>
      <c r="BQ42" s="49">
        <f>IFERROR(IF($B$6="W",BQ22,BQ23),"0")</f>
        <v>0</v>
      </c>
      <c r="BR42" s="12" t="s">
        <v>53</v>
      </c>
      <c r="BS42" s="33">
        <f>IFERROR(IF($B$6="W",BS22,BS23),"0")</f>
        <v>0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2</v>
      </c>
      <c r="CB42" s="33" t="s">
        <v>52</v>
      </c>
      <c r="CC42" s="49">
        <f>IFERROR(IF($B$6="W",CC22,CC23),"0")</f>
        <v>3</v>
      </c>
      <c r="CD42" s="12" t="s">
        <v>53</v>
      </c>
      <c r="CE42" s="33">
        <f>IFERROR(IF($B$6="W",CE22,CE23),"0")</f>
        <v>0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1</v>
      </c>
      <c r="CK42" s="33">
        <f t="shared" si="179"/>
        <v>2</v>
      </c>
      <c r="CL42" s="33">
        <f t="shared" si="179"/>
        <v>0</v>
      </c>
      <c r="CM42" s="33">
        <f t="shared" si="179"/>
        <v>0</v>
      </c>
      <c r="CN42" s="33">
        <f t="shared" si="179"/>
        <v>3</v>
      </c>
      <c r="CO42" s="33">
        <f t="shared" si="179"/>
        <v>5</v>
      </c>
      <c r="CP42" s="33">
        <f t="shared" si="179"/>
        <v>4</v>
      </c>
      <c r="CQ42" s="33">
        <f t="shared" si="179"/>
        <v>1</v>
      </c>
      <c r="CR42" s="33">
        <f t="shared" si="179"/>
        <v>3</v>
      </c>
      <c r="CS42" s="33">
        <f t="shared" si="179"/>
        <v>5</v>
      </c>
      <c r="CT42" s="33">
        <f t="shared" si="179"/>
        <v>3</v>
      </c>
      <c r="CU42" s="33">
        <f t="shared" si="179"/>
        <v>1</v>
      </c>
      <c r="CV42" s="58">
        <f t="shared" si="179"/>
        <v>24.4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19.479896013822639</v>
      </c>
      <c r="EW42" s="38" t="s">
        <v>44</v>
      </c>
      <c r="EX42" s="6">
        <f t="shared" si="147"/>
        <v>2.4</v>
      </c>
      <c r="EY42" s="6">
        <f t="shared" si="177"/>
        <v>3</v>
      </c>
      <c r="EZ42" s="6">
        <f t="shared" si="178"/>
        <v>10.151999999999999</v>
      </c>
    </row>
    <row r="43" spans="3:156" x14ac:dyDescent="0.2">
      <c r="C43" s="38" t="s">
        <v>45</v>
      </c>
      <c r="D43" s="28">
        <f t="shared" si="144"/>
        <v>32.840000000000003</v>
      </c>
      <c r="E43" s="86">
        <f t="shared" si="148"/>
        <v>2</v>
      </c>
      <c r="F43" s="33" t="s">
        <v>52</v>
      </c>
      <c r="G43" s="49">
        <f t="shared" si="149"/>
        <v>6</v>
      </c>
      <c r="H43" s="12" t="s">
        <v>53</v>
      </c>
      <c r="I43" s="33">
        <f t="shared" si="150"/>
        <v>2</v>
      </c>
      <c r="J43" s="49" t="s">
        <v>54</v>
      </c>
      <c r="K43" s="12">
        <f t="shared" si="151"/>
        <v>1</v>
      </c>
      <c r="L43" s="33" t="s">
        <v>52</v>
      </c>
      <c r="M43" s="49">
        <f t="shared" si="152"/>
        <v>2</v>
      </c>
      <c r="N43" s="12" t="s">
        <v>53</v>
      </c>
      <c r="O43" s="33">
        <f t="shared" si="153"/>
        <v>1</v>
      </c>
      <c r="P43" s="49" t="s">
        <v>54</v>
      </c>
      <c r="Q43" s="12">
        <f t="shared" si="154"/>
        <v>0</v>
      </c>
      <c r="R43" s="33" t="s">
        <v>52</v>
      </c>
      <c r="S43" s="49">
        <f t="shared" si="155"/>
        <v>2</v>
      </c>
      <c r="T43" s="12" t="s">
        <v>53</v>
      </c>
      <c r="U43" s="33">
        <f t="shared" si="156"/>
        <v>0</v>
      </c>
      <c r="V43" s="49" t="s">
        <v>54</v>
      </c>
      <c r="W43" s="12">
        <f t="shared" si="157"/>
        <v>1</v>
      </c>
      <c r="X43" s="33" t="s">
        <v>52</v>
      </c>
      <c r="Y43" s="49">
        <f t="shared" si="158"/>
        <v>2</v>
      </c>
      <c r="Z43" s="12" t="s">
        <v>53</v>
      </c>
      <c r="AA43" s="33">
        <f t="shared" si="159"/>
        <v>1</v>
      </c>
      <c r="AB43" s="49" t="s">
        <v>54</v>
      </c>
      <c r="AC43" s="12">
        <f t="shared" si="160"/>
        <v>1.45</v>
      </c>
      <c r="AD43" s="33" t="s">
        <v>52</v>
      </c>
      <c r="AE43" s="53">
        <f t="shared" si="161"/>
        <v>2</v>
      </c>
      <c r="AF43" s="12"/>
      <c r="AG43" s="43">
        <f t="shared" si="162"/>
        <v>2</v>
      </c>
      <c r="AH43" s="33" t="s">
        <v>52</v>
      </c>
      <c r="AI43" s="49">
        <f t="shared" si="163"/>
        <v>6</v>
      </c>
      <c r="AJ43" s="12" t="s">
        <v>53</v>
      </c>
      <c r="AK43" s="33">
        <f t="shared" si="164"/>
        <v>2</v>
      </c>
      <c r="AL43" s="49" t="s">
        <v>54</v>
      </c>
      <c r="AM43" s="12">
        <f t="shared" si="165"/>
        <v>1</v>
      </c>
      <c r="AN43" s="33" t="s">
        <v>52</v>
      </c>
      <c r="AO43" s="49">
        <f t="shared" si="166"/>
        <v>2</v>
      </c>
      <c r="AP43" s="12" t="s">
        <v>53</v>
      </c>
      <c r="AQ43" s="33">
        <f t="shared" si="167"/>
        <v>1</v>
      </c>
      <c r="AR43" s="49" t="s">
        <v>54</v>
      </c>
      <c r="AS43" s="12">
        <f t="shared" si="168"/>
        <v>0</v>
      </c>
      <c r="AT43" s="33" t="s">
        <v>52</v>
      </c>
      <c r="AU43" s="49">
        <f t="shared" si="169"/>
        <v>2</v>
      </c>
      <c r="AV43" s="12" t="s">
        <v>53</v>
      </c>
      <c r="AW43" s="33">
        <f t="shared" si="170"/>
        <v>0</v>
      </c>
      <c r="AX43" s="49" t="s">
        <v>54</v>
      </c>
      <c r="AY43" s="12">
        <f t="shared" si="171"/>
        <v>1</v>
      </c>
      <c r="AZ43" s="33" t="s">
        <v>52</v>
      </c>
      <c r="BA43" s="49">
        <f t="shared" si="172"/>
        <v>2</v>
      </c>
      <c r="BB43" s="12" t="s">
        <v>53</v>
      </c>
      <c r="BC43" s="33">
        <f t="shared" si="173"/>
        <v>1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0</v>
      </c>
      <c r="BJ43" s="33" t="s">
        <v>52</v>
      </c>
      <c r="BK43" s="49">
        <f>IFERROR(IF($B$7="W",BK22,BK23),"0")</f>
        <v>0</v>
      </c>
      <c r="BL43" s="12" t="s">
        <v>53</v>
      </c>
      <c r="BM43" s="33">
        <f>IFERROR(IF($B$7="W",BM22,BM23),"0")</f>
        <v>0</v>
      </c>
      <c r="BN43" s="49" t="s">
        <v>54</v>
      </c>
      <c r="BO43" s="12">
        <f>IFERROR(IF($B$7="W",BO22,BO23),"0")</f>
        <v>0</v>
      </c>
      <c r="BP43" s="33" t="s">
        <v>52</v>
      </c>
      <c r="BQ43" s="49">
        <f>IFERROR(IF($B$7="W",BQ22,BQ23),"0")</f>
        <v>0</v>
      </c>
      <c r="BR43" s="12" t="s">
        <v>53</v>
      </c>
      <c r="BS43" s="33">
        <f>IFERROR(IF($B$7="W",BS22,BS23),"0")</f>
        <v>0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0</v>
      </c>
      <c r="CB43" s="33" t="s">
        <v>52</v>
      </c>
      <c r="CC43" s="49">
        <f>IFERROR(IF($B$7="W",CC22,CC23),"0")</f>
        <v>0</v>
      </c>
      <c r="CD43" s="12" t="s">
        <v>53</v>
      </c>
      <c r="CE43" s="33">
        <f>IFERROR(IF($B$7="W",CE22,CE23),"0")</f>
        <v>0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2</v>
      </c>
      <c r="CK43" s="33">
        <f t="shared" si="180"/>
        <v>7</v>
      </c>
      <c r="CL43" s="33">
        <f t="shared" si="180"/>
        <v>0</v>
      </c>
      <c r="CM43" s="33">
        <f t="shared" si="180"/>
        <v>0</v>
      </c>
      <c r="CN43" s="33">
        <f t="shared" si="180"/>
        <v>9</v>
      </c>
      <c r="CO43" s="33">
        <f t="shared" si="180"/>
        <v>2</v>
      </c>
      <c r="CP43" s="33">
        <f t="shared" si="180"/>
        <v>1</v>
      </c>
      <c r="CQ43" s="33">
        <f t="shared" si="180"/>
        <v>4</v>
      </c>
      <c r="CR43" s="33">
        <f t="shared" si="180"/>
        <v>2</v>
      </c>
      <c r="CS43" s="33">
        <f t="shared" si="180"/>
        <v>0</v>
      </c>
      <c r="CT43" s="33">
        <f t="shared" si="180"/>
        <v>8</v>
      </c>
      <c r="CU43" s="33">
        <f t="shared" si="180"/>
        <v>0</v>
      </c>
      <c r="CV43" s="58">
        <f t="shared" si="180"/>
        <v>6.45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13.749520514765209</v>
      </c>
      <c r="EW43" s="38" t="s">
        <v>45</v>
      </c>
      <c r="EX43" s="6">
        <f t="shared" si="147"/>
        <v>1.45</v>
      </c>
      <c r="EY43" s="6">
        <f t="shared" si="177"/>
        <v>2</v>
      </c>
      <c r="EZ43" s="6">
        <f t="shared" si="178"/>
        <v>2.7395</v>
      </c>
    </row>
    <row r="44" spans="3:156" x14ac:dyDescent="0.2">
      <c r="C44" s="38" t="s">
        <v>226</v>
      </c>
      <c r="D44" s="28">
        <f t="shared" si="144"/>
        <v>32.839999999999996</v>
      </c>
      <c r="E44" s="86">
        <f t="shared" si="148"/>
        <v>9</v>
      </c>
      <c r="F44" s="33" t="s">
        <v>52</v>
      </c>
      <c r="G44" s="49">
        <f t="shared" si="149"/>
        <v>17</v>
      </c>
      <c r="H44" s="12" t="s">
        <v>53</v>
      </c>
      <c r="I44" s="33">
        <f t="shared" si="150"/>
        <v>5</v>
      </c>
      <c r="J44" s="49" t="s">
        <v>54</v>
      </c>
      <c r="K44" s="12">
        <f t="shared" si="151"/>
        <v>4</v>
      </c>
      <c r="L44" s="33" t="s">
        <v>52</v>
      </c>
      <c r="M44" s="49">
        <f t="shared" si="152"/>
        <v>7</v>
      </c>
      <c r="N44" s="12" t="s">
        <v>53</v>
      </c>
      <c r="O44" s="33">
        <f t="shared" si="153"/>
        <v>3</v>
      </c>
      <c r="P44" s="49" t="s">
        <v>54</v>
      </c>
      <c r="Q44" s="12">
        <f t="shared" si="154"/>
        <v>1</v>
      </c>
      <c r="R44" s="33" t="s">
        <v>52</v>
      </c>
      <c r="S44" s="49">
        <f t="shared" si="155"/>
        <v>1</v>
      </c>
      <c r="T44" s="12" t="s">
        <v>53</v>
      </c>
      <c r="U44" s="33">
        <f t="shared" si="156"/>
        <v>0</v>
      </c>
      <c r="V44" s="49" t="s">
        <v>54</v>
      </c>
      <c r="W44" s="12">
        <f t="shared" si="157"/>
        <v>4</v>
      </c>
      <c r="X44" s="33" t="s">
        <v>52</v>
      </c>
      <c r="Y44" s="49">
        <f t="shared" si="158"/>
        <v>9</v>
      </c>
      <c r="Z44" s="12" t="s">
        <v>53</v>
      </c>
      <c r="AA44" s="33">
        <f t="shared" si="159"/>
        <v>2</v>
      </c>
      <c r="AB44" s="49" t="s">
        <v>54</v>
      </c>
      <c r="AC44" s="12">
        <f t="shared" si="160"/>
        <v>2.4</v>
      </c>
      <c r="AD44" s="33" t="s">
        <v>52</v>
      </c>
      <c r="AE44" s="53">
        <f t="shared" si="161"/>
        <v>3</v>
      </c>
      <c r="AF44" s="12"/>
      <c r="AG44" s="43">
        <f t="shared" si="162"/>
        <v>7</v>
      </c>
      <c r="AH44" s="33" t="s">
        <v>52</v>
      </c>
      <c r="AI44" s="49">
        <f t="shared" si="163"/>
        <v>14</v>
      </c>
      <c r="AJ44" s="12" t="s">
        <v>53</v>
      </c>
      <c r="AK44" s="33">
        <f t="shared" si="164"/>
        <v>5</v>
      </c>
      <c r="AL44" s="49" t="s">
        <v>54</v>
      </c>
      <c r="AM44" s="12">
        <f t="shared" si="165"/>
        <v>4</v>
      </c>
      <c r="AN44" s="33" t="s">
        <v>52</v>
      </c>
      <c r="AO44" s="49">
        <f t="shared" si="166"/>
        <v>7</v>
      </c>
      <c r="AP44" s="12" t="s">
        <v>53</v>
      </c>
      <c r="AQ44" s="33">
        <f t="shared" si="167"/>
        <v>3</v>
      </c>
      <c r="AR44" s="49" t="s">
        <v>54</v>
      </c>
      <c r="AS44" s="12">
        <f t="shared" si="168"/>
        <v>1</v>
      </c>
      <c r="AT44" s="33" t="s">
        <v>52</v>
      </c>
      <c r="AU44" s="49">
        <f t="shared" si="169"/>
        <v>1</v>
      </c>
      <c r="AV44" s="12" t="s">
        <v>53</v>
      </c>
      <c r="AW44" s="33">
        <f t="shared" si="170"/>
        <v>0</v>
      </c>
      <c r="AX44" s="49" t="s">
        <v>54</v>
      </c>
      <c r="AY44" s="12">
        <f t="shared" si="171"/>
        <v>2</v>
      </c>
      <c r="AZ44" s="33" t="s">
        <v>52</v>
      </c>
      <c r="BA44" s="49">
        <f t="shared" si="172"/>
        <v>6</v>
      </c>
      <c r="BB44" s="12" t="s">
        <v>53</v>
      </c>
      <c r="BC44" s="33">
        <f t="shared" si="173"/>
        <v>2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2</v>
      </c>
      <c r="BJ44" s="33" t="s">
        <v>52</v>
      </c>
      <c r="BK44" s="49">
        <f>IFERROR(IF($B$8="W",BK22,BK23),"0")</f>
        <v>3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0</v>
      </c>
      <c r="BP44" s="33" t="s">
        <v>52</v>
      </c>
      <c r="BQ44" s="49">
        <f>IFERROR(IF($B$8="W",BQ22,BQ23),"0")</f>
        <v>0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2</v>
      </c>
      <c r="CB44" s="33" t="s">
        <v>52</v>
      </c>
      <c r="CC44" s="49">
        <f>IFERROR(IF($B$8="W",CC22,CC23),"0")</f>
        <v>3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1</v>
      </c>
      <c r="CK44" s="33">
        <f t="shared" si="181"/>
        <v>2</v>
      </c>
      <c r="CL44" s="33">
        <f t="shared" si="181"/>
        <v>0</v>
      </c>
      <c r="CM44" s="33">
        <f t="shared" si="181"/>
        <v>0</v>
      </c>
      <c r="CN44" s="33">
        <f t="shared" si="181"/>
        <v>3</v>
      </c>
      <c r="CO44" s="33">
        <f t="shared" si="181"/>
        <v>5</v>
      </c>
      <c r="CP44" s="33">
        <f t="shared" si="181"/>
        <v>4</v>
      </c>
      <c r="CQ44" s="33">
        <f t="shared" si="181"/>
        <v>1</v>
      </c>
      <c r="CR44" s="33">
        <f t="shared" si="181"/>
        <v>3</v>
      </c>
      <c r="CS44" s="33">
        <f t="shared" si="181"/>
        <v>5</v>
      </c>
      <c r="CT44" s="33">
        <f t="shared" si="181"/>
        <v>3</v>
      </c>
      <c r="CU44" s="33">
        <f t="shared" si="181"/>
        <v>1</v>
      </c>
      <c r="CV44" s="58">
        <f t="shared" si="181"/>
        <v>24.4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19.479896013822639</v>
      </c>
      <c r="EW44" s="38" t="s">
        <v>226</v>
      </c>
      <c r="EX44" s="6">
        <f t="shared" si="147"/>
        <v>2.4</v>
      </c>
      <c r="EY44" s="6">
        <f t="shared" si="177"/>
        <v>3</v>
      </c>
      <c r="EZ44" s="6">
        <f t="shared" si="178"/>
        <v>10.151999999999999</v>
      </c>
    </row>
    <row r="45" spans="3:156" x14ac:dyDescent="0.2">
      <c r="C45" s="38" t="s">
        <v>46</v>
      </c>
      <c r="D45" s="28">
        <f t="shared" si="144"/>
        <v>32.839999999999996</v>
      </c>
      <c r="E45" s="86">
        <f t="shared" si="148"/>
        <v>9</v>
      </c>
      <c r="F45" s="33" t="s">
        <v>52</v>
      </c>
      <c r="G45" s="49">
        <f t="shared" si="149"/>
        <v>17</v>
      </c>
      <c r="H45" s="12" t="s">
        <v>53</v>
      </c>
      <c r="I45" s="33">
        <f t="shared" si="150"/>
        <v>5</v>
      </c>
      <c r="J45" s="49" t="s">
        <v>54</v>
      </c>
      <c r="K45" s="12">
        <f t="shared" si="151"/>
        <v>4</v>
      </c>
      <c r="L45" s="33" t="s">
        <v>52</v>
      </c>
      <c r="M45" s="49">
        <f t="shared" si="152"/>
        <v>7</v>
      </c>
      <c r="N45" s="12" t="s">
        <v>53</v>
      </c>
      <c r="O45" s="33">
        <f t="shared" si="153"/>
        <v>3</v>
      </c>
      <c r="P45" s="49" t="s">
        <v>54</v>
      </c>
      <c r="Q45" s="12">
        <f t="shared" si="154"/>
        <v>1</v>
      </c>
      <c r="R45" s="33" t="s">
        <v>52</v>
      </c>
      <c r="S45" s="49">
        <f t="shared" si="155"/>
        <v>1</v>
      </c>
      <c r="T45" s="12" t="s">
        <v>53</v>
      </c>
      <c r="U45" s="33">
        <f t="shared" si="156"/>
        <v>0</v>
      </c>
      <c r="V45" s="49" t="s">
        <v>54</v>
      </c>
      <c r="W45" s="12">
        <f t="shared" si="157"/>
        <v>4</v>
      </c>
      <c r="X45" s="33" t="s">
        <v>52</v>
      </c>
      <c r="Y45" s="49">
        <f t="shared" si="158"/>
        <v>9</v>
      </c>
      <c r="Z45" s="12" t="s">
        <v>53</v>
      </c>
      <c r="AA45" s="33">
        <f t="shared" si="159"/>
        <v>2</v>
      </c>
      <c r="AB45" s="49" t="s">
        <v>54</v>
      </c>
      <c r="AC45" s="12">
        <f t="shared" si="160"/>
        <v>2.4</v>
      </c>
      <c r="AD45" s="33" t="s">
        <v>52</v>
      </c>
      <c r="AE45" s="53">
        <f t="shared" si="161"/>
        <v>3</v>
      </c>
      <c r="AF45" s="12"/>
      <c r="AG45" s="43">
        <f t="shared" si="162"/>
        <v>7</v>
      </c>
      <c r="AH45" s="33" t="s">
        <v>52</v>
      </c>
      <c r="AI45" s="49">
        <f t="shared" si="163"/>
        <v>14</v>
      </c>
      <c r="AJ45" s="12" t="s">
        <v>53</v>
      </c>
      <c r="AK45" s="33">
        <f t="shared" si="164"/>
        <v>5</v>
      </c>
      <c r="AL45" s="49" t="s">
        <v>54</v>
      </c>
      <c r="AM45" s="12">
        <f t="shared" si="165"/>
        <v>4</v>
      </c>
      <c r="AN45" s="33" t="s">
        <v>52</v>
      </c>
      <c r="AO45" s="49">
        <f t="shared" si="166"/>
        <v>7</v>
      </c>
      <c r="AP45" s="12" t="s">
        <v>53</v>
      </c>
      <c r="AQ45" s="33">
        <f t="shared" si="167"/>
        <v>3</v>
      </c>
      <c r="AR45" s="49" t="s">
        <v>54</v>
      </c>
      <c r="AS45" s="12">
        <f t="shared" si="168"/>
        <v>1</v>
      </c>
      <c r="AT45" s="33" t="s">
        <v>52</v>
      </c>
      <c r="AU45" s="49">
        <f t="shared" si="169"/>
        <v>1</v>
      </c>
      <c r="AV45" s="12" t="s">
        <v>53</v>
      </c>
      <c r="AW45" s="33">
        <f t="shared" si="170"/>
        <v>0</v>
      </c>
      <c r="AX45" s="49" t="s">
        <v>54</v>
      </c>
      <c r="AY45" s="12">
        <f t="shared" si="171"/>
        <v>2</v>
      </c>
      <c r="AZ45" s="33" t="s">
        <v>52</v>
      </c>
      <c r="BA45" s="49">
        <f t="shared" si="172"/>
        <v>6</v>
      </c>
      <c r="BB45" s="12" t="s">
        <v>53</v>
      </c>
      <c r="BC45" s="33">
        <f t="shared" si="173"/>
        <v>2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2</v>
      </c>
      <c r="BJ45" s="33" t="s">
        <v>52</v>
      </c>
      <c r="BK45" s="49">
        <f>IFERROR(IF($B$9="W",BK22,BK23),"0")</f>
        <v>3</v>
      </c>
      <c r="BL45" s="12" t="s">
        <v>53</v>
      </c>
      <c r="BM45" s="33">
        <f>IFERROR(IF($B$9="W",BM22,BM23),"0")</f>
        <v>0</v>
      </c>
      <c r="BN45" s="49" t="s">
        <v>54</v>
      </c>
      <c r="BO45" s="12">
        <f>IFERROR(IF($B$9="W",BO22,BO23),"0")</f>
        <v>0</v>
      </c>
      <c r="BP45" s="33" t="s">
        <v>52</v>
      </c>
      <c r="BQ45" s="49">
        <f>IFERROR(IF($B$9="W",BQ22,BQ23),"0")</f>
        <v>0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2</v>
      </c>
      <c r="CB45" s="33" t="s">
        <v>52</v>
      </c>
      <c r="CC45" s="49">
        <f>IFERROR(IF($B$9="W",CC22,CC23),"0")</f>
        <v>3</v>
      </c>
      <c r="CD45" s="12" t="s">
        <v>53</v>
      </c>
      <c r="CE45" s="33">
        <f>IFERROR(IF($B$9="W",CE22,CE23),"0")</f>
        <v>0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1</v>
      </c>
      <c r="CK45" s="33">
        <f t="shared" si="182"/>
        <v>2</v>
      </c>
      <c r="CL45" s="33">
        <f t="shared" si="182"/>
        <v>0</v>
      </c>
      <c r="CM45" s="33">
        <f t="shared" si="182"/>
        <v>0</v>
      </c>
      <c r="CN45" s="33">
        <f t="shared" si="182"/>
        <v>3</v>
      </c>
      <c r="CO45" s="33">
        <f t="shared" si="182"/>
        <v>5</v>
      </c>
      <c r="CP45" s="33">
        <f t="shared" si="182"/>
        <v>4</v>
      </c>
      <c r="CQ45" s="33">
        <f t="shared" si="182"/>
        <v>1</v>
      </c>
      <c r="CR45" s="33">
        <f t="shared" si="182"/>
        <v>3</v>
      </c>
      <c r="CS45" s="33">
        <f t="shared" si="182"/>
        <v>5</v>
      </c>
      <c r="CT45" s="33">
        <f t="shared" si="182"/>
        <v>3</v>
      </c>
      <c r="CU45" s="33">
        <f t="shared" si="182"/>
        <v>1</v>
      </c>
      <c r="CV45" s="58">
        <f t="shared" si="182"/>
        <v>24.4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19.479896013822639</v>
      </c>
      <c r="EW45" s="38" t="s">
        <v>46</v>
      </c>
      <c r="EX45" s="6">
        <f t="shared" si="147"/>
        <v>2.4</v>
      </c>
      <c r="EY45" s="6">
        <f t="shared" si="177"/>
        <v>3</v>
      </c>
      <c r="EZ45" s="6">
        <f t="shared" si="178"/>
        <v>10.151999999999999</v>
      </c>
    </row>
    <row r="46" spans="3:156" x14ac:dyDescent="0.2">
      <c r="C46" s="38" t="s">
        <v>47</v>
      </c>
      <c r="D46" s="28">
        <f t="shared" si="144"/>
        <v>32.839999999999996</v>
      </c>
      <c r="E46" s="86">
        <f t="shared" si="148"/>
        <v>9</v>
      </c>
      <c r="F46" s="33" t="s">
        <v>52</v>
      </c>
      <c r="G46" s="49">
        <f t="shared" si="149"/>
        <v>17</v>
      </c>
      <c r="H46" s="12" t="s">
        <v>53</v>
      </c>
      <c r="I46" s="33">
        <f t="shared" si="150"/>
        <v>5</v>
      </c>
      <c r="J46" s="49" t="s">
        <v>54</v>
      </c>
      <c r="K46" s="12">
        <f t="shared" si="151"/>
        <v>4</v>
      </c>
      <c r="L46" s="33" t="s">
        <v>52</v>
      </c>
      <c r="M46" s="49">
        <f t="shared" si="152"/>
        <v>7</v>
      </c>
      <c r="N46" s="12" t="s">
        <v>53</v>
      </c>
      <c r="O46" s="33">
        <f t="shared" si="153"/>
        <v>3</v>
      </c>
      <c r="P46" s="49" t="s">
        <v>54</v>
      </c>
      <c r="Q46" s="12">
        <f t="shared" si="154"/>
        <v>1</v>
      </c>
      <c r="R46" s="33" t="s">
        <v>52</v>
      </c>
      <c r="S46" s="49">
        <f t="shared" si="155"/>
        <v>1</v>
      </c>
      <c r="T46" s="12" t="s">
        <v>53</v>
      </c>
      <c r="U46" s="33">
        <f t="shared" si="156"/>
        <v>0</v>
      </c>
      <c r="V46" s="49" t="s">
        <v>54</v>
      </c>
      <c r="W46" s="12">
        <f t="shared" si="157"/>
        <v>4</v>
      </c>
      <c r="X46" s="33" t="s">
        <v>52</v>
      </c>
      <c r="Y46" s="49">
        <f t="shared" si="158"/>
        <v>9</v>
      </c>
      <c r="Z46" s="12" t="s">
        <v>53</v>
      </c>
      <c r="AA46" s="33">
        <f t="shared" si="159"/>
        <v>2</v>
      </c>
      <c r="AB46" s="49" t="s">
        <v>54</v>
      </c>
      <c r="AC46" s="12">
        <f t="shared" si="160"/>
        <v>2.4</v>
      </c>
      <c r="AD46" s="33" t="s">
        <v>52</v>
      </c>
      <c r="AE46" s="53">
        <f t="shared" si="161"/>
        <v>3</v>
      </c>
      <c r="AF46" s="12"/>
      <c r="AG46" s="43">
        <f t="shared" si="162"/>
        <v>7</v>
      </c>
      <c r="AH46" s="33" t="s">
        <v>52</v>
      </c>
      <c r="AI46" s="49">
        <f t="shared" si="163"/>
        <v>14</v>
      </c>
      <c r="AJ46" s="12" t="s">
        <v>53</v>
      </c>
      <c r="AK46" s="33">
        <f t="shared" si="164"/>
        <v>5</v>
      </c>
      <c r="AL46" s="49" t="s">
        <v>54</v>
      </c>
      <c r="AM46" s="12">
        <f t="shared" si="165"/>
        <v>4</v>
      </c>
      <c r="AN46" s="33" t="s">
        <v>52</v>
      </c>
      <c r="AO46" s="49">
        <f t="shared" si="166"/>
        <v>7</v>
      </c>
      <c r="AP46" s="12" t="s">
        <v>53</v>
      </c>
      <c r="AQ46" s="33">
        <f t="shared" si="167"/>
        <v>3</v>
      </c>
      <c r="AR46" s="49" t="s">
        <v>54</v>
      </c>
      <c r="AS46" s="12">
        <f t="shared" si="168"/>
        <v>1</v>
      </c>
      <c r="AT46" s="33" t="s">
        <v>52</v>
      </c>
      <c r="AU46" s="49">
        <f t="shared" si="169"/>
        <v>1</v>
      </c>
      <c r="AV46" s="12" t="s">
        <v>53</v>
      </c>
      <c r="AW46" s="33">
        <f t="shared" si="170"/>
        <v>0</v>
      </c>
      <c r="AX46" s="49" t="s">
        <v>54</v>
      </c>
      <c r="AY46" s="12">
        <f t="shared" si="171"/>
        <v>2</v>
      </c>
      <c r="AZ46" s="33" t="s">
        <v>52</v>
      </c>
      <c r="BA46" s="49">
        <f t="shared" si="172"/>
        <v>6</v>
      </c>
      <c r="BB46" s="12" t="s">
        <v>53</v>
      </c>
      <c r="BC46" s="33">
        <f t="shared" si="173"/>
        <v>2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2</v>
      </c>
      <c r="BJ46" s="33" t="s">
        <v>52</v>
      </c>
      <c r="BK46" s="49">
        <f>IFERROR(IF($B$10="W",BK22,BK23),"0")</f>
        <v>3</v>
      </c>
      <c r="BL46" s="12" t="s">
        <v>53</v>
      </c>
      <c r="BM46" s="33">
        <f>IFERROR(IF($B$10="W",BM22,BM23),"0")</f>
        <v>0</v>
      </c>
      <c r="BN46" s="49" t="s">
        <v>54</v>
      </c>
      <c r="BO46" s="12">
        <f>IFERROR(IF($B$10="W",BO22,BO23),"0")</f>
        <v>0</v>
      </c>
      <c r="BP46" s="33" t="s">
        <v>52</v>
      </c>
      <c r="BQ46" s="49">
        <f>IFERROR(IF($B$10="W",BQ22,BQ23),"0")</f>
        <v>0</v>
      </c>
      <c r="BR46" s="12" t="s">
        <v>53</v>
      </c>
      <c r="BS46" s="33">
        <f>IFERROR(IF($B$10="W",BS22,BS23),"0")</f>
        <v>0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2</v>
      </c>
      <c r="CB46" s="33" t="s">
        <v>52</v>
      </c>
      <c r="CC46" s="49">
        <f>IFERROR(IF($B$10="W",CC22,CC23),"0")</f>
        <v>3</v>
      </c>
      <c r="CD46" s="12" t="s">
        <v>53</v>
      </c>
      <c r="CE46" s="33">
        <f>IFERROR(IF($B$10="W",CE22,CE23),"0")</f>
        <v>0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1</v>
      </c>
      <c r="CK46" s="33">
        <f t="shared" si="183"/>
        <v>2</v>
      </c>
      <c r="CL46" s="33">
        <f t="shared" si="183"/>
        <v>0</v>
      </c>
      <c r="CM46" s="33">
        <f t="shared" si="183"/>
        <v>0</v>
      </c>
      <c r="CN46" s="33">
        <f t="shared" si="183"/>
        <v>3</v>
      </c>
      <c r="CO46" s="33">
        <f t="shared" si="183"/>
        <v>5</v>
      </c>
      <c r="CP46" s="33">
        <f t="shared" si="183"/>
        <v>4</v>
      </c>
      <c r="CQ46" s="33">
        <f t="shared" si="183"/>
        <v>1</v>
      </c>
      <c r="CR46" s="33">
        <f t="shared" si="183"/>
        <v>3</v>
      </c>
      <c r="CS46" s="33">
        <f t="shared" si="183"/>
        <v>5</v>
      </c>
      <c r="CT46" s="33">
        <f t="shared" si="183"/>
        <v>3</v>
      </c>
      <c r="CU46" s="33">
        <f t="shared" si="183"/>
        <v>1</v>
      </c>
      <c r="CV46" s="58">
        <f t="shared" si="183"/>
        <v>24.4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19.479896013822639</v>
      </c>
      <c r="EW46" s="38" t="s">
        <v>47</v>
      </c>
      <c r="EX46" s="6">
        <f t="shared" si="147"/>
        <v>2.4</v>
      </c>
      <c r="EY46" s="6">
        <f t="shared" si="177"/>
        <v>3</v>
      </c>
      <c r="EZ46" s="6">
        <f t="shared" si="178"/>
        <v>10.151999999999999</v>
      </c>
    </row>
    <row r="47" spans="3:156" x14ac:dyDescent="0.2">
      <c r="C47" s="38" t="s">
        <v>48</v>
      </c>
      <c r="D47" s="28">
        <f t="shared" si="144"/>
        <v>32.840000000000003</v>
      </c>
      <c r="E47" s="86">
        <f t="shared" si="148"/>
        <v>2</v>
      </c>
      <c r="F47" s="33" t="s">
        <v>52</v>
      </c>
      <c r="G47" s="49">
        <f t="shared" si="149"/>
        <v>6</v>
      </c>
      <c r="H47" s="12" t="s">
        <v>53</v>
      </c>
      <c r="I47" s="33">
        <f t="shared" si="150"/>
        <v>2</v>
      </c>
      <c r="J47" s="49" t="s">
        <v>54</v>
      </c>
      <c r="K47" s="12">
        <f t="shared" si="151"/>
        <v>1</v>
      </c>
      <c r="L47" s="33" t="s">
        <v>52</v>
      </c>
      <c r="M47" s="49">
        <f t="shared" si="152"/>
        <v>2</v>
      </c>
      <c r="N47" s="12" t="s">
        <v>53</v>
      </c>
      <c r="O47" s="33">
        <f t="shared" si="153"/>
        <v>1</v>
      </c>
      <c r="P47" s="49" t="s">
        <v>54</v>
      </c>
      <c r="Q47" s="12">
        <f t="shared" si="154"/>
        <v>0</v>
      </c>
      <c r="R47" s="33" t="s">
        <v>52</v>
      </c>
      <c r="S47" s="49">
        <f t="shared" si="155"/>
        <v>2</v>
      </c>
      <c r="T47" s="12" t="s">
        <v>53</v>
      </c>
      <c r="U47" s="33">
        <f t="shared" si="156"/>
        <v>0</v>
      </c>
      <c r="V47" s="49" t="s">
        <v>54</v>
      </c>
      <c r="W47" s="12">
        <f t="shared" si="157"/>
        <v>1</v>
      </c>
      <c r="X47" s="33" t="s">
        <v>52</v>
      </c>
      <c r="Y47" s="49">
        <f t="shared" si="158"/>
        <v>2</v>
      </c>
      <c r="Z47" s="12" t="s">
        <v>53</v>
      </c>
      <c r="AA47" s="33">
        <f t="shared" si="159"/>
        <v>1</v>
      </c>
      <c r="AB47" s="49" t="s">
        <v>54</v>
      </c>
      <c r="AC47" s="12">
        <f t="shared" si="160"/>
        <v>1.45</v>
      </c>
      <c r="AD47" s="33" t="s">
        <v>52</v>
      </c>
      <c r="AE47" s="53">
        <f t="shared" si="161"/>
        <v>2</v>
      </c>
      <c r="AF47" s="12"/>
      <c r="AG47" s="43">
        <f t="shared" si="162"/>
        <v>2</v>
      </c>
      <c r="AH47" s="33" t="s">
        <v>52</v>
      </c>
      <c r="AI47" s="49">
        <f t="shared" si="163"/>
        <v>6</v>
      </c>
      <c r="AJ47" s="12" t="s">
        <v>53</v>
      </c>
      <c r="AK47" s="33">
        <f t="shared" si="164"/>
        <v>2</v>
      </c>
      <c r="AL47" s="49" t="s">
        <v>54</v>
      </c>
      <c r="AM47" s="12">
        <f t="shared" si="165"/>
        <v>1</v>
      </c>
      <c r="AN47" s="33" t="s">
        <v>52</v>
      </c>
      <c r="AO47" s="49">
        <f t="shared" si="166"/>
        <v>2</v>
      </c>
      <c r="AP47" s="12" t="s">
        <v>53</v>
      </c>
      <c r="AQ47" s="33">
        <f t="shared" si="167"/>
        <v>1</v>
      </c>
      <c r="AR47" s="49" t="s">
        <v>54</v>
      </c>
      <c r="AS47" s="12">
        <f t="shared" si="168"/>
        <v>0</v>
      </c>
      <c r="AT47" s="33" t="s">
        <v>52</v>
      </c>
      <c r="AU47" s="49">
        <f t="shared" si="169"/>
        <v>2</v>
      </c>
      <c r="AV47" s="12" t="s">
        <v>53</v>
      </c>
      <c r="AW47" s="33">
        <f t="shared" si="170"/>
        <v>0</v>
      </c>
      <c r="AX47" s="49" t="s">
        <v>54</v>
      </c>
      <c r="AY47" s="12">
        <f t="shared" si="171"/>
        <v>1</v>
      </c>
      <c r="AZ47" s="33" t="s">
        <v>52</v>
      </c>
      <c r="BA47" s="49">
        <f t="shared" si="172"/>
        <v>2</v>
      </c>
      <c r="BB47" s="12" t="s">
        <v>53</v>
      </c>
      <c r="BC47" s="33">
        <f t="shared" si="173"/>
        <v>1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0</v>
      </c>
      <c r="BJ47" s="33" t="s">
        <v>52</v>
      </c>
      <c r="BK47" s="49">
        <f>IFERROR(IF($B$11="W",BK22,BK23),"0")</f>
        <v>0</v>
      </c>
      <c r="BL47" s="12" t="s">
        <v>53</v>
      </c>
      <c r="BM47" s="33">
        <f>IFERROR(IF($B$11="W",BM22,BM23),"0")</f>
        <v>0</v>
      </c>
      <c r="BN47" s="49" t="s">
        <v>54</v>
      </c>
      <c r="BO47" s="12">
        <f>IFERROR(IF($B$11="W",BO22,BO23),"0")</f>
        <v>0</v>
      </c>
      <c r="BP47" s="33" t="s">
        <v>52</v>
      </c>
      <c r="BQ47" s="49">
        <f>IFERROR(IF($B$11="W",BQ22,BQ23),"0")</f>
        <v>0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0</v>
      </c>
      <c r="CB47" s="33" t="s">
        <v>52</v>
      </c>
      <c r="CC47" s="49">
        <f>IFERROR(IF($B$11="W",CC22,CC23),"0")</f>
        <v>0</v>
      </c>
      <c r="CD47" s="12" t="s">
        <v>53</v>
      </c>
      <c r="CE47" s="33">
        <f>IFERROR(IF($B$11="W",CE22,CE23),"0")</f>
        <v>0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2</v>
      </c>
      <c r="CK47" s="33">
        <f t="shared" si="184"/>
        <v>7</v>
      </c>
      <c r="CL47" s="33">
        <f t="shared" si="184"/>
        <v>0</v>
      </c>
      <c r="CM47" s="33">
        <f t="shared" si="184"/>
        <v>0</v>
      </c>
      <c r="CN47" s="33">
        <f t="shared" si="184"/>
        <v>9</v>
      </c>
      <c r="CO47" s="33">
        <f t="shared" si="184"/>
        <v>2</v>
      </c>
      <c r="CP47" s="33">
        <f t="shared" si="184"/>
        <v>1</v>
      </c>
      <c r="CQ47" s="33">
        <f t="shared" si="184"/>
        <v>4</v>
      </c>
      <c r="CR47" s="33">
        <f t="shared" si="184"/>
        <v>2</v>
      </c>
      <c r="CS47" s="33">
        <f t="shared" si="184"/>
        <v>0</v>
      </c>
      <c r="CT47" s="33">
        <f t="shared" si="184"/>
        <v>8</v>
      </c>
      <c r="CU47" s="33">
        <f t="shared" si="184"/>
        <v>0</v>
      </c>
      <c r="CV47" s="58">
        <f t="shared" si="184"/>
        <v>6.45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13.749520514765209</v>
      </c>
      <c r="EW47" s="38" t="s">
        <v>48</v>
      </c>
      <c r="EX47" s="6">
        <f t="shared" si="147"/>
        <v>1.45</v>
      </c>
      <c r="EY47" s="6">
        <f t="shared" si="177"/>
        <v>2</v>
      </c>
      <c r="EZ47" s="6">
        <f t="shared" si="178"/>
        <v>2.7395</v>
      </c>
    </row>
    <row r="48" spans="3:156" x14ac:dyDescent="0.2">
      <c r="C48" s="38" t="s">
        <v>115</v>
      </c>
      <c r="D48" s="28">
        <f t="shared" si="144"/>
        <v>32.840000000000003</v>
      </c>
      <c r="E48" s="86">
        <f t="shared" si="148"/>
        <v>2</v>
      </c>
      <c r="F48" s="33" t="s">
        <v>52</v>
      </c>
      <c r="G48" s="49">
        <f t="shared" si="149"/>
        <v>6</v>
      </c>
      <c r="H48" s="12" t="s">
        <v>53</v>
      </c>
      <c r="I48" s="33">
        <f t="shared" si="150"/>
        <v>2</v>
      </c>
      <c r="J48" s="49" t="s">
        <v>54</v>
      </c>
      <c r="K48" s="12">
        <f t="shared" si="151"/>
        <v>1</v>
      </c>
      <c r="L48" s="33" t="s">
        <v>52</v>
      </c>
      <c r="M48" s="49">
        <f t="shared" si="152"/>
        <v>2</v>
      </c>
      <c r="N48" s="12" t="s">
        <v>53</v>
      </c>
      <c r="O48" s="33">
        <f t="shared" si="153"/>
        <v>1</v>
      </c>
      <c r="P48" s="49" t="s">
        <v>54</v>
      </c>
      <c r="Q48" s="12">
        <f t="shared" si="154"/>
        <v>0</v>
      </c>
      <c r="R48" s="33" t="s">
        <v>52</v>
      </c>
      <c r="S48" s="49">
        <f t="shared" si="155"/>
        <v>2</v>
      </c>
      <c r="T48" s="12" t="s">
        <v>53</v>
      </c>
      <c r="U48" s="33">
        <f t="shared" si="156"/>
        <v>0</v>
      </c>
      <c r="V48" s="49" t="s">
        <v>54</v>
      </c>
      <c r="W48" s="12">
        <f t="shared" si="157"/>
        <v>1</v>
      </c>
      <c r="X48" s="33" t="s">
        <v>52</v>
      </c>
      <c r="Y48" s="49">
        <f t="shared" si="158"/>
        <v>2</v>
      </c>
      <c r="Z48" s="12" t="s">
        <v>53</v>
      </c>
      <c r="AA48" s="33">
        <f t="shared" si="159"/>
        <v>1</v>
      </c>
      <c r="AB48" s="49" t="s">
        <v>54</v>
      </c>
      <c r="AC48" s="12">
        <f t="shared" si="160"/>
        <v>1.45</v>
      </c>
      <c r="AD48" s="33" t="s">
        <v>52</v>
      </c>
      <c r="AE48" s="53">
        <f t="shared" si="161"/>
        <v>2</v>
      </c>
      <c r="AF48" s="12"/>
      <c r="AG48" s="43">
        <f t="shared" si="162"/>
        <v>2</v>
      </c>
      <c r="AH48" s="33" t="s">
        <v>52</v>
      </c>
      <c r="AI48" s="49">
        <f t="shared" si="163"/>
        <v>6</v>
      </c>
      <c r="AJ48" s="12" t="s">
        <v>53</v>
      </c>
      <c r="AK48" s="33">
        <f t="shared" si="164"/>
        <v>2</v>
      </c>
      <c r="AL48" s="49" t="s">
        <v>54</v>
      </c>
      <c r="AM48" s="12">
        <f t="shared" si="165"/>
        <v>1</v>
      </c>
      <c r="AN48" s="33" t="s">
        <v>52</v>
      </c>
      <c r="AO48" s="49">
        <f t="shared" si="166"/>
        <v>2</v>
      </c>
      <c r="AP48" s="12" t="s">
        <v>53</v>
      </c>
      <c r="AQ48" s="33">
        <f t="shared" si="167"/>
        <v>1</v>
      </c>
      <c r="AR48" s="49" t="s">
        <v>54</v>
      </c>
      <c r="AS48" s="12">
        <f t="shared" si="168"/>
        <v>0</v>
      </c>
      <c r="AT48" s="33" t="s">
        <v>52</v>
      </c>
      <c r="AU48" s="49">
        <f t="shared" si="169"/>
        <v>2</v>
      </c>
      <c r="AV48" s="12" t="s">
        <v>53</v>
      </c>
      <c r="AW48" s="33">
        <f t="shared" si="170"/>
        <v>0</v>
      </c>
      <c r="AX48" s="49" t="s">
        <v>54</v>
      </c>
      <c r="AY48" s="12">
        <f t="shared" si="171"/>
        <v>1</v>
      </c>
      <c r="AZ48" s="33" t="s">
        <v>52</v>
      </c>
      <c r="BA48" s="49">
        <f t="shared" si="172"/>
        <v>2</v>
      </c>
      <c r="BB48" s="12" t="s">
        <v>53</v>
      </c>
      <c r="BC48" s="33">
        <f t="shared" si="173"/>
        <v>1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0</v>
      </c>
      <c r="BJ48" s="33" t="s">
        <v>52</v>
      </c>
      <c r="BK48" s="49">
        <f>IFERROR(IF($B$12="W",BK22,BK23),"0")</f>
        <v>0</v>
      </c>
      <c r="BL48" s="12" t="s">
        <v>53</v>
      </c>
      <c r="BM48" s="33">
        <f>IFERROR(IF($B$12="W",BM22,BM23),"0")</f>
        <v>0</v>
      </c>
      <c r="BN48" s="49" t="s">
        <v>54</v>
      </c>
      <c r="BO48" s="12">
        <f>IFERROR(IF($B$12="W",BO22,BO23),"0")</f>
        <v>0</v>
      </c>
      <c r="BP48" s="33" t="s">
        <v>52</v>
      </c>
      <c r="BQ48" s="49">
        <f>IFERROR(IF($B$12="W",BQ22,BQ23),"0")</f>
        <v>0</v>
      </c>
      <c r="BR48" s="12" t="s">
        <v>53</v>
      </c>
      <c r="BS48" s="33">
        <f>IFERROR(IF($B$12="W",BS22,BS23),"0")</f>
        <v>0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0</v>
      </c>
      <c r="CB48" s="33" t="s">
        <v>52</v>
      </c>
      <c r="CC48" s="49">
        <f>IFERROR(IF($B$12="W",CC22,CC23),"0")</f>
        <v>0</v>
      </c>
      <c r="CD48" s="12" t="s">
        <v>53</v>
      </c>
      <c r="CE48" s="33">
        <f>IFERROR(IF($B$12="W",CE22,CE23),"0")</f>
        <v>0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2</v>
      </c>
      <c r="CK48" s="33">
        <f t="shared" si="185"/>
        <v>7</v>
      </c>
      <c r="CL48" s="33">
        <f t="shared" si="185"/>
        <v>0</v>
      </c>
      <c r="CM48" s="33">
        <f t="shared" si="185"/>
        <v>0</v>
      </c>
      <c r="CN48" s="33">
        <f t="shared" si="185"/>
        <v>9</v>
      </c>
      <c r="CO48" s="33">
        <f t="shared" si="185"/>
        <v>2</v>
      </c>
      <c r="CP48" s="33">
        <f t="shared" si="185"/>
        <v>1</v>
      </c>
      <c r="CQ48" s="33">
        <f t="shared" si="185"/>
        <v>4</v>
      </c>
      <c r="CR48" s="33">
        <f t="shared" si="185"/>
        <v>2</v>
      </c>
      <c r="CS48" s="33">
        <f t="shared" si="185"/>
        <v>0</v>
      </c>
      <c r="CT48" s="33">
        <f t="shared" si="185"/>
        <v>8</v>
      </c>
      <c r="CU48" s="33">
        <f t="shared" si="185"/>
        <v>0</v>
      </c>
      <c r="CV48" s="58">
        <f t="shared" si="185"/>
        <v>6.45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13.749520514765209</v>
      </c>
      <c r="EW48" s="38" t="s">
        <v>115</v>
      </c>
      <c r="EX48" s="6">
        <f t="shared" si="147"/>
        <v>1.45</v>
      </c>
      <c r="EY48" s="6">
        <f t="shared" si="177"/>
        <v>2</v>
      </c>
      <c r="EZ48" s="6">
        <f t="shared" si="178"/>
        <v>2.7395</v>
      </c>
    </row>
    <row r="49" spans="3:156" x14ac:dyDescent="0.2">
      <c r="C49" s="38" t="s">
        <v>227</v>
      </c>
      <c r="D49" s="28">
        <f t="shared" si="144"/>
        <v>32.840000000000003</v>
      </c>
      <c r="E49" s="86">
        <f t="shared" si="148"/>
        <v>2</v>
      </c>
      <c r="F49" s="33" t="s">
        <v>52</v>
      </c>
      <c r="G49" s="49">
        <f t="shared" si="149"/>
        <v>6</v>
      </c>
      <c r="H49" s="12" t="s">
        <v>53</v>
      </c>
      <c r="I49" s="33">
        <f t="shared" si="150"/>
        <v>2</v>
      </c>
      <c r="J49" s="49" t="s">
        <v>54</v>
      </c>
      <c r="K49" s="12">
        <f t="shared" si="151"/>
        <v>1</v>
      </c>
      <c r="L49" s="33" t="s">
        <v>52</v>
      </c>
      <c r="M49" s="49">
        <f t="shared" si="152"/>
        <v>2</v>
      </c>
      <c r="N49" s="12" t="s">
        <v>53</v>
      </c>
      <c r="O49" s="33">
        <f t="shared" si="153"/>
        <v>1</v>
      </c>
      <c r="P49" s="49" t="s">
        <v>54</v>
      </c>
      <c r="Q49" s="12">
        <f t="shared" si="154"/>
        <v>0</v>
      </c>
      <c r="R49" s="33" t="s">
        <v>52</v>
      </c>
      <c r="S49" s="49">
        <f t="shared" si="155"/>
        <v>2</v>
      </c>
      <c r="T49" s="12" t="s">
        <v>53</v>
      </c>
      <c r="U49" s="33">
        <f t="shared" si="156"/>
        <v>0</v>
      </c>
      <c r="V49" s="49" t="s">
        <v>54</v>
      </c>
      <c r="W49" s="12">
        <f t="shared" si="157"/>
        <v>1</v>
      </c>
      <c r="X49" s="33" t="s">
        <v>52</v>
      </c>
      <c r="Y49" s="49">
        <f t="shared" si="158"/>
        <v>2</v>
      </c>
      <c r="Z49" s="12" t="s">
        <v>53</v>
      </c>
      <c r="AA49" s="33">
        <f t="shared" si="159"/>
        <v>1</v>
      </c>
      <c r="AB49" s="49" t="s">
        <v>54</v>
      </c>
      <c r="AC49" s="12">
        <f t="shared" si="160"/>
        <v>1.45</v>
      </c>
      <c r="AD49" s="33" t="s">
        <v>52</v>
      </c>
      <c r="AE49" s="53">
        <f t="shared" si="161"/>
        <v>2</v>
      </c>
      <c r="AF49" s="12"/>
      <c r="AG49" s="43">
        <f t="shared" si="162"/>
        <v>2</v>
      </c>
      <c r="AH49" s="33" t="s">
        <v>52</v>
      </c>
      <c r="AI49" s="49">
        <f t="shared" si="163"/>
        <v>6</v>
      </c>
      <c r="AJ49" s="12" t="s">
        <v>53</v>
      </c>
      <c r="AK49" s="33">
        <f t="shared" si="164"/>
        <v>2</v>
      </c>
      <c r="AL49" s="49" t="s">
        <v>54</v>
      </c>
      <c r="AM49" s="12">
        <f t="shared" si="165"/>
        <v>1</v>
      </c>
      <c r="AN49" s="33" t="s">
        <v>52</v>
      </c>
      <c r="AO49" s="49">
        <f t="shared" si="166"/>
        <v>2</v>
      </c>
      <c r="AP49" s="12" t="s">
        <v>53</v>
      </c>
      <c r="AQ49" s="33">
        <f t="shared" si="167"/>
        <v>1</v>
      </c>
      <c r="AR49" s="49" t="s">
        <v>54</v>
      </c>
      <c r="AS49" s="12">
        <f t="shared" si="168"/>
        <v>0</v>
      </c>
      <c r="AT49" s="33" t="s">
        <v>52</v>
      </c>
      <c r="AU49" s="49">
        <f t="shared" si="169"/>
        <v>2</v>
      </c>
      <c r="AV49" s="12" t="s">
        <v>53</v>
      </c>
      <c r="AW49" s="33">
        <f t="shared" si="170"/>
        <v>0</v>
      </c>
      <c r="AX49" s="49" t="s">
        <v>54</v>
      </c>
      <c r="AY49" s="12">
        <f t="shared" si="171"/>
        <v>1</v>
      </c>
      <c r="AZ49" s="33" t="s">
        <v>52</v>
      </c>
      <c r="BA49" s="49">
        <f t="shared" si="172"/>
        <v>2</v>
      </c>
      <c r="BB49" s="12" t="s">
        <v>53</v>
      </c>
      <c r="BC49" s="33">
        <f t="shared" si="173"/>
        <v>1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0</v>
      </c>
      <c r="BJ49" s="33" t="s">
        <v>52</v>
      </c>
      <c r="BK49" s="49">
        <f>IFERROR(IF($B$13="W",BK22,BK23),"0")</f>
        <v>0</v>
      </c>
      <c r="BL49" s="12" t="s">
        <v>53</v>
      </c>
      <c r="BM49" s="33">
        <f>IFERROR(IF($B$13="W",BM22,BM23),"0")</f>
        <v>0</v>
      </c>
      <c r="BN49" s="49" t="s">
        <v>54</v>
      </c>
      <c r="BO49" s="12">
        <f>IFERROR(IF($B$13="W",BO22,BO23),"0")</f>
        <v>0</v>
      </c>
      <c r="BP49" s="33" t="s">
        <v>52</v>
      </c>
      <c r="BQ49" s="49">
        <f>IFERROR(IF($B$13="W",BQ22,BQ23),"0")</f>
        <v>0</v>
      </c>
      <c r="BR49" s="12" t="s">
        <v>53</v>
      </c>
      <c r="BS49" s="33">
        <f>IFERROR(IF($B$13="W",BS22,BS23),"0")</f>
        <v>0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0</v>
      </c>
      <c r="CB49" s="33" t="s">
        <v>52</v>
      </c>
      <c r="CC49" s="49">
        <f>IFERROR(IF($B$13="W",CC22,CC23),"0")</f>
        <v>0</v>
      </c>
      <c r="CD49" s="12" t="s">
        <v>53</v>
      </c>
      <c r="CE49" s="33">
        <f>IFERROR(IF($B$13="W",CE22,CE23),"0")</f>
        <v>0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2</v>
      </c>
      <c r="CK49" s="33">
        <f t="shared" si="186"/>
        <v>7</v>
      </c>
      <c r="CL49" s="33">
        <f t="shared" si="186"/>
        <v>0</v>
      </c>
      <c r="CM49" s="33">
        <f t="shared" si="186"/>
        <v>0</v>
      </c>
      <c r="CN49" s="33">
        <f t="shared" si="186"/>
        <v>9</v>
      </c>
      <c r="CO49" s="33">
        <f t="shared" si="186"/>
        <v>2</v>
      </c>
      <c r="CP49" s="33">
        <f t="shared" si="186"/>
        <v>1</v>
      </c>
      <c r="CQ49" s="33">
        <f t="shared" si="186"/>
        <v>4</v>
      </c>
      <c r="CR49" s="33">
        <f t="shared" si="186"/>
        <v>2</v>
      </c>
      <c r="CS49" s="33">
        <f t="shared" si="186"/>
        <v>0</v>
      </c>
      <c r="CT49" s="33">
        <f t="shared" si="186"/>
        <v>8</v>
      </c>
      <c r="CU49" s="33">
        <f t="shared" si="186"/>
        <v>0</v>
      </c>
      <c r="CV49" s="58">
        <f t="shared" si="186"/>
        <v>6.45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13.749520514765209</v>
      </c>
      <c r="EW49" s="38" t="s">
        <v>227</v>
      </c>
      <c r="EX49" s="6">
        <f t="shared" si="147"/>
        <v>1.45</v>
      </c>
      <c r="EY49" s="6">
        <f t="shared" si="177"/>
        <v>2</v>
      </c>
      <c r="EZ49" s="6">
        <f t="shared" si="178"/>
        <v>2.7395</v>
      </c>
    </row>
    <row r="50" spans="3:156" x14ac:dyDescent="0.2">
      <c r="C50" s="38" t="s">
        <v>228</v>
      </c>
      <c r="D50" s="28">
        <f t="shared" si="144"/>
        <v>32.840000000000003</v>
      </c>
      <c r="E50" s="86">
        <f t="shared" si="148"/>
        <v>2</v>
      </c>
      <c r="F50" s="33" t="s">
        <v>52</v>
      </c>
      <c r="G50" s="49">
        <f t="shared" si="149"/>
        <v>6</v>
      </c>
      <c r="H50" s="12" t="s">
        <v>53</v>
      </c>
      <c r="I50" s="33">
        <f t="shared" si="150"/>
        <v>2</v>
      </c>
      <c r="J50" s="49" t="s">
        <v>54</v>
      </c>
      <c r="K50" s="12">
        <f t="shared" si="151"/>
        <v>1</v>
      </c>
      <c r="L50" s="33" t="s">
        <v>52</v>
      </c>
      <c r="M50" s="49">
        <f t="shared" si="152"/>
        <v>2</v>
      </c>
      <c r="N50" s="12" t="s">
        <v>53</v>
      </c>
      <c r="O50" s="33">
        <f t="shared" si="153"/>
        <v>1</v>
      </c>
      <c r="P50" s="49" t="s">
        <v>54</v>
      </c>
      <c r="Q50" s="12">
        <f t="shared" si="154"/>
        <v>0</v>
      </c>
      <c r="R50" s="33" t="s">
        <v>52</v>
      </c>
      <c r="S50" s="49">
        <f t="shared" si="155"/>
        <v>2</v>
      </c>
      <c r="T50" s="12" t="s">
        <v>53</v>
      </c>
      <c r="U50" s="33">
        <f t="shared" si="156"/>
        <v>0</v>
      </c>
      <c r="V50" s="49" t="s">
        <v>54</v>
      </c>
      <c r="W50" s="12">
        <f t="shared" si="157"/>
        <v>1</v>
      </c>
      <c r="X50" s="33" t="s">
        <v>52</v>
      </c>
      <c r="Y50" s="49">
        <f t="shared" si="158"/>
        <v>2</v>
      </c>
      <c r="Z50" s="12" t="s">
        <v>53</v>
      </c>
      <c r="AA50" s="33">
        <f t="shared" si="159"/>
        <v>1</v>
      </c>
      <c r="AB50" s="49" t="s">
        <v>54</v>
      </c>
      <c r="AC50" s="12">
        <f t="shared" si="160"/>
        <v>1.45</v>
      </c>
      <c r="AD50" s="33" t="s">
        <v>52</v>
      </c>
      <c r="AE50" s="53">
        <f t="shared" si="161"/>
        <v>2</v>
      </c>
      <c r="AF50" s="12"/>
      <c r="AG50" s="43">
        <f t="shared" si="162"/>
        <v>2</v>
      </c>
      <c r="AH50" s="33" t="s">
        <v>52</v>
      </c>
      <c r="AI50" s="49">
        <f t="shared" si="163"/>
        <v>6</v>
      </c>
      <c r="AJ50" s="12" t="s">
        <v>53</v>
      </c>
      <c r="AK50" s="33">
        <f t="shared" si="164"/>
        <v>2</v>
      </c>
      <c r="AL50" s="49" t="s">
        <v>54</v>
      </c>
      <c r="AM50" s="12">
        <f t="shared" si="165"/>
        <v>1</v>
      </c>
      <c r="AN50" s="33" t="s">
        <v>52</v>
      </c>
      <c r="AO50" s="49">
        <f t="shared" si="166"/>
        <v>2</v>
      </c>
      <c r="AP50" s="12" t="s">
        <v>53</v>
      </c>
      <c r="AQ50" s="33">
        <f t="shared" si="167"/>
        <v>1</v>
      </c>
      <c r="AR50" s="49" t="s">
        <v>54</v>
      </c>
      <c r="AS50" s="12">
        <f t="shared" si="168"/>
        <v>0</v>
      </c>
      <c r="AT50" s="33" t="s">
        <v>52</v>
      </c>
      <c r="AU50" s="49">
        <f t="shared" si="169"/>
        <v>2</v>
      </c>
      <c r="AV50" s="12" t="s">
        <v>53</v>
      </c>
      <c r="AW50" s="33">
        <f t="shared" si="170"/>
        <v>0</v>
      </c>
      <c r="AX50" s="49" t="s">
        <v>54</v>
      </c>
      <c r="AY50" s="12">
        <f t="shared" si="171"/>
        <v>1</v>
      </c>
      <c r="AZ50" s="33" t="s">
        <v>52</v>
      </c>
      <c r="BA50" s="49">
        <f t="shared" si="172"/>
        <v>2</v>
      </c>
      <c r="BB50" s="12" t="s">
        <v>53</v>
      </c>
      <c r="BC50" s="33">
        <f t="shared" si="173"/>
        <v>1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0</v>
      </c>
      <c r="BJ50" s="12" t="str">
        <f t="shared" ref="BJ50:CI50" si="187">IFERROR(IF($B$14="W",BJ22,BJ23),"0")</f>
        <v>-</v>
      </c>
      <c r="BK50" s="49">
        <f t="shared" si="187"/>
        <v>0</v>
      </c>
      <c r="BL50" s="12" t="str">
        <f t="shared" si="187"/>
        <v>(</v>
      </c>
      <c r="BM50" s="33">
        <f t="shared" si="187"/>
        <v>0</v>
      </c>
      <c r="BN50" s="49" t="str">
        <f t="shared" si="187"/>
        <v>)</v>
      </c>
      <c r="BO50" s="12">
        <f t="shared" si="187"/>
        <v>0</v>
      </c>
      <c r="BP50" s="12" t="str">
        <f t="shared" si="187"/>
        <v>-</v>
      </c>
      <c r="BQ50" s="49">
        <f t="shared" si="187"/>
        <v>0</v>
      </c>
      <c r="BR50" s="12" t="str">
        <f t="shared" si="187"/>
        <v>(</v>
      </c>
      <c r="BS50" s="33">
        <f t="shared" si="187"/>
        <v>0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0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0</v>
      </c>
      <c r="CB50" s="12" t="str">
        <f t="shared" si="187"/>
        <v>-</v>
      </c>
      <c r="CC50" s="49">
        <f t="shared" si="187"/>
        <v>0</v>
      </c>
      <c r="CD50" s="12" t="str">
        <f t="shared" si="187"/>
        <v>(</v>
      </c>
      <c r="CE50" s="33">
        <f t="shared" si="187"/>
        <v>0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2</v>
      </c>
      <c r="CK50" s="33">
        <f t="shared" ref="CK50:CV50" si="188">IFERROR(IF($B$14="W",CK22,CK23),"0")</f>
        <v>7</v>
      </c>
      <c r="CL50" s="33">
        <f t="shared" si="188"/>
        <v>0</v>
      </c>
      <c r="CM50" s="33">
        <f t="shared" si="188"/>
        <v>0</v>
      </c>
      <c r="CN50" s="33">
        <f t="shared" si="188"/>
        <v>9</v>
      </c>
      <c r="CO50" s="33">
        <f t="shared" si="188"/>
        <v>2</v>
      </c>
      <c r="CP50" s="33">
        <f t="shared" si="188"/>
        <v>1</v>
      </c>
      <c r="CQ50" s="33">
        <f t="shared" si="188"/>
        <v>4</v>
      </c>
      <c r="CR50" s="33">
        <f t="shared" si="188"/>
        <v>2</v>
      </c>
      <c r="CS50" s="33">
        <f t="shared" si="188"/>
        <v>0</v>
      </c>
      <c r="CT50" s="33">
        <f t="shared" si="188"/>
        <v>8</v>
      </c>
      <c r="CU50" s="33">
        <f t="shared" si="188"/>
        <v>0</v>
      </c>
      <c r="CV50" s="33">
        <f t="shared" si="188"/>
        <v>6.45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13.749520514765209</v>
      </c>
      <c r="EW50" s="38" t="s">
        <v>228</v>
      </c>
      <c r="EX50" s="6">
        <f t="shared" si="147"/>
        <v>1.45</v>
      </c>
      <c r="EY50" s="6">
        <f t="shared" si="177"/>
        <v>2</v>
      </c>
      <c r="EZ50" s="6">
        <f t="shared" si="178"/>
        <v>2.7395</v>
      </c>
    </row>
    <row r="51" spans="3:156" x14ac:dyDescent="0.2">
      <c r="C51" s="38" t="s">
        <v>229</v>
      </c>
      <c r="D51" s="28">
        <f t="shared" si="144"/>
        <v>32.840000000000003</v>
      </c>
      <c r="E51" s="86">
        <f t="shared" si="148"/>
        <v>2</v>
      </c>
      <c r="F51" s="33" t="s">
        <v>52</v>
      </c>
      <c r="G51" s="49">
        <f t="shared" si="149"/>
        <v>6</v>
      </c>
      <c r="H51" s="12" t="s">
        <v>53</v>
      </c>
      <c r="I51" s="33">
        <f t="shared" si="150"/>
        <v>2</v>
      </c>
      <c r="J51" s="49" t="s">
        <v>54</v>
      </c>
      <c r="K51" s="12">
        <f t="shared" si="151"/>
        <v>1</v>
      </c>
      <c r="L51" s="33" t="s">
        <v>52</v>
      </c>
      <c r="M51" s="49">
        <f t="shared" si="152"/>
        <v>2</v>
      </c>
      <c r="N51" s="12" t="s">
        <v>53</v>
      </c>
      <c r="O51" s="33">
        <f t="shared" si="153"/>
        <v>1</v>
      </c>
      <c r="P51" s="49" t="s">
        <v>54</v>
      </c>
      <c r="Q51" s="12">
        <f t="shared" si="154"/>
        <v>0</v>
      </c>
      <c r="R51" s="33" t="s">
        <v>52</v>
      </c>
      <c r="S51" s="49">
        <f t="shared" si="155"/>
        <v>2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1</v>
      </c>
      <c r="X51" s="33" t="s">
        <v>52</v>
      </c>
      <c r="Y51" s="49">
        <f t="shared" si="158"/>
        <v>2</v>
      </c>
      <c r="Z51" s="12" t="s">
        <v>53</v>
      </c>
      <c r="AA51" s="33">
        <f t="shared" si="159"/>
        <v>1</v>
      </c>
      <c r="AB51" s="49" t="s">
        <v>54</v>
      </c>
      <c r="AC51" s="12">
        <f t="shared" si="160"/>
        <v>1.45</v>
      </c>
      <c r="AD51" s="33" t="s">
        <v>52</v>
      </c>
      <c r="AE51" s="53">
        <f t="shared" si="161"/>
        <v>2</v>
      </c>
      <c r="AF51" s="12"/>
      <c r="AG51" s="43">
        <f t="shared" si="162"/>
        <v>2</v>
      </c>
      <c r="AH51" s="33" t="s">
        <v>52</v>
      </c>
      <c r="AI51" s="49">
        <f t="shared" si="163"/>
        <v>6</v>
      </c>
      <c r="AJ51" s="12" t="s">
        <v>53</v>
      </c>
      <c r="AK51" s="33">
        <f t="shared" si="164"/>
        <v>2</v>
      </c>
      <c r="AL51" s="49" t="s">
        <v>54</v>
      </c>
      <c r="AM51" s="12">
        <f t="shared" si="165"/>
        <v>1</v>
      </c>
      <c r="AN51" s="33" t="s">
        <v>52</v>
      </c>
      <c r="AO51" s="49">
        <f t="shared" si="166"/>
        <v>2</v>
      </c>
      <c r="AP51" s="12" t="s">
        <v>53</v>
      </c>
      <c r="AQ51" s="33">
        <f t="shared" si="167"/>
        <v>1</v>
      </c>
      <c r="AR51" s="49" t="s">
        <v>54</v>
      </c>
      <c r="AS51" s="12">
        <f t="shared" si="168"/>
        <v>0</v>
      </c>
      <c r="AT51" s="33" t="s">
        <v>52</v>
      </c>
      <c r="AU51" s="49">
        <f t="shared" si="169"/>
        <v>2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1</v>
      </c>
      <c r="AZ51" s="33" t="s">
        <v>52</v>
      </c>
      <c r="BA51" s="49">
        <f t="shared" si="172"/>
        <v>2</v>
      </c>
      <c r="BB51" s="12" t="s">
        <v>53</v>
      </c>
      <c r="BC51" s="33">
        <f t="shared" si="173"/>
        <v>1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0</v>
      </c>
      <c r="BJ51" s="12" t="str">
        <f t="shared" ref="BJ51:CI51" si="189">IFERROR(IF($B$15="W",BJ22,BJ23),"0")</f>
        <v>-</v>
      </c>
      <c r="BK51" s="49">
        <f t="shared" si="189"/>
        <v>0</v>
      </c>
      <c r="BL51" s="12" t="str">
        <f t="shared" si="189"/>
        <v>(</v>
      </c>
      <c r="BM51" s="33">
        <f t="shared" si="189"/>
        <v>0</v>
      </c>
      <c r="BN51" s="49" t="str">
        <f t="shared" si="189"/>
        <v>)</v>
      </c>
      <c r="BO51" s="12">
        <f t="shared" si="189"/>
        <v>0</v>
      </c>
      <c r="BP51" s="12" t="str">
        <f t="shared" si="189"/>
        <v>-</v>
      </c>
      <c r="BQ51" s="49">
        <f t="shared" si="189"/>
        <v>0</v>
      </c>
      <c r="BR51" s="12" t="str">
        <f t="shared" si="189"/>
        <v>(</v>
      </c>
      <c r="BS51" s="33">
        <f t="shared" si="189"/>
        <v>0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0</v>
      </c>
      <c r="CB51" s="12" t="str">
        <f t="shared" si="189"/>
        <v>-</v>
      </c>
      <c r="CC51" s="49">
        <f t="shared" si="189"/>
        <v>0</v>
      </c>
      <c r="CD51" s="12" t="str">
        <f t="shared" si="189"/>
        <v>(</v>
      </c>
      <c r="CE51" s="33">
        <f t="shared" si="189"/>
        <v>0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2</v>
      </c>
      <c r="CK51" s="33">
        <f t="shared" ref="CK51:CV51" si="190">IFERROR(IF($B$15="W",CK22,CK23),"0")</f>
        <v>7</v>
      </c>
      <c r="CL51" s="33">
        <f t="shared" si="190"/>
        <v>0</v>
      </c>
      <c r="CM51" s="33">
        <f t="shared" si="190"/>
        <v>0</v>
      </c>
      <c r="CN51" s="33">
        <f t="shared" si="190"/>
        <v>9</v>
      </c>
      <c r="CO51" s="33">
        <f t="shared" si="190"/>
        <v>2</v>
      </c>
      <c r="CP51" s="33">
        <f t="shared" si="190"/>
        <v>1</v>
      </c>
      <c r="CQ51" s="33">
        <f t="shared" si="190"/>
        <v>4</v>
      </c>
      <c r="CR51" s="33">
        <f t="shared" si="190"/>
        <v>2</v>
      </c>
      <c r="CS51" s="33">
        <f t="shared" si="190"/>
        <v>0</v>
      </c>
      <c r="CT51" s="33">
        <f t="shared" si="190"/>
        <v>8</v>
      </c>
      <c r="CU51" s="33">
        <f t="shared" si="190"/>
        <v>0</v>
      </c>
      <c r="CV51" s="33">
        <f t="shared" si="190"/>
        <v>6.45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13.749520514765209</v>
      </c>
      <c r="EW51" s="38" t="s">
        <v>229</v>
      </c>
      <c r="EX51" s="6">
        <f t="shared" si="147"/>
        <v>1.45</v>
      </c>
      <c r="EY51" s="6">
        <f t="shared" si="177"/>
        <v>2</v>
      </c>
      <c r="EZ51" s="6">
        <f t="shared" si="178"/>
        <v>2.7395</v>
      </c>
    </row>
    <row r="52" spans="3:156" x14ac:dyDescent="0.2">
      <c r="C52" s="38" t="s">
        <v>113</v>
      </c>
      <c r="D52" s="28">
        <f t="shared" si="144"/>
        <v>32.839999999999996</v>
      </c>
      <c r="E52" s="86">
        <f t="shared" si="148"/>
        <v>9</v>
      </c>
      <c r="F52" s="33" t="s">
        <v>52</v>
      </c>
      <c r="G52" s="49">
        <f t="shared" si="149"/>
        <v>17</v>
      </c>
      <c r="H52" s="12" t="s">
        <v>53</v>
      </c>
      <c r="I52" s="33">
        <f t="shared" si="150"/>
        <v>5</v>
      </c>
      <c r="J52" s="49" t="s">
        <v>54</v>
      </c>
      <c r="K52" s="12">
        <f t="shared" si="151"/>
        <v>4</v>
      </c>
      <c r="L52" s="33" t="s">
        <v>52</v>
      </c>
      <c r="M52" s="49">
        <f t="shared" si="152"/>
        <v>7</v>
      </c>
      <c r="N52" s="12" t="s">
        <v>53</v>
      </c>
      <c r="O52" s="33">
        <f t="shared" si="153"/>
        <v>3</v>
      </c>
      <c r="P52" s="49" t="s">
        <v>54</v>
      </c>
      <c r="Q52" s="12">
        <f t="shared" si="154"/>
        <v>1</v>
      </c>
      <c r="R52" s="33" t="s">
        <v>52</v>
      </c>
      <c r="S52" s="49">
        <f t="shared" si="155"/>
        <v>1</v>
      </c>
      <c r="T52" s="12" t="s">
        <v>53</v>
      </c>
      <c r="U52" s="33">
        <f t="shared" si="156"/>
        <v>0</v>
      </c>
      <c r="V52" s="49" t="s">
        <v>54</v>
      </c>
      <c r="W52" s="12">
        <f t="shared" si="157"/>
        <v>4</v>
      </c>
      <c r="X52" s="33" t="s">
        <v>52</v>
      </c>
      <c r="Y52" s="49">
        <f t="shared" si="158"/>
        <v>9</v>
      </c>
      <c r="Z52" s="12" t="s">
        <v>53</v>
      </c>
      <c r="AA52" s="33">
        <f t="shared" si="159"/>
        <v>2</v>
      </c>
      <c r="AB52" s="49" t="s">
        <v>54</v>
      </c>
      <c r="AC52" s="12">
        <f t="shared" si="160"/>
        <v>2.4</v>
      </c>
      <c r="AD52" s="33" t="s">
        <v>52</v>
      </c>
      <c r="AE52" s="53">
        <f t="shared" si="161"/>
        <v>3</v>
      </c>
      <c r="AF52" s="12"/>
      <c r="AG52" s="43">
        <f t="shared" si="162"/>
        <v>7</v>
      </c>
      <c r="AH52" s="33" t="s">
        <v>52</v>
      </c>
      <c r="AI52" s="49">
        <f t="shared" si="163"/>
        <v>14</v>
      </c>
      <c r="AJ52" s="12" t="s">
        <v>53</v>
      </c>
      <c r="AK52" s="33">
        <f t="shared" si="164"/>
        <v>5</v>
      </c>
      <c r="AL52" s="49" t="s">
        <v>54</v>
      </c>
      <c r="AM52" s="12">
        <f t="shared" si="165"/>
        <v>4</v>
      </c>
      <c r="AN52" s="33" t="s">
        <v>52</v>
      </c>
      <c r="AO52" s="49">
        <f t="shared" si="166"/>
        <v>7</v>
      </c>
      <c r="AP52" s="12" t="s">
        <v>53</v>
      </c>
      <c r="AQ52" s="33">
        <f t="shared" si="167"/>
        <v>3</v>
      </c>
      <c r="AR52" s="49" t="s">
        <v>54</v>
      </c>
      <c r="AS52" s="12">
        <f t="shared" si="168"/>
        <v>1</v>
      </c>
      <c r="AT52" s="33" t="s">
        <v>52</v>
      </c>
      <c r="AU52" s="49">
        <f t="shared" si="169"/>
        <v>1</v>
      </c>
      <c r="AV52" s="12" t="s">
        <v>53</v>
      </c>
      <c r="AW52" s="33">
        <f t="shared" si="170"/>
        <v>0</v>
      </c>
      <c r="AX52" s="49" t="s">
        <v>54</v>
      </c>
      <c r="AY52" s="12">
        <f t="shared" si="171"/>
        <v>2</v>
      </c>
      <c r="AZ52" s="33" t="s">
        <v>52</v>
      </c>
      <c r="BA52" s="49">
        <f t="shared" si="172"/>
        <v>6</v>
      </c>
      <c r="BB52" s="12" t="s">
        <v>53</v>
      </c>
      <c r="BC52" s="33">
        <f t="shared" si="173"/>
        <v>2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2</v>
      </c>
      <c r="BJ52" s="12" t="str">
        <f t="shared" ref="BJ52:CI52" si="191">IFERROR(IF($B$16="W",BJ22,BJ23),"0")</f>
        <v>-</v>
      </c>
      <c r="BK52" s="49">
        <f t="shared" si="191"/>
        <v>3</v>
      </c>
      <c r="BL52" s="12" t="str">
        <f t="shared" si="191"/>
        <v>(</v>
      </c>
      <c r="BM52" s="33">
        <f t="shared" si="191"/>
        <v>0</v>
      </c>
      <c r="BN52" s="49" t="str">
        <f t="shared" si="191"/>
        <v>)</v>
      </c>
      <c r="BO52" s="12">
        <f t="shared" si="191"/>
        <v>0</v>
      </c>
      <c r="BP52" s="12" t="str">
        <f t="shared" si="191"/>
        <v>-</v>
      </c>
      <c r="BQ52" s="49">
        <f t="shared" si="191"/>
        <v>0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2</v>
      </c>
      <c r="CB52" s="12" t="str">
        <f t="shared" si="191"/>
        <v>-</v>
      </c>
      <c r="CC52" s="49">
        <f t="shared" si="191"/>
        <v>3</v>
      </c>
      <c r="CD52" s="12" t="str">
        <f t="shared" si="191"/>
        <v>(</v>
      </c>
      <c r="CE52" s="33">
        <f t="shared" si="191"/>
        <v>0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1</v>
      </c>
      <c r="CK52" s="33">
        <f t="shared" ref="CK52:CV52" si="192">IFERROR(IF($B$16="W",CK22,CK23),"0")</f>
        <v>2</v>
      </c>
      <c r="CL52" s="33">
        <f t="shared" si="192"/>
        <v>0</v>
      </c>
      <c r="CM52" s="33">
        <f t="shared" si="192"/>
        <v>0</v>
      </c>
      <c r="CN52" s="33">
        <f t="shared" si="192"/>
        <v>3</v>
      </c>
      <c r="CO52" s="33">
        <f t="shared" si="192"/>
        <v>5</v>
      </c>
      <c r="CP52" s="33">
        <f t="shared" si="192"/>
        <v>4</v>
      </c>
      <c r="CQ52" s="33">
        <f t="shared" si="192"/>
        <v>1</v>
      </c>
      <c r="CR52" s="33">
        <f t="shared" si="192"/>
        <v>3</v>
      </c>
      <c r="CS52" s="33">
        <f t="shared" si="192"/>
        <v>5</v>
      </c>
      <c r="CT52" s="33">
        <f t="shared" si="192"/>
        <v>3</v>
      </c>
      <c r="CU52" s="33">
        <f t="shared" si="192"/>
        <v>1</v>
      </c>
      <c r="CV52" s="33">
        <f t="shared" si="192"/>
        <v>24.4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19.479896013822639</v>
      </c>
      <c r="EW52" s="38" t="s">
        <v>113</v>
      </c>
      <c r="EX52" s="6">
        <f t="shared" si="147"/>
        <v>2.4</v>
      </c>
      <c r="EY52" s="6">
        <f t="shared" si="177"/>
        <v>3</v>
      </c>
      <c r="EZ52" s="6">
        <f t="shared" si="178"/>
        <v>10.151999999999999</v>
      </c>
    </row>
    <row r="53" spans="3:156" x14ac:dyDescent="0.2">
      <c r="C53" s="38" t="s">
        <v>49</v>
      </c>
      <c r="D53" s="28">
        <f t="shared" si="144"/>
        <v>32.840000000000003</v>
      </c>
      <c r="E53" s="86">
        <f t="shared" si="148"/>
        <v>2</v>
      </c>
      <c r="F53" s="33" t="s">
        <v>52</v>
      </c>
      <c r="G53" s="49">
        <f t="shared" si="149"/>
        <v>6</v>
      </c>
      <c r="H53" s="12" t="s">
        <v>53</v>
      </c>
      <c r="I53" s="33">
        <f t="shared" si="150"/>
        <v>2</v>
      </c>
      <c r="J53" s="49" t="s">
        <v>54</v>
      </c>
      <c r="K53" s="12">
        <f t="shared" si="151"/>
        <v>1</v>
      </c>
      <c r="L53" s="33" t="s">
        <v>52</v>
      </c>
      <c r="M53" s="49">
        <f t="shared" si="152"/>
        <v>2</v>
      </c>
      <c r="N53" s="12" t="s">
        <v>53</v>
      </c>
      <c r="O53" s="33">
        <f t="shared" si="153"/>
        <v>1</v>
      </c>
      <c r="P53" s="49" t="s">
        <v>54</v>
      </c>
      <c r="Q53" s="12">
        <f t="shared" si="154"/>
        <v>0</v>
      </c>
      <c r="R53" s="33" t="s">
        <v>52</v>
      </c>
      <c r="S53" s="49">
        <f t="shared" si="155"/>
        <v>2</v>
      </c>
      <c r="T53" s="12" t="s">
        <v>53</v>
      </c>
      <c r="U53" s="33">
        <f t="shared" si="156"/>
        <v>0</v>
      </c>
      <c r="V53" s="49" t="s">
        <v>54</v>
      </c>
      <c r="W53" s="12">
        <f t="shared" si="157"/>
        <v>1</v>
      </c>
      <c r="X53" s="33" t="s">
        <v>52</v>
      </c>
      <c r="Y53" s="49">
        <f t="shared" si="158"/>
        <v>2</v>
      </c>
      <c r="Z53" s="12" t="s">
        <v>53</v>
      </c>
      <c r="AA53" s="33">
        <f t="shared" si="159"/>
        <v>1</v>
      </c>
      <c r="AB53" s="49" t="s">
        <v>54</v>
      </c>
      <c r="AC53" s="12">
        <f t="shared" si="160"/>
        <v>1.45</v>
      </c>
      <c r="AD53" s="33" t="s">
        <v>52</v>
      </c>
      <c r="AE53" s="53">
        <f t="shared" si="161"/>
        <v>2</v>
      </c>
      <c r="AF53" s="12"/>
      <c r="AG53" s="43">
        <f t="shared" si="162"/>
        <v>2</v>
      </c>
      <c r="AH53" s="33" t="s">
        <v>52</v>
      </c>
      <c r="AI53" s="49">
        <f t="shared" si="163"/>
        <v>6</v>
      </c>
      <c r="AJ53" s="12" t="s">
        <v>53</v>
      </c>
      <c r="AK53" s="33">
        <f t="shared" si="164"/>
        <v>2</v>
      </c>
      <c r="AL53" s="49" t="s">
        <v>54</v>
      </c>
      <c r="AM53" s="12">
        <f t="shared" si="165"/>
        <v>1</v>
      </c>
      <c r="AN53" s="33" t="s">
        <v>52</v>
      </c>
      <c r="AO53" s="49">
        <f t="shared" si="166"/>
        <v>2</v>
      </c>
      <c r="AP53" s="12" t="s">
        <v>53</v>
      </c>
      <c r="AQ53" s="33">
        <f t="shared" si="167"/>
        <v>1</v>
      </c>
      <c r="AR53" s="49" t="s">
        <v>54</v>
      </c>
      <c r="AS53" s="12">
        <f t="shared" si="168"/>
        <v>0</v>
      </c>
      <c r="AT53" s="33" t="s">
        <v>52</v>
      </c>
      <c r="AU53" s="49">
        <f t="shared" si="169"/>
        <v>2</v>
      </c>
      <c r="AV53" s="12" t="s">
        <v>53</v>
      </c>
      <c r="AW53" s="33">
        <f t="shared" si="170"/>
        <v>0</v>
      </c>
      <c r="AX53" s="49" t="s">
        <v>54</v>
      </c>
      <c r="AY53" s="12">
        <f t="shared" si="171"/>
        <v>1</v>
      </c>
      <c r="AZ53" s="33" t="s">
        <v>52</v>
      </c>
      <c r="BA53" s="49">
        <f t="shared" si="172"/>
        <v>2</v>
      </c>
      <c r="BB53" s="12" t="s">
        <v>53</v>
      </c>
      <c r="BC53" s="33">
        <f t="shared" si="173"/>
        <v>1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0</v>
      </c>
      <c r="BJ53" s="12" t="str">
        <f t="shared" ref="BJ53:CI53" si="193">IFERROR(IF($B$17="W",BJ22,BJ23),"0")</f>
        <v>-</v>
      </c>
      <c r="BK53" s="49">
        <f t="shared" si="193"/>
        <v>0</v>
      </c>
      <c r="BL53" s="12" t="str">
        <f t="shared" si="193"/>
        <v>(</v>
      </c>
      <c r="BM53" s="33">
        <f t="shared" si="193"/>
        <v>0</v>
      </c>
      <c r="BN53" s="49" t="str">
        <f t="shared" si="193"/>
        <v>)</v>
      </c>
      <c r="BO53" s="12">
        <f t="shared" si="193"/>
        <v>0</v>
      </c>
      <c r="BP53" s="12" t="str">
        <f t="shared" si="193"/>
        <v>-</v>
      </c>
      <c r="BQ53" s="49">
        <f t="shared" si="193"/>
        <v>0</v>
      </c>
      <c r="BR53" s="12" t="str">
        <f t="shared" si="193"/>
        <v>(</v>
      </c>
      <c r="BS53" s="33">
        <f t="shared" si="193"/>
        <v>0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0</v>
      </c>
      <c r="CB53" s="12" t="str">
        <f t="shared" si="193"/>
        <v>-</v>
      </c>
      <c r="CC53" s="49">
        <f t="shared" si="193"/>
        <v>0</v>
      </c>
      <c r="CD53" s="12" t="str">
        <f t="shared" si="193"/>
        <v>(</v>
      </c>
      <c r="CE53" s="33">
        <f t="shared" si="193"/>
        <v>0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2</v>
      </c>
      <c r="CK53" s="33">
        <f t="shared" ref="CK53:CV53" si="194">IFERROR(IF($B$17="W",CK22,CK23),"0")</f>
        <v>7</v>
      </c>
      <c r="CL53" s="33">
        <f t="shared" si="194"/>
        <v>0</v>
      </c>
      <c r="CM53" s="33">
        <f t="shared" si="194"/>
        <v>0</v>
      </c>
      <c r="CN53" s="33">
        <f t="shared" si="194"/>
        <v>9</v>
      </c>
      <c r="CO53" s="33">
        <f t="shared" si="194"/>
        <v>2</v>
      </c>
      <c r="CP53" s="33">
        <f t="shared" si="194"/>
        <v>1</v>
      </c>
      <c r="CQ53" s="33">
        <f t="shared" si="194"/>
        <v>4</v>
      </c>
      <c r="CR53" s="33">
        <f t="shared" si="194"/>
        <v>2</v>
      </c>
      <c r="CS53" s="33">
        <f t="shared" si="194"/>
        <v>0</v>
      </c>
      <c r="CT53" s="33">
        <f t="shared" si="194"/>
        <v>8</v>
      </c>
      <c r="CU53" s="33">
        <f t="shared" si="194"/>
        <v>0</v>
      </c>
      <c r="CV53" s="33">
        <f t="shared" si="194"/>
        <v>6.45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13.749520514765209</v>
      </c>
      <c r="EW53" s="38" t="s">
        <v>49</v>
      </c>
      <c r="EX53" s="6">
        <f t="shared" si="147"/>
        <v>1.45</v>
      </c>
      <c r="EY53" s="6">
        <f t="shared" si="177"/>
        <v>2</v>
      </c>
      <c r="EZ53" s="6">
        <f t="shared" si="178"/>
        <v>2.7395</v>
      </c>
    </row>
    <row r="54" spans="3:156" ht="17" thickBot="1" x14ac:dyDescent="0.25">
      <c r="C54" s="38" t="s">
        <v>230</v>
      </c>
      <c r="D54" s="28">
        <f t="shared" si="144"/>
        <v>32.839999999999996</v>
      </c>
      <c r="E54" s="87">
        <f t="shared" si="148"/>
        <v>9</v>
      </c>
      <c r="F54" s="55" t="s">
        <v>52</v>
      </c>
      <c r="G54" s="54">
        <f t="shared" si="149"/>
        <v>17</v>
      </c>
      <c r="H54" s="45" t="s">
        <v>53</v>
      </c>
      <c r="I54" s="55">
        <f t="shared" si="150"/>
        <v>5</v>
      </c>
      <c r="J54" s="54" t="s">
        <v>54</v>
      </c>
      <c r="K54" s="45">
        <f t="shared" si="151"/>
        <v>4</v>
      </c>
      <c r="L54" s="55" t="s">
        <v>52</v>
      </c>
      <c r="M54" s="54">
        <f t="shared" si="152"/>
        <v>7</v>
      </c>
      <c r="N54" s="45" t="s">
        <v>53</v>
      </c>
      <c r="O54" s="55">
        <f t="shared" si="153"/>
        <v>3</v>
      </c>
      <c r="P54" s="54" t="s">
        <v>54</v>
      </c>
      <c r="Q54" s="45">
        <f t="shared" si="154"/>
        <v>1</v>
      </c>
      <c r="R54" s="55" t="s">
        <v>52</v>
      </c>
      <c r="S54" s="54">
        <f t="shared" si="155"/>
        <v>1</v>
      </c>
      <c r="T54" s="45" t="s">
        <v>53</v>
      </c>
      <c r="U54" s="55">
        <f t="shared" si="156"/>
        <v>0</v>
      </c>
      <c r="V54" s="54" t="s">
        <v>54</v>
      </c>
      <c r="W54" s="45">
        <f t="shared" si="157"/>
        <v>4</v>
      </c>
      <c r="X54" s="55" t="s">
        <v>52</v>
      </c>
      <c r="Y54" s="54">
        <f t="shared" si="158"/>
        <v>9</v>
      </c>
      <c r="Z54" s="45" t="s">
        <v>53</v>
      </c>
      <c r="AA54" s="55">
        <f t="shared" si="159"/>
        <v>2</v>
      </c>
      <c r="AB54" s="54" t="s">
        <v>54</v>
      </c>
      <c r="AC54" s="45">
        <f t="shared" si="160"/>
        <v>2.4</v>
      </c>
      <c r="AD54" s="55" t="s">
        <v>52</v>
      </c>
      <c r="AE54" s="56">
        <f t="shared" si="161"/>
        <v>3</v>
      </c>
      <c r="AF54" s="1"/>
      <c r="AG54" s="44">
        <f t="shared" si="162"/>
        <v>7</v>
      </c>
      <c r="AH54" s="55" t="s">
        <v>52</v>
      </c>
      <c r="AI54" s="54">
        <f t="shared" si="163"/>
        <v>14</v>
      </c>
      <c r="AJ54" s="45" t="s">
        <v>53</v>
      </c>
      <c r="AK54" s="55">
        <f t="shared" si="164"/>
        <v>5</v>
      </c>
      <c r="AL54" s="54" t="s">
        <v>54</v>
      </c>
      <c r="AM54" s="45">
        <f t="shared" si="165"/>
        <v>4</v>
      </c>
      <c r="AN54" s="55" t="s">
        <v>52</v>
      </c>
      <c r="AO54" s="54">
        <f t="shared" si="166"/>
        <v>7</v>
      </c>
      <c r="AP54" s="45" t="s">
        <v>53</v>
      </c>
      <c r="AQ54" s="55">
        <f t="shared" si="167"/>
        <v>3</v>
      </c>
      <c r="AR54" s="54" t="s">
        <v>54</v>
      </c>
      <c r="AS54" s="45">
        <f t="shared" si="168"/>
        <v>1</v>
      </c>
      <c r="AT54" s="55" t="s">
        <v>52</v>
      </c>
      <c r="AU54" s="54">
        <f t="shared" si="169"/>
        <v>1</v>
      </c>
      <c r="AV54" s="45" t="s">
        <v>53</v>
      </c>
      <c r="AW54" s="55">
        <f t="shared" si="170"/>
        <v>0</v>
      </c>
      <c r="AX54" s="54" t="s">
        <v>54</v>
      </c>
      <c r="AY54" s="45">
        <f t="shared" si="171"/>
        <v>2</v>
      </c>
      <c r="AZ54" s="55" t="s">
        <v>52</v>
      </c>
      <c r="BA54" s="54">
        <f t="shared" si="172"/>
        <v>6</v>
      </c>
      <c r="BB54" s="45" t="s">
        <v>53</v>
      </c>
      <c r="BC54" s="55">
        <f t="shared" si="173"/>
        <v>2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2</v>
      </c>
      <c r="BJ54" s="45" t="str">
        <f t="shared" ref="BJ54:CV54" si="195">IFERROR(IF($B$18="W",BJ22,BJ23),"0")</f>
        <v>-</v>
      </c>
      <c r="BK54" s="54">
        <f t="shared" si="195"/>
        <v>3</v>
      </c>
      <c r="BL54" s="45" t="str">
        <f t="shared" si="195"/>
        <v>(</v>
      </c>
      <c r="BM54" s="55">
        <f t="shared" si="195"/>
        <v>0</v>
      </c>
      <c r="BN54" s="54" t="str">
        <f t="shared" si="195"/>
        <v>)</v>
      </c>
      <c r="BO54" s="45">
        <f t="shared" si="195"/>
        <v>0</v>
      </c>
      <c r="BP54" s="45" t="str">
        <f t="shared" si="195"/>
        <v>-</v>
      </c>
      <c r="BQ54" s="54">
        <f t="shared" si="195"/>
        <v>0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0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2</v>
      </c>
      <c r="CB54" s="45" t="str">
        <f t="shared" si="195"/>
        <v>-</v>
      </c>
      <c r="CC54" s="54">
        <f t="shared" si="195"/>
        <v>3</v>
      </c>
      <c r="CD54" s="45" t="str">
        <f t="shared" si="195"/>
        <v>(</v>
      </c>
      <c r="CE54" s="55">
        <f t="shared" si="195"/>
        <v>0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1</v>
      </c>
      <c r="CK54" s="33">
        <f t="shared" si="195"/>
        <v>2</v>
      </c>
      <c r="CL54" s="33">
        <f t="shared" si="195"/>
        <v>0</v>
      </c>
      <c r="CM54" s="33">
        <f>IFERROR(IF($B$18="W",CM22,CM23),"0")</f>
        <v>0</v>
      </c>
      <c r="CN54" s="33">
        <f t="shared" si="195"/>
        <v>3</v>
      </c>
      <c r="CO54" s="33">
        <f t="shared" si="195"/>
        <v>5</v>
      </c>
      <c r="CP54" s="33">
        <f t="shared" si="195"/>
        <v>4</v>
      </c>
      <c r="CQ54" s="33">
        <f t="shared" si="195"/>
        <v>1</v>
      </c>
      <c r="CR54" s="33">
        <f t="shared" si="195"/>
        <v>3</v>
      </c>
      <c r="CS54" s="33">
        <f t="shared" si="195"/>
        <v>5</v>
      </c>
      <c r="CT54" s="33">
        <f t="shared" si="195"/>
        <v>3</v>
      </c>
      <c r="CU54" s="33">
        <f t="shared" si="195"/>
        <v>1</v>
      </c>
      <c r="CV54" s="33">
        <f t="shared" si="195"/>
        <v>24.4</v>
      </c>
      <c r="CW54" s="33"/>
      <c r="CX54" s="1"/>
      <c r="CY54" s="1"/>
      <c r="CZ54" s="1"/>
      <c r="EF54" s="38" t="s">
        <v>230</v>
      </c>
      <c r="EG54" s="6">
        <f t="shared" si="146"/>
        <v>19.479896013822639</v>
      </c>
      <c r="EW54" s="38" t="s">
        <v>230</v>
      </c>
      <c r="EX54" s="6">
        <f t="shared" si="147"/>
        <v>2.4</v>
      </c>
      <c r="EY54" s="6">
        <f t="shared" si="177"/>
        <v>3</v>
      </c>
      <c r="EZ54" s="6">
        <f t="shared" si="178"/>
        <v>10.151999999999999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489"/>
      <c r="J57" s="51"/>
      <c r="K57" s="48"/>
      <c r="M57" s="51"/>
      <c r="N57" s="48"/>
      <c r="O57" s="489"/>
      <c r="P57" s="51"/>
      <c r="Q57" s="48"/>
      <c r="S57" s="51"/>
      <c r="T57" s="48"/>
      <c r="U57" s="489"/>
      <c r="V57" s="51"/>
      <c r="W57" s="48"/>
      <c r="Y57" s="51"/>
      <c r="Z57" s="48"/>
      <c r="AA57" s="489"/>
      <c r="AB57" s="51"/>
      <c r="AC57" s="48"/>
      <c r="AE57" s="51"/>
      <c r="AG57" s="48"/>
      <c r="AI57" s="51"/>
      <c r="AJ57" s="48"/>
      <c r="AK57" s="489"/>
      <c r="AL57" s="51"/>
      <c r="AM57" s="48"/>
      <c r="AO57" s="51"/>
      <c r="AP57" s="48"/>
      <c r="AQ57" s="489"/>
      <c r="AR57" s="51"/>
      <c r="AS57" s="48"/>
      <c r="AU57" s="51"/>
      <c r="AV57" s="48"/>
      <c r="AW57" s="489"/>
      <c r="AX57" s="51"/>
      <c r="AY57" s="48"/>
      <c r="BA57" s="51"/>
      <c r="BB57" s="48"/>
      <c r="BC57" s="489"/>
      <c r="BD57" s="51"/>
      <c r="BE57" s="48"/>
      <c r="BG57" s="51"/>
      <c r="BH57" s="51"/>
      <c r="BI57" s="48"/>
      <c r="BK57" s="51"/>
      <c r="BL57" s="48"/>
      <c r="BM57" s="489"/>
      <c r="BN57" s="51"/>
      <c r="BO57" s="48"/>
      <c r="BQ57" s="51"/>
      <c r="BR57" s="48"/>
      <c r="BS57" s="489"/>
      <c r="BT57" s="51"/>
      <c r="BU57" s="48"/>
      <c r="BW57" s="51"/>
      <c r="BX57" s="48"/>
      <c r="BY57" s="489"/>
      <c r="BZ57" s="51"/>
      <c r="CA57" s="48"/>
      <c r="CC57" s="51"/>
      <c r="CD57" s="48"/>
      <c r="CE57" s="489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489"/>
      <c r="J58" s="51"/>
      <c r="K58" s="48"/>
      <c r="M58" s="51"/>
      <c r="N58" s="48"/>
      <c r="O58" s="489"/>
      <c r="P58" s="51"/>
      <c r="Q58" s="48"/>
      <c r="S58" s="51"/>
      <c r="T58" s="48"/>
      <c r="U58" s="489"/>
      <c r="V58" s="51"/>
      <c r="W58" s="48"/>
      <c r="Y58" s="51"/>
      <c r="Z58" s="48"/>
      <c r="AA58" s="489"/>
      <c r="AB58" s="51"/>
      <c r="AC58" s="48"/>
      <c r="AE58" s="51"/>
      <c r="AG58" s="48"/>
      <c r="AI58" s="51"/>
      <c r="AJ58" s="48"/>
      <c r="AK58" s="489"/>
      <c r="AL58" s="51"/>
      <c r="AM58" s="48"/>
      <c r="AO58" s="51"/>
      <c r="AP58" s="48"/>
      <c r="AQ58" s="489"/>
      <c r="AR58" s="51"/>
      <c r="AS58" s="48"/>
      <c r="AU58" s="51"/>
      <c r="AV58" s="48"/>
      <c r="AW58" s="489"/>
      <c r="AX58" s="51"/>
      <c r="AY58" s="48"/>
      <c r="BA58" s="51"/>
      <c r="BB58" s="48"/>
      <c r="BC58" s="489"/>
      <c r="BD58" s="51"/>
      <c r="BE58" s="48"/>
      <c r="BG58" s="51"/>
      <c r="BH58" s="51"/>
      <c r="BI58" s="48"/>
      <c r="BK58" s="51"/>
      <c r="BL58" s="48"/>
      <c r="BM58" s="489"/>
      <c r="BN58" s="51"/>
      <c r="BO58" s="48"/>
      <c r="BQ58" s="51"/>
      <c r="BR58" s="48"/>
      <c r="BS58" s="489"/>
      <c r="BT58" s="51"/>
      <c r="BU58" s="48"/>
      <c r="BW58" s="51"/>
      <c r="BX58" s="48"/>
      <c r="BY58" s="489"/>
      <c r="BZ58" s="51"/>
      <c r="CA58" s="48"/>
      <c r="CC58" s="51"/>
      <c r="CD58" s="48"/>
      <c r="CE58" s="489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489"/>
      <c r="DE62" s="489"/>
      <c r="DF62" s="489"/>
      <c r="DG62" s="489"/>
      <c r="DH62" s="23"/>
      <c r="DI62" s="489"/>
      <c r="DJ62" s="489"/>
      <c r="DK62" s="489"/>
      <c r="DL62" s="489"/>
      <c r="DM62" s="489"/>
      <c r="DN62" s="489"/>
      <c r="DO62" s="489"/>
      <c r="DP62" s="489"/>
      <c r="DQ62" s="489"/>
      <c r="DR62" s="489"/>
      <c r="DS62" s="489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489"/>
      <c r="DE63" s="489"/>
      <c r="DF63" s="489"/>
      <c r="DG63" s="489"/>
      <c r="DH63" s="23"/>
      <c r="DI63" s="489"/>
      <c r="DJ63" s="489"/>
      <c r="DK63" s="489"/>
      <c r="DL63" s="489"/>
      <c r="DM63" s="489"/>
      <c r="DN63" s="489"/>
      <c r="DO63" s="489"/>
      <c r="DP63" s="489"/>
      <c r="DQ63" s="489"/>
      <c r="DR63" s="489"/>
      <c r="DS63" s="489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489"/>
      <c r="DE64" s="489"/>
      <c r="DF64" s="489"/>
      <c r="DG64" s="489"/>
      <c r="DH64" s="23"/>
      <c r="DI64" s="489"/>
      <c r="DJ64" s="489"/>
      <c r="DK64" s="489"/>
      <c r="DL64" s="489"/>
      <c r="DM64" s="489"/>
      <c r="DN64" s="489"/>
      <c r="DO64" s="489"/>
      <c r="DP64" s="489"/>
      <c r="DQ64" s="489"/>
      <c r="DR64" s="489"/>
      <c r="DS64" s="489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489"/>
      <c r="DE65" s="489"/>
      <c r="DF65" s="489"/>
      <c r="DG65" s="489"/>
      <c r="DH65" s="23"/>
      <c r="DI65" s="489"/>
      <c r="DJ65" s="489"/>
      <c r="DK65" s="489"/>
      <c r="DL65" s="489"/>
      <c r="DM65" s="489"/>
      <c r="DN65" s="489"/>
      <c r="DO65" s="489"/>
      <c r="DP65" s="489"/>
      <c r="DQ65" s="489"/>
      <c r="DR65" s="489"/>
      <c r="DS65" s="489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489"/>
      <c r="DE66" s="489"/>
      <c r="DF66" s="489"/>
      <c r="DG66" s="489"/>
      <c r="DH66" s="23"/>
      <c r="DI66" s="489"/>
      <c r="DJ66" s="489"/>
      <c r="DK66" s="489"/>
      <c r="DL66" s="489"/>
      <c r="DM66" s="489"/>
      <c r="DN66" s="489"/>
      <c r="DO66" s="489"/>
      <c r="DP66" s="489"/>
      <c r="DQ66" s="489"/>
      <c r="DR66" s="489"/>
      <c r="DS66" s="489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489"/>
      <c r="DE67" s="489"/>
      <c r="DF67" s="489"/>
      <c r="DG67" s="489"/>
      <c r="DH67" s="23"/>
      <c r="DI67" s="489"/>
      <c r="DJ67" s="489"/>
      <c r="DK67" s="489"/>
      <c r="DL67" s="489"/>
      <c r="DM67" s="489"/>
      <c r="DN67" s="489"/>
      <c r="DO67" s="489"/>
      <c r="DP67" s="489"/>
      <c r="DQ67" s="489"/>
      <c r="DR67" s="489"/>
      <c r="DS67" s="489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489"/>
      <c r="DE68" s="489"/>
      <c r="DF68" s="489"/>
      <c r="DG68" s="489"/>
      <c r="DH68" s="23"/>
      <c r="DI68" s="489"/>
      <c r="DJ68" s="489"/>
      <c r="DK68" s="489"/>
      <c r="DL68" s="489"/>
      <c r="DM68" s="489"/>
      <c r="DN68" s="489"/>
      <c r="DO68" s="489"/>
      <c r="DP68" s="489"/>
      <c r="DQ68" s="489"/>
      <c r="DR68" s="489"/>
      <c r="DS68" s="489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489"/>
      <c r="DE69" s="489"/>
      <c r="DF69" s="489"/>
      <c r="DG69" s="489"/>
      <c r="DH69" s="23"/>
      <c r="DI69" s="489"/>
      <c r="DJ69" s="489"/>
      <c r="DK69" s="489"/>
      <c r="DL69" s="489"/>
      <c r="DM69" s="489"/>
      <c r="DN69" s="489"/>
      <c r="DO69" s="489"/>
      <c r="DP69" s="489"/>
      <c r="DQ69" s="489"/>
      <c r="DR69" s="489"/>
      <c r="DS69" s="489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489"/>
      <c r="DE70" s="489"/>
      <c r="DF70" s="489"/>
      <c r="DG70" s="489"/>
      <c r="DH70" s="23"/>
      <c r="DI70" s="489"/>
      <c r="DJ70" s="489"/>
      <c r="DK70" s="489"/>
      <c r="DL70" s="489"/>
      <c r="DM70" s="489"/>
      <c r="DN70" s="489"/>
      <c r="DO70" s="489"/>
      <c r="DP70" s="489"/>
      <c r="DQ70" s="489"/>
      <c r="DR70" s="489"/>
      <c r="DS70" s="489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489"/>
      <c r="DE71" s="489"/>
      <c r="DF71" s="489"/>
      <c r="DG71" s="489"/>
      <c r="DH71" s="23"/>
      <c r="DI71" s="489"/>
      <c r="DJ71" s="489"/>
      <c r="DK71" s="489"/>
      <c r="DL71" s="489"/>
      <c r="DM71" s="489"/>
      <c r="DN71" s="489"/>
      <c r="DO71" s="489"/>
      <c r="DP71" s="489"/>
      <c r="DQ71" s="489"/>
      <c r="DR71" s="489"/>
      <c r="DS71" s="489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489"/>
      <c r="DE72" s="489"/>
      <c r="DF72" s="489"/>
      <c r="DG72" s="489"/>
      <c r="DH72" s="23"/>
      <c r="DI72" s="489"/>
      <c r="DJ72" s="489"/>
      <c r="DK72" s="489"/>
      <c r="DL72" s="489"/>
      <c r="DM72" s="489"/>
      <c r="DN72" s="489"/>
      <c r="DO72" s="489"/>
      <c r="DP72" s="489"/>
      <c r="DQ72" s="489"/>
      <c r="DR72" s="489"/>
      <c r="DS72" s="489"/>
    </row>
    <row r="73" spans="3:123" x14ac:dyDescent="0.2">
      <c r="CJ73" s="489"/>
      <c r="CK73" s="489"/>
      <c r="CL73" s="489"/>
      <c r="CM73" s="489"/>
      <c r="CN73" s="489"/>
      <c r="CO73" s="489"/>
      <c r="CP73" s="489"/>
      <c r="CQ73" s="489"/>
      <c r="CR73" s="489"/>
      <c r="CS73" s="22"/>
      <c r="CT73" s="489"/>
      <c r="CU73" s="489"/>
      <c r="CV73" s="489"/>
      <c r="CW73" s="489"/>
      <c r="CX73" s="489"/>
      <c r="CY73" s="489"/>
      <c r="CZ73" s="489"/>
      <c r="DA73" s="489"/>
      <c r="DB73" s="489"/>
      <c r="DC73" s="489"/>
      <c r="DD73" s="489"/>
      <c r="DE73" s="489"/>
      <c r="DF73" s="489"/>
      <c r="DG73" s="489"/>
      <c r="DH73" s="489"/>
      <c r="DI73" s="489"/>
      <c r="DJ73" s="489"/>
      <c r="DK73" s="489"/>
      <c r="DL73" s="489"/>
      <c r="DM73" s="489"/>
      <c r="DN73" s="489"/>
      <c r="DO73" s="489"/>
      <c r="DP73" s="489"/>
      <c r="DQ73" s="489"/>
      <c r="DR73" s="489"/>
      <c r="DS73" s="489"/>
    </row>
  </sheetData>
  <dataConsolidate/>
  <mergeCells count="26">
    <mergeCell ref="C2:D2"/>
    <mergeCell ref="E2:AE2"/>
    <mergeCell ref="AG2:BG2"/>
    <mergeCell ref="BI2:CI2"/>
    <mergeCell ref="CJ2:CN2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Y29:CZ29"/>
    <mergeCell ref="BE3:BG3"/>
    <mergeCell ref="BI3:BN3"/>
    <mergeCell ref="BO3:BT3"/>
    <mergeCell ref="BU3:BZ3"/>
    <mergeCell ref="CA3:CF3"/>
    <mergeCell ref="CG3:CI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42A7-DDD1-CF48-8418-AAF59A6DBE6C}">
  <sheetPr codeName="Sheet73"/>
  <dimension ref="A1:GO73"/>
  <sheetViews>
    <sheetView showRuler="0" zoomScale="136" zoomScaleNormal="136" workbookViewId="0">
      <pane xSplit="3" topLeftCell="FB1" activePane="topRight" state="frozen"/>
      <selection pane="topRight" activeCell="FI21" sqref="FI21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1640625" customWidth="1"/>
    <col min="4" max="4" width="9.83203125" customWidth="1"/>
    <col min="5" max="5" width="3.33203125" customWidth="1"/>
    <col min="6" max="6" width="1.33203125" customWidth="1"/>
    <col min="7" max="7" width="3.5" customWidth="1"/>
    <col min="8" max="8" width="1.6640625" customWidth="1"/>
    <col min="9" max="9" width="2.6640625" customWidth="1"/>
    <col min="10" max="10" width="2.33203125" customWidth="1"/>
    <col min="11" max="11" width="3.33203125" customWidth="1"/>
    <col min="12" max="12" width="1.33203125" customWidth="1"/>
    <col min="13" max="13" width="3.1640625" customWidth="1"/>
    <col min="14" max="14" width="1.6640625" customWidth="1"/>
    <col min="15" max="15" width="2.6640625" customWidth="1"/>
    <col min="16" max="16" width="3" customWidth="1"/>
    <col min="17" max="17" width="3.33203125" customWidth="1"/>
    <col min="18" max="18" width="1.33203125" customWidth="1"/>
    <col min="19" max="19" width="2.6640625" customWidth="1"/>
    <col min="20" max="20" width="1.6640625" customWidth="1"/>
    <col min="21" max="21" width="2.6640625" customWidth="1"/>
    <col min="22" max="22" width="3.83203125" customWidth="1"/>
    <col min="23" max="23" width="3.33203125" customWidth="1"/>
    <col min="24" max="24" width="1.33203125" customWidth="1"/>
    <col min="25" max="25" width="3.33203125" customWidth="1"/>
    <col min="26" max="26" width="1.6640625" customWidth="1"/>
    <col min="27" max="27" width="2.33203125" customWidth="1"/>
    <col min="28" max="28" width="3.83203125" customWidth="1"/>
    <col min="29" max="29" width="3.33203125" customWidth="1"/>
    <col min="30" max="30" width="1.33203125" customWidth="1"/>
    <col min="31" max="31" width="3.6640625" customWidth="1"/>
    <col min="32" max="32" width="2.6640625" customWidth="1" outlineLevel="1"/>
    <col min="33" max="33" width="3.33203125" customWidth="1" outlineLevel="1"/>
    <col min="34" max="34" width="1.33203125" customWidth="1" outlineLevel="1"/>
    <col min="35" max="35" width="3.33203125" customWidth="1" outlineLevel="1"/>
    <col min="36" max="36" width="1.6640625" customWidth="1" outlineLevel="1"/>
    <col min="37" max="37" width="2.1640625" customWidth="1" outlineLevel="1"/>
    <col min="38" max="38" width="3" customWidth="1" outlineLevel="1"/>
    <col min="39" max="39" width="3.33203125" customWidth="1" outlineLevel="1"/>
    <col min="40" max="40" width="1.33203125" customWidth="1" outlineLevel="1"/>
    <col min="41" max="41" width="2.6640625" customWidth="1" outlineLevel="1"/>
    <col min="42" max="42" width="1.6640625" customWidth="1" outlineLevel="1"/>
    <col min="43" max="43" width="2" customWidth="1" outlineLevel="1"/>
    <col min="44" max="45" width="3.33203125" customWidth="1" outlineLevel="1"/>
    <col min="46" max="46" width="1.33203125" customWidth="1" outlineLevel="1"/>
    <col min="47" max="47" width="2.6640625" customWidth="1" outlineLevel="1"/>
    <col min="48" max="48" width="1.6640625" customWidth="1" outlineLevel="1"/>
    <col min="49" max="49" width="2.33203125" customWidth="1" outlineLevel="1"/>
    <col min="50" max="50" width="3.83203125" customWidth="1" outlineLevel="1"/>
    <col min="51" max="51" width="3.33203125" customWidth="1" outlineLevel="1"/>
    <col min="52" max="52" width="1.33203125" customWidth="1" outlineLevel="1"/>
    <col min="53" max="53" width="3.33203125" customWidth="1" outlineLevel="1"/>
    <col min="54" max="54" width="1.6640625" customWidth="1" outlineLevel="1"/>
    <col min="55" max="55" width="2.1640625" customWidth="1" outlineLevel="1"/>
    <col min="56" max="56" width="3.83203125" customWidth="1" outlineLevel="1"/>
    <col min="57" max="57" width="3.33203125" customWidth="1" outlineLevel="1"/>
    <col min="58" max="58" width="1.33203125" customWidth="1" outlineLevel="1"/>
    <col min="59" max="59" width="3.6640625" customWidth="1" outlineLevel="1"/>
    <col min="60" max="60" width="2.5" customWidth="1" outlineLevel="1"/>
    <col min="61" max="61" width="3.33203125" customWidth="1" outlineLevel="1"/>
    <col min="62" max="62" width="1.33203125" customWidth="1" outlineLevel="1"/>
    <col min="63" max="63" width="2.83203125" customWidth="1" outlineLevel="1"/>
    <col min="64" max="64" width="1.6640625" customWidth="1" outlineLevel="1"/>
    <col min="65" max="65" width="2.1640625" customWidth="1" outlineLevel="1"/>
    <col min="66" max="66" width="2.33203125" customWidth="1" outlineLevel="1"/>
    <col min="67" max="67" width="3.33203125" customWidth="1" outlineLevel="1"/>
    <col min="68" max="68" width="1.33203125" customWidth="1" outlineLevel="1"/>
    <col min="69" max="69" width="2.6640625" customWidth="1" outlineLevel="1"/>
    <col min="70" max="70" width="1.6640625" customWidth="1" outlineLevel="1"/>
    <col min="71" max="71" width="2.1640625" customWidth="1" outlineLevel="1"/>
    <col min="72" max="72" width="2.83203125" customWidth="1" outlineLevel="1"/>
    <col min="73" max="73" width="3.33203125" customWidth="1" outlineLevel="1"/>
    <col min="74" max="74" width="1.33203125" customWidth="1" outlineLevel="1"/>
    <col min="75" max="75" width="2.6640625" customWidth="1" outlineLevel="1"/>
    <col min="76" max="76" width="1.6640625" customWidth="1" outlineLevel="1"/>
    <col min="77" max="77" width="2" customWidth="1" outlineLevel="1"/>
    <col min="78" max="78" width="3.83203125" customWidth="1" outlineLevel="1"/>
    <col min="79" max="79" width="3.33203125" customWidth="1" outlineLevel="1"/>
    <col min="80" max="80" width="1.33203125" customWidth="1" outlineLevel="1"/>
    <col min="81" max="81" width="2.6640625" customWidth="1" outlineLevel="1"/>
    <col min="82" max="82" width="1.6640625" customWidth="1" outlineLevel="1"/>
    <col min="83" max="83" width="2.5" customWidth="1" outlineLevel="1"/>
    <col min="84" max="84" width="3.83203125" customWidth="1" outlineLevel="1"/>
    <col min="85" max="85" width="3.33203125" customWidth="1" outlineLevel="1"/>
    <col min="86" max="86" width="1.33203125" customWidth="1" outlineLevel="1"/>
    <col min="87" max="87" width="3.6640625" customWidth="1" outlineLevel="1"/>
    <col min="88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4.6640625" customWidth="1"/>
    <col min="104" max="104" width="9.83203125" customWidth="1"/>
    <col min="105" max="105" width="10.5" customWidth="1"/>
    <col min="106" max="106" width="10.6640625" customWidth="1"/>
    <col min="107" max="107" width="8.33203125" customWidth="1"/>
    <col min="108" max="121" width="8.1640625" customWidth="1"/>
    <col min="122" max="122" width="3.33203125" customWidth="1"/>
    <col min="123" max="123" width="3.1640625" customWidth="1"/>
    <col min="124" max="124" width="11.8320312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1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3" customWidth="1"/>
    <col min="164" max="164" width="1.33203125" customWidth="1"/>
    <col min="165" max="165" width="3.33203125" customWidth="1"/>
    <col min="166" max="166" width="5.33203125" customWidth="1"/>
    <col min="167" max="167" width="5.83203125" customWidth="1"/>
    <col min="168" max="168" width="0.83203125" customWidth="1"/>
    <col min="169" max="169" width="2.5" customWidth="1"/>
    <col min="170" max="170" width="6" customWidth="1"/>
    <col min="171" max="171" width="4.83203125" customWidth="1"/>
    <col min="172" max="172" width="0.6640625" customWidth="1"/>
    <col min="173" max="173" width="3.1640625" customWidth="1"/>
    <col min="174" max="174" width="6" customWidth="1"/>
    <col min="175" max="176" width="3.6640625" customWidth="1"/>
    <col min="177" max="177" width="3" customWidth="1"/>
    <col min="178" max="178" width="3.83203125" customWidth="1"/>
    <col min="179" max="179" width="4.6640625" customWidth="1"/>
    <col min="180" max="184" width="3.83203125" customWidth="1"/>
    <col min="185" max="185" width="5.6640625" customWidth="1"/>
    <col min="186" max="186" width="8" customWidth="1"/>
    <col min="187" max="187" width="8.6640625" customWidth="1"/>
    <col min="188" max="189" width="8.1640625" customWidth="1"/>
    <col min="190" max="190" width="5.33203125" customWidth="1"/>
    <col min="192" max="192" width="9" customWidth="1"/>
    <col min="193" max="193" width="8.1640625" customWidth="1"/>
    <col min="195" max="195" width="11.6640625" customWidth="1"/>
    <col min="196" max="196" width="13" customWidth="1"/>
    <col min="197" max="197" width="13.1640625" customWidth="1"/>
  </cols>
  <sheetData>
    <row r="1" spans="1:197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</row>
    <row r="2" spans="1:197" ht="17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526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355"/>
      <c r="CP2" s="139"/>
      <c r="CQ2" s="355"/>
      <c r="CR2" s="139"/>
      <c r="CS2" s="139"/>
      <c r="CT2" s="139"/>
      <c r="CU2" s="139"/>
      <c r="CV2" s="139"/>
      <c r="CW2" s="527"/>
      <c r="CX2" s="139"/>
      <c r="CY2" s="139"/>
      <c r="CZ2" s="139"/>
      <c r="DA2" s="139"/>
      <c r="DB2" s="527" t="s">
        <v>68</v>
      </c>
      <c r="DC2" s="527"/>
      <c r="DD2" s="346"/>
      <c r="DE2" s="346"/>
      <c r="DH2" s="346"/>
      <c r="DI2" s="346"/>
      <c r="DT2" s="531"/>
      <c r="DU2" s="531"/>
      <c r="DV2" s="531"/>
      <c r="DW2" s="531"/>
      <c r="DX2" s="531"/>
      <c r="DY2" s="531"/>
      <c r="DZ2" s="531"/>
      <c r="EA2" s="531"/>
      <c r="EB2" s="531"/>
      <c r="EC2" s="531"/>
      <c r="ED2" s="531"/>
      <c r="EE2" s="531"/>
      <c r="EF2" s="531"/>
      <c r="EG2" s="531"/>
      <c r="EH2" s="531"/>
      <c r="EI2" s="531"/>
      <c r="EJ2" s="531"/>
      <c r="EK2" s="531"/>
      <c r="EV2" s="531"/>
      <c r="FC2" s="547" t="s">
        <v>99</v>
      </c>
      <c r="FD2" s="547"/>
      <c r="FE2" s="547"/>
      <c r="FF2" s="547"/>
      <c r="FG2" s="188"/>
      <c r="FH2" s="188"/>
      <c r="FI2" s="188"/>
      <c r="FJ2" s="188"/>
      <c r="FK2" s="188"/>
      <c r="FL2" s="188"/>
      <c r="FM2" s="188"/>
      <c r="FN2" s="188"/>
      <c r="FO2" s="188"/>
      <c r="FP2" s="188"/>
      <c r="FQ2" s="188"/>
      <c r="FR2" s="188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527"/>
      <c r="GO2" s="531"/>
    </row>
    <row r="3" spans="1:197" ht="20" thickBot="1" x14ac:dyDescent="0.3">
      <c r="A3" s="139"/>
      <c r="B3" s="139"/>
      <c r="C3" s="112" t="s">
        <v>0</v>
      </c>
      <c r="D3" s="528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528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528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528" t="s">
        <v>57</v>
      </c>
      <c r="CK3" s="528" t="s">
        <v>58</v>
      </c>
      <c r="CL3" s="528" t="s">
        <v>247</v>
      </c>
      <c r="CM3" s="528" t="s">
        <v>248</v>
      </c>
      <c r="CN3" s="528" t="s">
        <v>59</v>
      </c>
      <c r="CO3" s="174" t="s">
        <v>61</v>
      </c>
      <c r="CP3" s="528" t="s">
        <v>221</v>
      </c>
      <c r="CQ3" s="174" t="s">
        <v>62</v>
      </c>
      <c r="CR3" s="528" t="s">
        <v>63</v>
      </c>
      <c r="CS3" s="528" t="s">
        <v>64</v>
      </c>
      <c r="CT3" s="528" t="s">
        <v>1</v>
      </c>
      <c r="CU3" s="528" t="s">
        <v>65</v>
      </c>
      <c r="CV3" s="528" t="s">
        <v>66</v>
      </c>
      <c r="CW3" s="528" t="s">
        <v>180</v>
      </c>
      <c r="CX3" s="528" t="s">
        <v>105</v>
      </c>
      <c r="CY3" s="528" t="s">
        <v>28</v>
      </c>
      <c r="CZ3" s="528" t="s">
        <v>100</v>
      </c>
      <c r="DA3" s="528" t="s">
        <v>36</v>
      </c>
      <c r="DB3" s="528" t="s">
        <v>67</v>
      </c>
      <c r="DC3" s="528"/>
      <c r="DD3" s="68" t="s">
        <v>72</v>
      </c>
      <c r="DE3" s="70" t="s">
        <v>12</v>
      </c>
      <c r="DF3" s="69" t="s">
        <v>13</v>
      </c>
      <c r="DG3" s="70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94" t="s">
        <v>11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337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528" t="s">
        <v>38</v>
      </c>
      <c r="FG3" s="548" t="s">
        <v>39</v>
      </c>
      <c r="FH3" s="549"/>
      <c r="FI3" s="549"/>
      <c r="FJ3" s="530" t="s">
        <v>102</v>
      </c>
      <c r="FK3" s="550" t="s">
        <v>103</v>
      </c>
      <c r="FL3" s="550"/>
      <c r="FM3" s="550"/>
      <c r="FN3" s="530" t="s">
        <v>102</v>
      </c>
      <c r="FO3" s="549" t="s">
        <v>41</v>
      </c>
      <c r="FP3" s="549"/>
      <c r="FQ3" s="549"/>
      <c r="FR3" s="189" t="s">
        <v>102</v>
      </c>
      <c r="FS3" s="528" t="s">
        <v>57</v>
      </c>
      <c r="FT3" s="528" t="s">
        <v>58</v>
      </c>
      <c r="FU3" s="528" t="s">
        <v>59</v>
      </c>
      <c r="FV3" s="174" t="s">
        <v>61</v>
      </c>
      <c r="FW3" s="528" t="s">
        <v>98</v>
      </c>
      <c r="FX3" s="528" t="s">
        <v>62</v>
      </c>
      <c r="FY3" s="528" t="s">
        <v>63</v>
      </c>
      <c r="FZ3" s="528" t="s">
        <v>64</v>
      </c>
      <c r="GA3" s="528" t="s">
        <v>1</v>
      </c>
      <c r="GB3" s="528" t="s">
        <v>65</v>
      </c>
      <c r="GC3" s="174" t="s">
        <v>66</v>
      </c>
      <c r="GD3" s="199" t="s">
        <v>105</v>
      </c>
      <c r="GE3" s="528" t="s">
        <v>28</v>
      </c>
      <c r="GF3" s="528" t="s">
        <v>100</v>
      </c>
      <c r="GG3" s="173" t="s">
        <v>36</v>
      </c>
      <c r="GH3" s="528"/>
      <c r="GJ3" s="529" t="s">
        <v>106</v>
      </c>
      <c r="GK3" s="530" t="s">
        <v>107</v>
      </c>
      <c r="GL3" s="16" t="s">
        <v>108</v>
      </c>
      <c r="GM3" s="16" t="s">
        <v>109</v>
      </c>
      <c r="GN3" s="530" t="s">
        <v>110</v>
      </c>
      <c r="GO3" s="214" t="s">
        <v>111</v>
      </c>
    </row>
    <row r="4" spans="1:197" x14ac:dyDescent="0.2">
      <c r="A4" s="139"/>
      <c r="B4" s="531" t="s">
        <v>82</v>
      </c>
      <c r="C4" s="41" t="s">
        <v>205</v>
      </c>
      <c r="D4" s="483">
        <v>9.73</v>
      </c>
      <c r="E4" s="114">
        <f t="shared" ref="E4:E18" si="0">IFERROR(AG4+BI4,"0")</f>
        <v>1</v>
      </c>
      <c r="F4" s="526" t="s">
        <v>52</v>
      </c>
      <c r="G4" s="115">
        <f t="shared" ref="G4:G18" si="1">IFERROR(AI4+BK4,"0")</f>
        <v>2</v>
      </c>
      <c r="H4" s="116" t="s">
        <v>53</v>
      </c>
      <c r="I4" s="526">
        <f>IFERROR(AK4+BM4,"0")</f>
        <v>1</v>
      </c>
      <c r="J4" s="115" t="s">
        <v>54</v>
      </c>
      <c r="K4" s="116">
        <f t="shared" ref="K4:K18" si="2">IFERROR(AM4+BO4,"0")</f>
        <v>1</v>
      </c>
      <c r="L4" s="526" t="s">
        <v>52</v>
      </c>
      <c r="M4" s="115">
        <f t="shared" ref="M4:M18" si="3">IFERROR(AO4+BQ4,"0")</f>
        <v>1</v>
      </c>
      <c r="N4" s="116" t="s">
        <v>53</v>
      </c>
      <c r="O4" s="526">
        <f t="shared" ref="O4:O18" si="4">IFERROR(AQ4+BS4,"0")</f>
        <v>1</v>
      </c>
      <c r="P4" s="115" t="s">
        <v>54</v>
      </c>
      <c r="Q4" s="116">
        <f t="shared" ref="Q4:Q18" si="5">IFERROR(AS4+BU4,"0")</f>
        <v>0</v>
      </c>
      <c r="R4" s="526" t="s">
        <v>52</v>
      </c>
      <c r="S4" s="115">
        <f>IFERROR(AU4+BW4,"0")</f>
        <v>0</v>
      </c>
      <c r="T4" s="116" t="s">
        <v>53</v>
      </c>
      <c r="U4" s="526">
        <f t="shared" ref="U4:U18" si="6">IFERROR(AW4+BY4,"0")</f>
        <v>0</v>
      </c>
      <c r="V4" s="115" t="s">
        <v>54</v>
      </c>
      <c r="W4" s="116">
        <f t="shared" ref="W4:W18" si="7">IFERROR(AY4+CA4,"0")</f>
        <v>0</v>
      </c>
      <c r="X4" s="526" t="s">
        <v>52</v>
      </c>
      <c r="Y4" s="115">
        <f t="shared" ref="Y4:Y18" si="8">IFERROR(BA4+CC4,"0")</f>
        <v>1</v>
      </c>
      <c r="Z4" s="116" t="s">
        <v>53</v>
      </c>
      <c r="AA4" s="526">
        <f t="shared" ref="AA4:AA18" si="9">IFERROR(BC4+CE4,"0")</f>
        <v>0</v>
      </c>
      <c r="AB4" s="115" t="s">
        <v>54</v>
      </c>
      <c r="AC4" s="116">
        <f>IFERROR((AE4*EZ4),"0")</f>
        <v>0</v>
      </c>
      <c r="AD4" s="526" t="s">
        <v>52</v>
      </c>
      <c r="AE4" s="117">
        <f>IFERROR((CR4*1),"0")</f>
        <v>0</v>
      </c>
      <c r="AF4" s="527"/>
      <c r="AG4" s="114">
        <f>IFERROR(AM4+AS4+AY4,"0")</f>
        <v>1</v>
      </c>
      <c r="AH4" s="526" t="s">
        <v>52</v>
      </c>
      <c r="AI4" s="115">
        <f t="shared" ref="AI4:AI18" si="10">IFERROR(AO4+AU4+BA4,"0")</f>
        <v>2</v>
      </c>
      <c r="AJ4" s="116" t="s">
        <v>53</v>
      </c>
      <c r="AK4" s="526">
        <f t="shared" ref="AK4:AK18" si="11">IFERROR(AQ4+AW4+BC4,"0")</f>
        <v>1</v>
      </c>
      <c r="AL4" s="115" t="s">
        <v>54</v>
      </c>
      <c r="AM4" s="246">
        <v>1</v>
      </c>
      <c r="AN4" s="244" t="s">
        <v>52</v>
      </c>
      <c r="AO4" s="245">
        <v>1</v>
      </c>
      <c r="AP4" s="246" t="s">
        <v>53</v>
      </c>
      <c r="AQ4" s="244">
        <v>1</v>
      </c>
      <c r="AR4" s="245" t="s">
        <v>54</v>
      </c>
      <c r="AS4" s="246">
        <v>0</v>
      </c>
      <c r="AT4" s="244" t="s">
        <v>52</v>
      </c>
      <c r="AU4" s="245">
        <v>0</v>
      </c>
      <c r="AV4" s="246" t="s">
        <v>53</v>
      </c>
      <c r="AW4" s="244">
        <v>0</v>
      </c>
      <c r="AX4" s="245" t="s">
        <v>54</v>
      </c>
      <c r="AY4" s="246">
        <v>0</v>
      </c>
      <c r="AZ4" s="244" t="s">
        <v>52</v>
      </c>
      <c r="BA4" s="245">
        <v>1</v>
      </c>
      <c r="BB4" s="246" t="s">
        <v>53</v>
      </c>
      <c r="BC4" s="244">
        <v>0</v>
      </c>
      <c r="BD4" s="245" t="s">
        <v>54</v>
      </c>
      <c r="BE4" s="116">
        <v>0</v>
      </c>
      <c r="BF4" s="526" t="s">
        <v>52</v>
      </c>
      <c r="BG4" s="117">
        <v>0</v>
      </c>
      <c r="BH4" s="115"/>
      <c r="BI4" s="114">
        <f t="shared" ref="BI4:BI18" si="12">IFERROR(BO4+BU4+CA4,"0")</f>
        <v>0</v>
      </c>
      <c r="BJ4" s="526" t="s">
        <v>52</v>
      </c>
      <c r="BK4" s="115">
        <f>IFERROR(BQ4+BW4+CC4,"0")</f>
        <v>0</v>
      </c>
      <c r="BL4" s="116" t="s">
        <v>53</v>
      </c>
      <c r="BM4" s="526">
        <f t="shared" ref="BM4:BM18" si="13">IFERROR(BS4+BY4+CE4,"0")</f>
        <v>0</v>
      </c>
      <c r="BN4" s="115" t="s">
        <v>54</v>
      </c>
      <c r="BO4" s="246">
        <v>0</v>
      </c>
      <c r="BP4" s="244" t="s">
        <v>52</v>
      </c>
      <c r="BQ4" s="245">
        <v>0</v>
      </c>
      <c r="BR4" s="246" t="s">
        <v>53</v>
      </c>
      <c r="BS4" s="244">
        <v>0</v>
      </c>
      <c r="BT4" s="245" t="s">
        <v>54</v>
      </c>
      <c r="BU4" s="246">
        <v>0</v>
      </c>
      <c r="BV4" s="244" t="s">
        <v>52</v>
      </c>
      <c r="BW4" s="245">
        <v>0</v>
      </c>
      <c r="BX4" s="246" t="s">
        <v>53</v>
      </c>
      <c r="BY4" s="244">
        <v>0</v>
      </c>
      <c r="BZ4" s="245" t="s">
        <v>54</v>
      </c>
      <c r="CA4" s="246">
        <v>0</v>
      </c>
      <c r="CB4" s="244" t="s">
        <v>52</v>
      </c>
      <c r="CC4" s="245">
        <v>0</v>
      </c>
      <c r="CD4" s="246" t="s">
        <v>53</v>
      </c>
      <c r="CE4" s="244">
        <v>0</v>
      </c>
      <c r="CF4" s="245" t="s">
        <v>54</v>
      </c>
      <c r="CG4" s="116">
        <v>0</v>
      </c>
      <c r="CH4" s="526" t="s">
        <v>52</v>
      </c>
      <c r="CI4" s="117">
        <v>0</v>
      </c>
      <c r="CJ4" s="140">
        <v>1</v>
      </c>
      <c r="CK4" s="148">
        <f>CL4+CM4</f>
        <v>1</v>
      </c>
      <c r="CL4" s="148">
        <v>1</v>
      </c>
      <c r="CM4" s="148">
        <v>0</v>
      </c>
      <c r="CN4" s="148">
        <f>IFERROR(CJ4+CK4,"0")</f>
        <v>2</v>
      </c>
      <c r="CO4" s="175">
        <v>0</v>
      </c>
      <c r="CP4" s="140">
        <v>2</v>
      </c>
      <c r="CQ4" s="175">
        <v>0</v>
      </c>
      <c r="CR4" s="148">
        <v>0</v>
      </c>
      <c r="CS4" s="148">
        <v>1</v>
      </c>
      <c r="CT4" s="140">
        <v>0</v>
      </c>
      <c r="CU4" s="140">
        <v>0</v>
      </c>
      <c r="CV4" s="148">
        <f>IFERROR((W4*3)+((E4-W4)*2)+EX4,"0")</f>
        <v>2</v>
      </c>
      <c r="CW4" s="140"/>
      <c r="CX4" s="164">
        <f>IFERROR(100*(EH4/EG4),"0")</f>
        <v>122.8429790979802</v>
      </c>
      <c r="CY4" s="147">
        <f t="shared" ref="CY4:CY18" si="14">IFERROR(DU4/EG4,"0")</f>
        <v>0.58367517810572789</v>
      </c>
      <c r="CZ4" s="165">
        <f t="shared" ref="CZ4:CZ18" si="15">IFERROR((EG4/(EG25*DD4)),"0")</f>
        <v>7.8296350321984828E-2</v>
      </c>
      <c r="DA4" s="164">
        <f t="shared" ref="DA4:DA18" si="16">IFERROR(ES4+0.2*(100*ET4*(1-ER4)-ES4),"0")</f>
        <v>105.82218583276249</v>
      </c>
      <c r="DB4" s="141"/>
      <c r="DC4" s="141"/>
      <c r="DD4" s="77">
        <f>IFERROR(D4/($D$21/10),"0")</f>
        <v>0.6741028128031038</v>
      </c>
      <c r="DE4" s="37">
        <f>IFERROR(E4/G4,"0")</f>
        <v>0.5</v>
      </c>
      <c r="DF4" s="37">
        <f>IFERROR(W4/Y4,"0")</f>
        <v>0</v>
      </c>
      <c r="DG4" s="37">
        <f>IFERROR(((E4-W4)+1.5*W4)/G4,"0")</f>
        <v>0.5</v>
      </c>
      <c r="DH4" s="37">
        <f t="shared" ref="DH4:DH18" si="17">IFERROR(CJ4/(DD4*(CJ25+CK40)),"0")</f>
        <v>7.064063035286057E-2</v>
      </c>
      <c r="DI4" s="37">
        <f t="shared" ref="DI4:DI18" si="18">IFERROR(CK4/(DD4*(CK25+CJ40)),"0")</f>
        <v>0.123621103117506</v>
      </c>
      <c r="DJ4" s="37">
        <f t="shared" ref="DJ4:DJ18" si="19">IFERROR(CU4/(DD4*(M40)),"0")</f>
        <v>0</v>
      </c>
      <c r="DK4" s="37">
        <f t="shared" ref="DK4:DK18" si="20">IFERROR(CS4/(DD4*EG25),"0")</f>
        <v>4.3739999754518165E-2</v>
      </c>
      <c r="DL4" s="37">
        <f t="shared" ref="DL4:DL18" si="21">IFERROR(CO4/(DD4*(E25-E4)),"0")</f>
        <v>0</v>
      </c>
      <c r="DM4" s="37">
        <f t="shared" ref="DM4:DM18" si="22">IFERROR((CO4+CP4)/(DD4*EG25),"0")</f>
        <v>8.747999950903633E-2</v>
      </c>
      <c r="DN4" s="37">
        <f>IFERROR(CT4/EG4,"0")</f>
        <v>0</v>
      </c>
      <c r="DO4" s="37" t="str">
        <f>IFERROR(CO4/CT4,"0")</f>
        <v>0</v>
      </c>
      <c r="DP4" s="66">
        <f>IFERROR((40/D4)*CQ4,"0")</f>
        <v>0</v>
      </c>
      <c r="DQ4" s="78">
        <f>IFERROR((40/D4)*CR4,"0")</f>
        <v>0</v>
      </c>
      <c r="DR4" s="6"/>
      <c r="DS4" s="36"/>
      <c r="DT4" s="75">
        <f>IFERROR(((E4*85.91)+(CS4*53.897)+(W4*51.757)+(EX4*46.845)+(CU4*39.19)+(CJ4*39.19)+(CO4*34.677)+(CK4*14.707)-(CQ4*17.174)-((EY4-EX4)*20.091)-((G4-E4)*39.19)-(CT4*53.897))*(1/D4),"0")</f>
        <v>15.880164439876669</v>
      </c>
      <c r="DU4" s="18">
        <f t="shared" ref="DU4:DU20" si="23">IFERROR((DV4+DX4+DY4)*(1-(CJ25/EZ25)*EA4*EC4)+ED4,"0")</f>
        <v>1.0448019313144228</v>
      </c>
      <c r="DV4" s="13">
        <f>IFERROR(E4*(1-0.5*((CV4-EX4)/(2*G4))*DW4),"0")</f>
        <v>0.81791079092752139</v>
      </c>
      <c r="DW4" s="14">
        <f t="shared" ref="DW4:DW20" si="24">IFERROR(((D4/(D25/5))*(1.14*((CO25-CO4)/E25)))+((((CO25/D25)*D4*5-CO4)/((E25/D25)*D4*5-E4))*(1-(D4/(D25/5)))),"0")</f>
        <v>0.72835683628991421</v>
      </c>
      <c r="DX4" s="14">
        <f t="shared" ref="DX4:DX20" si="25">IFERROR(0.5*(((CV25-EX25)-(CV4-EX4))/(2*(G25-G4)))*CO4,"0")</f>
        <v>0</v>
      </c>
      <c r="DY4" s="14" t="str">
        <f>IFERROR((1-(1-(EX4/EY4))^2)*0.4*EY4,"0")</f>
        <v>0</v>
      </c>
      <c r="DZ4" s="15">
        <f t="shared" ref="DZ4:DZ20" si="26">IFERROR(E25+(1-(1-(EX25/EY25))^2)*EY25*0.4,"0")</f>
        <v>17.071999999999999</v>
      </c>
      <c r="EA4" s="14">
        <f>IFERROR(((1-EB4)*EC4)/((1-EB4)*EC4+EB4*(1-EC4)),"0")</f>
        <v>0.70256589641762168</v>
      </c>
      <c r="EB4" s="14">
        <f t="shared" ref="EB4:EB20" si="27">IFERROR(CJ25/(CJ25+(CN40-CJ40)),"0")</f>
        <v>0.23809523809523808</v>
      </c>
      <c r="EC4" s="14">
        <f t="shared" ref="EC4:EC20" si="28">IFERROR(DZ4/((G25+(EY25*0.4))+CT25),"0")</f>
        <v>0.42467661691542286</v>
      </c>
      <c r="ED4" s="14">
        <f>IFERROR(CJ4*EA4*EC4,"0")</f>
        <v>0.29836330805078698</v>
      </c>
      <c r="EE4" s="19">
        <f>IFERROR((G4-E4)*(1-1.07*EB4),"0")</f>
        <v>0.74523809523809526</v>
      </c>
      <c r="EF4" s="67" t="str">
        <f>IFERROR(((1-(EX4/EY4))^2)*0.4*EY4,"0")</f>
        <v>0</v>
      </c>
      <c r="EG4" s="74">
        <f>IFERROR(DU4+EE4+EF4+CT4,"0")</f>
        <v>1.790040026552518</v>
      </c>
      <c r="EH4" s="27">
        <f>IFERROR((EI4+EJ4+EX4)*(1-(CJ25/DZ4)*EA4*EC4)+EK4,"0")</f>
        <v>2.1989384956633891</v>
      </c>
      <c r="EI4" s="25">
        <f>IFERROR(2*((E4)+(0.5*W4))*(1-0.5*((CV4-EX4)/(2*(G4)))*DW4),"0")</f>
        <v>1.6358215818550428</v>
      </c>
      <c r="EJ4" s="25">
        <f>IFERROR(2*((E25-E4+0.5*(W25-W4))/(E25-E4))*0.5*(((CV25-EX25)-(CV4-EX4))/(2*(G25-G4)))*CO4,"0")</f>
        <v>0</v>
      </c>
      <c r="EK4" s="26">
        <f t="shared" ref="EK4:EK20" si="29">IFERROR(CJ4*EA4*EC4*(CV25/(E25+(1-(1-(EX25/EY25))^2)*0.4*EY25)),"0")</f>
        <v>0.70606124913611734</v>
      </c>
      <c r="EL4" s="29">
        <f>IFERROR((EN4*(1-EM4))/(EN4*(1-EM4)+(1-EN4)*EM4),"0")</f>
        <v>0.71428571428571419</v>
      </c>
      <c r="EM4" s="30">
        <f t="shared" ref="EM4:EM20" si="30">IFERROR(CJ40/(CJ40+CK25),"0")</f>
        <v>0.33333333333333331</v>
      </c>
      <c r="EN4" s="30">
        <f t="shared" ref="EN4:EN20" si="31">IFERROR(E40/G40,"0")</f>
        <v>0.55555555555555558</v>
      </c>
      <c r="EO4" s="31">
        <f>IFERROR(CS4+CU4*EL4*(1-1.07*EM4)+CK4*(1-EL4),"0")</f>
        <v>1.2857142857142858</v>
      </c>
      <c r="EP4" s="31">
        <f t="shared" ref="EP4:EP20" si="32">IFERROR((((G40-E40-CU25)/D25)*EL4*(1-1.07*EM4)+((CT40-CS25)/D25))*D4+(CQ4/CQ25)*0.4*EY40*(1-(EX40/EY40))^2,"0")</f>
        <v>1.2207680938524781</v>
      </c>
      <c r="EQ4" s="31">
        <f>IFERROR(EO4+EP4,"0")</f>
        <v>2.5064823795667639</v>
      </c>
      <c r="ER4" s="93">
        <f t="shared" ref="ER4:ER20" si="33">IFERROR((EQ4*D40)/(EG25*D4),"0")</f>
        <v>0.54816769333477167</v>
      </c>
      <c r="ES4" s="109">
        <f t="shared" ref="ES4:ES20" si="34">IFERROR(100*(CV40/EG25),"0")</f>
        <v>106.88405614116314</v>
      </c>
      <c r="ET4" s="32">
        <f t="shared" ref="ET4:ET20" si="35">IFERROR(CV40/(E40+(1-(1-(EX40/EY40))^2)*EY40*0.4),"0")</f>
        <v>2.248062015503876</v>
      </c>
      <c r="EV4" s="275"/>
      <c r="EW4" s="276"/>
      <c r="EX4" s="37">
        <f>AC4</f>
        <v>0</v>
      </c>
      <c r="EY4" s="72">
        <f>AE4</f>
        <v>0</v>
      </c>
      <c r="EZ4" s="7">
        <v>0.7</v>
      </c>
      <c r="FB4" s="41"/>
      <c r="FC4" s="178"/>
      <c r="FD4" s="179" t="s">
        <v>82</v>
      </c>
      <c r="FE4" s="180" t="s">
        <v>233</v>
      </c>
      <c r="FF4" s="181">
        <f t="shared" ref="FF4:FG18" si="36">D4</f>
        <v>9.73</v>
      </c>
      <c r="FG4" s="182">
        <f t="shared" si="36"/>
        <v>1</v>
      </c>
      <c r="FH4" s="183" t="s">
        <v>52</v>
      </c>
      <c r="FI4" s="184">
        <f>G4</f>
        <v>2</v>
      </c>
      <c r="FJ4" s="193">
        <f>IFERROR(FG4/FI4,"0")</f>
        <v>0.5</v>
      </c>
      <c r="FK4" s="185">
        <f t="shared" ref="FK4:FK18" si="37">W4</f>
        <v>0</v>
      </c>
      <c r="FL4" s="183" t="s">
        <v>52</v>
      </c>
      <c r="FM4" s="186">
        <f t="shared" ref="FM4:FM18" si="38">Y4</f>
        <v>1</v>
      </c>
      <c r="FN4" s="193">
        <f>IFERROR(FK4/FM4,"0")</f>
        <v>0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T23" si="39">CJ4</f>
        <v>1</v>
      </c>
      <c r="FT4" s="179">
        <f t="shared" si="39"/>
        <v>1</v>
      </c>
      <c r="FU4" s="179">
        <f t="shared" ref="FU4:GC19" si="40">CN4</f>
        <v>2</v>
      </c>
      <c r="FV4" s="187">
        <f t="shared" si="40"/>
        <v>0</v>
      </c>
      <c r="FW4" s="179">
        <f t="shared" si="40"/>
        <v>2</v>
      </c>
      <c r="FX4" s="179">
        <f t="shared" si="40"/>
        <v>0</v>
      </c>
      <c r="FY4" s="179">
        <f t="shared" si="40"/>
        <v>0</v>
      </c>
      <c r="FZ4" s="179">
        <f t="shared" si="40"/>
        <v>1</v>
      </c>
      <c r="GA4" s="179">
        <f t="shared" si="40"/>
        <v>0</v>
      </c>
      <c r="GB4" s="179">
        <f t="shared" si="40"/>
        <v>0</v>
      </c>
      <c r="GC4" s="187">
        <f t="shared" si="40"/>
        <v>2</v>
      </c>
      <c r="GD4" s="203">
        <f>CX4</f>
        <v>122.8429790979802</v>
      </c>
      <c r="GE4" s="179">
        <f>CY4</f>
        <v>0.58367517810572789</v>
      </c>
      <c r="GF4" s="179">
        <f>CZ4</f>
        <v>7.8296350321984828E-2</v>
      </c>
      <c r="GG4" s="258">
        <f>DA4</f>
        <v>105.82218583276249</v>
      </c>
      <c r="GH4" s="179"/>
      <c r="GJ4" s="82"/>
      <c r="GK4" s="24"/>
      <c r="GL4" s="185">
        <f>(CQ4/CQ25)*(EY26-EX26)</f>
        <v>0</v>
      </c>
      <c r="GM4" s="185">
        <f>((E26/G26)*(1-(CJ26/(CJ26+CK25))))/((E26/G26)*(1-(CJ26/(CJ26+CK25)))+((1-(E26/G26)))*(CJ26/(CJ26+CK25)))</f>
        <v>0.5161290322580645</v>
      </c>
      <c r="GN4" s="24">
        <f>GK4+(GL4/10)+(GJ4*GM4*(1-(CJ26/(CJ26+CK25))))+(CK4*(1-GM4))</f>
        <v>0.4838709677419355</v>
      </c>
      <c r="GO4" s="213">
        <f>GN4/(DD4*EG26)</f>
        <v>2.1164516010250725E-2</v>
      </c>
    </row>
    <row r="5" spans="1:197" x14ac:dyDescent="0.2">
      <c r="A5" s="139"/>
      <c r="B5" s="89" t="s">
        <v>82</v>
      </c>
      <c r="C5" s="41" t="s">
        <v>206</v>
      </c>
      <c r="D5" s="483">
        <v>8.27</v>
      </c>
      <c r="E5" s="114">
        <f t="shared" si="0"/>
        <v>0</v>
      </c>
      <c r="F5" s="526" t="s">
        <v>52</v>
      </c>
      <c r="G5" s="115">
        <f t="shared" si="1"/>
        <v>2</v>
      </c>
      <c r="H5" s="116" t="s">
        <v>53</v>
      </c>
      <c r="I5" s="526">
        <f t="shared" ref="I5:I18" si="41">IFERROR(AK5+BM5,"0")</f>
        <v>0</v>
      </c>
      <c r="J5" s="115" t="s">
        <v>54</v>
      </c>
      <c r="K5" s="116">
        <f t="shared" si="2"/>
        <v>0</v>
      </c>
      <c r="L5" s="526" t="s">
        <v>52</v>
      </c>
      <c r="M5" s="115">
        <f t="shared" si="3"/>
        <v>0</v>
      </c>
      <c r="N5" s="116" t="s">
        <v>53</v>
      </c>
      <c r="O5" s="526">
        <f t="shared" si="4"/>
        <v>0</v>
      </c>
      <c r="P5" s="115" t="s">
        <v>54</v>
      </c>
      <c r="Q5" s="116">
        <f t="shared" si="5"/>
        <v>0</v>
      </c>
      <c r="R5" s="526" t="s">
        <v>52</v>
      </c>
      <c r="S5" s="115">
        <f t="shared" ref="S5:S18" si="42">IFERROR(AU5+BW5,"0")</f>
        <v>0</v>
      </c>
      <c r="T5" s="116" t="s">
        <v>53</v>
      </c>
      <c r="U5" s="526">
        <f t="shared" si="6"/>
        <v>0</v>
      </c>
      <c r="V5" s="115" t="s">
        <v>54</v>
      </c>
      <c r="W5" s="116">
        <f t="shared" si="7"/>
        <v>0</v>
      </c>
      <c r="X5" s="526" t="s">
        <v>52</v>
      </c>
      <c r="Y5" s="115">
        <f t="shared" si="8"/>
        <v>2</v>
      </c>
      <c r="Z5" s="116" t="s">
        <v>53</v>
      </c>
      <c r="AA5" s="526">
        <f t="shared" si="9"/>
        <v>0</v>
      </c>
      <c r="AB5" s="115" t="s">
        <v>54</v>
      </c>
      <c r="AC5" s="116">
        <f t="shared" ref="AC5:AC18" si="43">IFERROR((AE5*EZ5),"0")</f>
        <v>0</v>
      </c>
      <c r="AD5" s="526" t="s">
        <v>52</v>
      </c>
      <c r="AE5" s="117">
        <f t="shared" ref="AE5:AE18" si="44">IFERROR((CR5*1),"0")</f>
        <v>0</v>
      </c>
      <c r="AF5" s="527"/>
      <c r="AG5" s="114">
        <f t="shared" ref="AG5:AG17" si="45">IFERROR(AM5+AS5+AY5,"0")</f>
        <v>0</v>
      </c>
      <c r="AH5" s="526" t="s">
        <v>52</v>
      </c>
      <c r="AI5" s="115">
        <f t="shared" si="10"/>
        <v>2</v>
      </c>
      <c r="AJ5" s="116" t="s">
        <v>53</v>
      </c>
      <c r="AK5" s="526">
        <f t="shared" si="11"/>
        <v>0</v>
      </c>
      <c r="AL5" s="115" t="s">
        <v>54</v>
      </c>
      <c r="AM5" s="246">
        <v>0</v>
      </c>
      <c r="AN5" s="244" t="s">
        <v>52</v>
      </c>
      <c r="AO5" s="248">
        <v>0</v>
      </c>
      <c r="AP5" s="246" t="s">
        <v>53</v>
      </c>
      <c r="AQ5" s="244">
        <v>0</v>
      </c>
      <c r="AR5" s="245" t="s">
        <v>54</v>
      </c>
      <c r="AS5" s="246">
        <v>0</v>
      </c>
      <c r="AT5" s="244" t="s">
        <v>52</v>
      </c>
      <c r="AU5" s="248">
        <v>0</v>
      </c>
      <c r="AV5" s="246" t="s">
        <v>53</v>
      </c>
      <c r="AW5" s="244">
        <v>0</v>
      </c>
      <c r="AX5" s="245" t="s">
        <v>54</v>
      </c>
      <c r="AY5" s="246">
        <v>0</v>
      </c>
      <c r="AZ5" s="244" t="s">
        <v>52</v>
      </c>
      <c r="BA5" s="248">
        <v>2</v>
      </c>
      <c r="BB5" s="246" t="s">
        <v>53</v>
      </c>
      <c r="BC5" s="244">
        <v>0</v>
      </c>
      <c r="BD5" s="245" t="s">
        <v>54</v>
      </c>
      <c r="BE5" s="116">
        <v>0</v>
      </c>
      <c r="BF5" s="526" t="s">
        <v>52</v>
      </c>
      <c r="BG5" s="117">
        <v>0</v>
      </c>
      <c r="BH5" s="115"/>
      <c r="BI5" s="114">
        <f t="shared" si="12"/>
        <v>0</v>
      </c>
      <c r="BJ5" s="526" t="s">
        <v>52</v>
      </c>
      <c r="BK5" s="115">
        <f t="shared" ref="BK5:BK18" si="46">IFERROR(BQ5+BW5+CC5,"0")</f>
        <v>0</v>
      </c>
      <c r="BL5" s="116" t="s">
        <v>53</v>
      </c>
      <c r="BM5" s="526">
        <f t="shared" si="13"/>
        <v>0</v>
      </c>
      <c r="BN5" s="115" t="s">
        <v>54</v>
      </c>
      <c r="BO5" s="246">
        <v>0</v>
      </c>
      <c r="BP5" s="244" t="s">
        <v>52</v>
      </c>
      <c r="BQ5" s="248">
        <v>0</v>
      </c>
      <c r="BR5" s="246" t="s">
        <v>53</v>
      </c>
      <c r="BS5" s="244">
        <v>0</v>
      </c>
      <c r="BT5" s="245" t="s">
        <v>54</v>
      </c>
      <c r="BU5" s="246">
        <v>0</v>
      </c>
      <c r="BV5" s="244" t="s">
        <v>52</v>
      </c>
      <c r="BW5" s="245">
        <v>0</v>
      </c>
      <c r="BX5" s="246" t="s">
        <v>53</v>
      </c>
      <c r="BY5" s="244">
        <v>0</v>
      </c>
      <c r="BZ5" s="245" t="s">
        <v>54</v>
      </c>
      <c r="CA5" s="246">
        <v>0</v>
      </c>
      <c r="CB5" s="244" t="s">
        <v>52</v>
      </c>
      <c r="CC5" s="248">
        <v>0</v>
      </c>
      <c r="CD5" s="246" t="s">
        <v>53</v>
      </c>
      <c r="CE5" s="244">
        <v>0</v>
      </c>
      <c r="CF5" s="245" t="s">
        <v>54</v>
      </c>
      <c r="CG5" s="116">
        <v>0</v>
      </c>
      <c r="CH5" s="526" t="s">
        <v>52</v>
      </c>
      <c r="CI5" s="117">
        <v>0</v>
      </c>
      <c r="CJ5" s="148">
        <v>1</v>
      </c>
      <c r="CK5" s="148">
        <f t="shared" ref="CK5:CK18" si="47">CL5+CM5</f>
        <v>1</v>
      </c>
      <c r="CL5" s="148">
        <v>0</v>
      </c>
      <c r="CM5" s="148">
        <v>1</v>
      </c>
      <c r="CN5" s="148">
        <f t="shared" ref="CN5:CN20" si="48">IFERROR(CJ5+CK5,"0")</f>
        <v>2</v>
      </c>
      <c r="CO5" s="175">
        <v>1</v>
      </c>
      <c r="CP5" s="140">
        <v>1</v>
      </c>
      <c r="CQ5" s="175">
        <v>0</v>
      </c>
      <c r="CR5" s="148">
        <v>0</v>
      </c>
      <c r="CS5" s="148">
        <v>1</v>
      </c>
      <c r="CT5" s="140">
        <v>0</v>
      </c>
      <c r="CU5" s="140">
        <v>0</v>
      </c>
      <c r="CV5" s="148">
        <f t="shared" ref="CV5:CV18" si="49">IFERROR((W5*3)+((E5-W5)*2)+EX5,"0")</f>
        <v>0</v>
      </c>
      <c r="CW5" s="140"/>
      <c r="CX5" s="164">
        <f t="shared" ref="CX5:CX18" si="50">IFERROR(100*(EH5/EG5),"0")</f>
        <v>63.092820552983284</v>
      </c>
      <c r="CY5" s="147">
        <f t="shared" si="14"/>
        <v>0.2635649921943764</v>
      </c>
      <c r="CZ5" s="165">
        <f t="shared" si="15"/>
        <v>0.10415418488842926</v>
      </c>
      <c r="DA5" s="164">
        <f t="shared" si="16"/>
        <v>103.59026451895606</v>
      </c>
      <c r="DB5" s="141"/>
      <c r="DC5" s="141"/>
      <c r="DD5" s="77">
        <f t="shared" ref="DD5:DD18" si="51">IFERROR(D5/($D$21/10),"0")</f>
        <v>0.57295275045032557</v>
      </c>
      <c r="DE5" s="37">
        <f t="shared" ref="DE5:DE18" si="52">IFERROR(E5/G5,"0")</f>
        <v>0</v>
      </c>
      <c r="DF5" s="37">
        <f t="shared" ref="DF5:DF18" si="53">IFERROR(W5/Y5,"0")</f>
        <v>0</v>
      </c>
      <c r="DG5" s="37">
        <f t="shared" ref="DG5:DG18" si="54">IFERROR(((E5-W5)+1.5*W5)/G5,"0")</f>
        <v>0</v>
      </c>
      <c r="DH5" s="37">
        <f t="shared" si="17"/>
        <v>8.3111648528819027E-2</v>
      </c>
      <c r="DI5" s="37">
        <f t="shared" si="18"/>
        <v>0.1454453849254333</v>
      </c>
      <c r="DJ5" s="37">
        <f t="shared" si="19"/>
        <v>0</v>
      </c>
      <c r="DK5" s="37">
        <f t="shared" si="20"/>
        <v>5.1461934414928877E-2</v>
      </c>
      <c r="DL5" s="37">
        <f t="shared" si="21"/>
        <v>0.12466747279322855</v>
      </c>
      <c r="DM5" s="37">
        <f t="shared" si="22"/>
        <v>0.10292386882985775</v>
      </c>
      <c r="DN5" s="37">
        <f t="shared" ref="DN5:DN18" si="55">IFERROR(CT5/EG5,"0")</f>
        <v>0</v>
      </c>
      <c r="DO5" s="37" t="str">
        <f t="shared" ref="DO5:DO18" si="56">IFERROR(CO5/CT5,"0")</f>
        <v>0</v>
      </c>
      <c r="DP5" s="66">
        <f t="shared" ref="DP5:DP18" si="57">IFERROR((40/D5)*CQ5,"0")</f>
        <v>0</v>
      </c>
      <c r="DQ5" s="78">
        <f t="shared" ref="DQ5:DQ18" si="58">IFERROR((40/D5)*CR5,"0")</f>
        <v>0</v>
      </c>
      <c r="DR5" s="6"/>
      <c r="DS5" s="36"/>
      <c r="DT5" s="75">
        <f t="shared" ref="DT5:DT18" si="59">IFERROR(((E5*85.91)+(CS5*53.897)+(W5*51.757)+(EX5*46.845)+(CU5*39.19)+(CJ5*39.19)+(CO5*34.677)+(CK5*14.707)-(CQ5*17.174)-((EY5-EX5)*20.091)-((G5-E5)*39.19)-(CT5*53.897))*(1/D5),"0")</f>
        <v>7.7498186215235769</v>
      </c>
      <c r="DU5" s="18">
        <f t="shared" si="23"/>
        <v>0.53343111251501973</v>
      </c>
      <c r="DV5" s="13">
        <f t="shared" ref="DV5:DV20" si="60">IFERROR(E5*(1-0.5*((CV5-EX5)/(2*G5))*DW5),"0")</f>
        <v>0</v>
      </c>
      <c r="DW5" s="14">
        <f t="shared" si="24"/>
        <v>0.59452926506777415</v>
      </c>
      <c r="DX5" s="14">
        <f t="shared" si="25"/>
        <v>0.25757575757575757</v>
      </c>
      <c r="DY5" s="14" t="str">
        <f t="shared" ref="DY5:DY20" si="61">IFERROR((1-(1-(EX5/EY5))^2)*0.4*EY5,"0")</f>
        <v>0</v>
      </c>
      <c r="DZ5" s="15">
        <f t="shared" si="26"/>
        <v>17.071999999999999</v>
      </c>
      <c r="EA5" s="14">
        <f t="shared" ref="EA5:EA20" si="62">IFERROR(((1-EB5)*EC5)/((1-EB5)*EC5+EB5*(1-EC5)),"0")</f>
        <v>0.70256589641762168</v>
      </c>
      <c r="EB5" s="14">
        <f t="shared" si="27"/>
        <v>0.23809523809523808</v>
      </c>
      <c r="EC5" s="14">
        <f t="shared" si="28"/>
        <v>0.42467661691542286</v>
      </c>
      <c r="ED5" s="14">
        <f t="shared" ref="ED5:ED20" si="63">IFERROR(CJ5*EA5*EC5,"0")</f>
        <v>0.29836330805078698</v>
      </c>
      <c r="EE5" s="19">
        <f t="shared" ref="EE5:EE20" si="64">IFERROR((G5-E5)*(1-1.07*EB5),"0")</f>
        <v>1.4904761904761905</v>
      </c>
      <c r="EF5" s="67" t="str">
        <f t="shared" ref="EF5:EF20" si="65">IFERROR(((1-(EX5/EY5))^2)*0.4*EY5,"0")</f>
        <v>0</v>
      </c>
      <c r="EG5" s="74">
        <f t="shared" ref="EG5:EG20" si="66">IFERROR(DU5+EE5+EF5+CT5,"0")</f>
        <v>2.0239073029912102</v>
      </c>
      <c r="EH5" s="27">
        <f t="shared" ref="EH5:EH20" si="67">IFERROR((EI5+EJ5+EX5)*(1-(CJ26/DZ5)*EA5*EC5)+EK5,"0")</f>
        <v>1.2769402028349681</v>
      </c>
      <c r="EI5" s="25">
        <f t="shared" ref="EI5:EI20" si="68">IFERROR(2*((E5)+(0.5*W5))*(1-0.5*((CV5-EX5)/(2*(G5)))*DW5),"0")</f>
        <v>0</v>
      </c>
      <c r="EJ5" s="25">
        <f t="shared" ref="EJ5:EJ20" si="69">IFERROR(2*((E26-E5+0.5*(W26-W5))/(E26-E5))*0.5*(((CV26-EX26)-(CV5-EX5))/(2*(G26-G5)))*CO5,"0")</f>
        <v>0.62554112554112551</v>
      </c>
      <c r="EK5" s="26">
        <f t="shared" si="29"/>
        <v>0.70606124913611734</v>
      </c>
      <c r="EL5" s="29">
        <f t="shared" ref="EL5:EL20" si="70">IFERROR((EN5*(1-EM5))/(EN5*(1-EM5)+(1-EN5)*EM5),"0")</f>
        <v>0.71428571428571419</v>
      </c>
      <c r="EM5" s="30">
        <f t="shared" si="30"/>
        <v>0.33333333333333331</v>
      </c>
      <c r="EN5" s="30">
        <f t="shared" si="31"/>
        <v>0.55555555555555558</v>
      </c>
      <c r="EO5" s="31">
        <f t="shared" ref="EO5:EO20" si="71">IFERROR(CS5+CU5*EL5*(1-1.07*EM5)+CK5*(1-EL5),"0")</f>
        <v>1.2857142857142858</v>
      </c>
      <c r="EP5" s="31">
        <f t="shared" si="32"/>
        <v>1.0375901476012326</v>
      </c>
      <c r="EQ5" s="31">
        <f t="shared" ref="EQ5:EQ20" si="72">IFERROR(EO5+EP5,"0")</f>
        <v>2.3233044333155184</v>
      </c>
      <c r="ER5" s="93">
        <f t="shared" si="33"/>
        <v>0.59780870186598334</v>
      </c>
      <c r="ES5" s="109">
        <f t="shared" si="34"/>
        <v>106.88405614116314</v>
      </c>
      <c r="ET5" s="32">
        <f t="shared" si="35"/>
        <v>2.248062015503876</v>
      </c>
      <c r="EV5" s="277"/>
      <c r="EW5" s="278"/>
      <c r="EX5" s="37">
        <f>AC5</f>
        <v>0</v>
      </c>
      <c r="EY5" s="72">
        <f t="shared" ref="EY5:EY16" si="73">AE5</f>
        <v>0</v>
      </c>
      <c r="EZ5" s="7">
        <v>0.75</v>
      </c>
      <c r="FB5" s="41"/>
      <c r="FC5" s="139"/>
      <c r="FD5" s="531" t="s">
        <v>82</v>
      </c>
      <c r="FE5" s="41" t="s">
        <v>234</v>
      </c>
      <c r="FF5" s="147">
        <f t="shared" si="36"/>
        <v>8.27</v>
      </c>
      <c r="FG5" s="144">
        <f t="shared" si="36"/>
        <v>0</v>
      </c>
      <c r="FH5" s="526" t="s">
        <v>52</v>
      </c>
      <c r="FI5" s="145">
        <f t="shared" ref="FI5:FI23" si="74">G5</f>
        <v>2</v>
      </c>
      <c r="FJ5" s="194">
        <f t="shared" ref="FJ5:FJ23" si="75">IFERROR(FG5/FI5,"0")</f>
        <v>0</v>
      </c>
      <c r="FK5" s="110">
        <f t="shared" si="37"/>
        <v>0</v>
      </c>
      <c r="FL5" s="526" t="s">
        <v>52</v>
      </c>
      <c r="FM5" s="168">
        <f t="shared" si="38"/>
        <v>2</v>
      </c>
      <c r="FN5" s="194">
        <f t="shared" ref="FN5:FN23" si="76">IFERROR(FK5/FM5,"0")</f>
        <v>0</v>
      </c>
      <c r="FO5" s="262">
        <f t="shared" ref="FO5:FO18" si="77">EV5</f>
        <v>0</v>
      </c>
      <c r="FP5" s="526" t="s">
        <v>52</v>
      </c>
      <c r="FQ5" s="274">
        <f t="shared" ref="FQ5:FQ17" si="78">EW5</f>
        <v>0</v>
      </c>
      <c r="FR5" s="197" t="str">
        <f t="shared" ref="FR5:FR23" si="79">IFERROR(FO5/FQ5,"0")</f>
        <v>0</v>
      </c>
      <c r="FS5" s="140">
        <f t="shared" si="39"/>
        <v>1</v>
      </c>
      <c r="FT5" s="140">
        <f t="shared" si="39"/>
        <v>1</v>
      </c>
      <c r="FU5" s="140">
        <f t="shared" si="40"/>
        <v>2</v>
      </c>
      <c r="FV5" s="175">
        <f t="shared" si="40"/>
        <v>1</v>
      </c>
      <c r="FW5" s="140">
        <f t="shared" si="40"/>
        <v>1</v>
      </c>
      <c r="FX5" s="140">
        <f t="shared" si="40"/>
        <v>0</v>
      </c>
      <c r="FY5" s="140">
        <f t="shared" si="40"/>
        <v>0</v>
      </c>
      <c r="FZ5" s="140">
        <f t="shared" si="40"/>
        <v>1</v>
      </c>
      <c r="GA5" s="140">
        <f t="shared" si="40"/>
        <v>0</v>
      </c>
      <c r="GB5" s="140">
        <f t="shared" si="40"/>
        <v>0</v>
      </c>
      <c r="GC5" s="175">
        <f t="shared" si="40"/>
        <v>0</v>
      </c>
      <c r="GD5" s="202">
        <f t="shared" ref="GD5:GG18" si="80">CX5</f>
        <v>63.092820552983284</v>
      </c>
      <c r="GE5" s="140">
        <f t="shared" si="80"/>
        <v>0.2635649921943764</v>
      </c>
      <c r="GF5" s="140">
        <f t="shared" si="80"/>
        <v>0.10415418488842926</v>
      </c>
      <c r="GG5" s="259">
        <f t="shared" si="80"/>
        <v>103.59026451895606</v>
      </c>
      <c r="GH5" s="140"/>
      <c r="GJ5" s="82"/>
      <c r="GK5" s="24"/>
      <c r="GL5" s="185">
        <f>(CQ5/CQ27)*(EY28-EX28)</f>
        <v>0</v>
      </c>
      <c r="GM5" s="185">
        <f>((E28/G28)*(1-(CJ28/(CJ28+CK27))))/((E28/G28)*(1-(CJ28/(CJ28+CK27)))+((1-(E28/G28)))*(CJ28/(CJ28+CK27)))</f>
        <v>0.5161290322580645</v>
      </c>
      <c r="GN5" s="24">
        <f>GK5+(GL5/10)+(GJ5*GM5*(1-(CJ28/(CJ28+CK27))))+(CK5*(1-GM5))</f>
        <v>0.4838709677419355</v>
      </c>
      <c r="GO5" s="213">
        <f>GN5/(DD5*EG28)</f>
        <v>2.4900936007223651E-2</v>
      </c>
    </row>
    <row r="6" spans="1:197" x14ac:dyDescent="0.2">
      <c r="A6" s="139"/>
      <c r="B6" s="89" t="s">
        <v>82</v>
      </c>
      <c r="C6" s="41" t="s">
        <v>207</v>
      </c>
      <c r="D6" s="483">
        <v>8.77</v>
      </c>
      <c r="E6" s="114">
        <f t="shared" si="0"/>
        <v>3</v>
      </c>
      <c r="F6" s="526" t="s">
        <v>52</v>
      </c>
      <c r="G6" s="115">
        <f t="shared" si="1"/>
        <v>5</v>
      </c>
      <c r="H6" s="116" t="s">
        <v>53</v>
      </c>
      <c r="I6" s="526">
        <f t="shared" si="41"/>
        <v>1</v>
      </c>
      <c r="J6" s="115" t="s">
        <v>54</v>
      </c>
      <c r="K6" s="116">
        <f t="shared" si="2"/>
        <v>3</v>
      </c>
      <c r="L6" s="526" t="s">
        <v>52</v>
      </c>
      <c r="M6" s="115">
        <f t="shared" si="3"/>
        <v>4</v>
      </c>
      <c r="N6" s="116" t="s">
        <v>53</v>
      </c>
      <c r="O6" s="526">
        <f t="shared" si="4"/>
        <v>1</v>
      </c>
      <c r="P6" s="115" t="s">
        <v>54</v>
      </c>
      <c r="Q6" s="116">
        <f t="shared" si="5"/>
        <v>0</v>
      </c>
      <c r="R6" s="526" t="s">
        <v>52</v>
      </c>
      <c r="S6" s="115">
        <f t="shared" si="42"/>
        <v>1</v>
      </c>
      <c r="T6" s="116" t="s">
        <v>53</v>
      </c>
      <c r="U6" s="526">
        <f t="shared" si="6"/>
        <v>0</v>
      </c>
      <c r="V6" s="115" t="s">
        <v>54</v>
      </c>
      <c r="W6" s="116">
        <f t="shared" si="7"/>
        <v>0</v>
      </c>
      <c r="X6" s="526" t="s">
        <v>52</v>
      </c>
      <c r="Y6" s="115">
        <f t="shared" si="8"/>
        <v>0</v>
      </c>
      <c r="Z6" s="116" t="s">
        <v>53</v>
      </c>
      <c r="AA6" s="526">
        <f t="shared" si="9"/>
        <v>0</v>
      </c>
      <c r="AB6" s="115" t="s">
        <v>54</v>
      </c>
      <c r="AC6" s="116">
        <f t="shared" si="43"/>
        <v>0</v>
      </c>
      <c r="AD6" s="526" t="s">
        <v>52</v>
      </c>
      <c r="AE6" s="117">
        <f t="shared" si="44"/>
        <v>0</v>
      </c>
      <c r="AF6" s="527"/>
      <c r="AG6" s="114">
        <f t="shared" si="45"/>
        <v>2</v>
      </c>
      <c r="AH6" s="526" t="s">
        <v>52</v>
      </c>
      <c r="AI6" s="115">
        <f t="shared" si="10"/>
        <v>3</v>
      </c>
      <c r="AJ6" s="116" t="s">
        <v>53</v>
      </c>
      <c r="AK6" s="526">
        <f t="shared" si="11"/>
        <v>1</v>
      </c>
      <c r="AL6" s="115" t="s">
        <v>54</v>
      </c>
      <c r="AM6" s="246">
        <v>2</v>
      </c>
      <c r="AN6" s="244" t="s">
        <v>52</v>
      </c>
      <c r="AO6" s="245">
        <v>2</v>
      </c>
      <c r="AP6" s="246" t="s">
        <v>53</v>
      </c>
      <c r="AQ6" s="244">
        <v>1</v>
      </c>
      <c r="AR6" s="245" t="s">
        <v>54</v>
      </c>
      <c r="AS6" s="246">
        <v>0</v>
      </c>
      <c r="AT6" s="244" t="s">
        <v>52</v>
      </c>
      <c r="AU6" s="245">
        <v>1</v>
      </c>
      <c r="AV6" s="246" t="s">
        <v>53</v>
      </c>
      <c r="AW6" s="244">
        <v>0</v>
      </c>
      <c r="AX6" s="245" t="s">
        <v>54</v>
      </c>
      <c r="AY6" s="246">
        <v>0</v>
      </c>
      <c r="AZ6" s="244" t="s">
        <v>52</v>
      </c>
      <c r="BA6" s="245">
        <v>0</v>
      </c>
      <c r="BB6" s="246" t="s">
        <v>53</v>
      </c>
      <c r="BC6" s="244">
        <v>0</v>
      </c>
      <c r="BD6" s="245" t="s">
        <v>54</v>
      </c>
      <c r="BE6" s="116">
        <v>0</v>
      </c>
      <c r="BF6" s="526" t="s">
        <v>52</v>
      </c>
      <c r="BG6" s="117">
        <v>0</v>
      </c>
      <c r="BH6" s="115"/>
      <c r="BI6" s="114">
        <f t="shared" si="12"/>
        <v>1</v>
      </c>
      <c r="BJ6" s="526" t="s">
        <v>52</v>
      </c>
      <c r="BK6" s="115">
        <f t="shared" si="46"/>
        <v>2</v>
      </c>
      <c r="BL6" s="116" t="s">
        <v>53</v>
      </c>
      <c r="BM6" s="526">
        <f t="shared" si="13"/>
        <v>0</v>
      </c>
      <c r="BN6" s="115" t="s">
        <v>54</v>
      </c>
      <c r="BO6" s="246">
        <v>1</v>
      </c>
      <c r="BP6" s="244" t="s">
        <v>52</v>
      </c>
      <c r="BQ6" s="245">
        <v>2</v>
      </c>
      <c r="BR6" s="246" t="s">
        <v>53</v>
      </c>
      <c r="BS6" s="244">
        <v>0</v>
      </c>
      <c r="BT6" s="245" t="s">
        <v>54</v>
      </c>
      <c r="BU6" s="246">
        <v>0</v>
      </c>
      <c r="BV6" s="244" t="s">
        <v>52</v>
      </c>
      <c r="BW6" s="245">
        <v>0</v>
      </c>
      <c r="BX6" s="246" t="s">
        <v>53</v>
      </c>
      <c r="BY6" s="244">
        <v>0</v>
      </c>
      <c r="BZ6" s="245" t="s">
        <v>54</v>
      </c>
      <c r="CA6" s="246">
        <v>0</v>
      </c>
      <c r="CB6" s="244" t="s">
        <v>52</v>
      </c>
      <c r="CC6" s="245">
        <v>0</v>
      </c>
      <c r="CD6" s="246" t="s">
        <v>53</v>
      </c>
      <c r="CE6" s="244">
        <v>0</v>
      </c>
      <c r="CF6" s="245" t="s">
        <v>54</v>
      </c>
      <c r="CG6" s="116">
        <v>0</v>
      </c>
      <c r="CH6" s="526" t="s">
        <v>52</v>
      </c>
      <c r="CI6" s="117">
        <v>0</v>
      </c>
      <c r="CJ6" s="140">
        <v>1</v>
      </c>
      <c r="CK6" s="148">
        <f t="shared" si="47"/>
        <v>1</v>
      </c>
      <c r="CL6" s="148">
        <v>0</v>
      </c>
      <c r="CM6" s="148">
        <v>1</v>
      </c>
      <c r="CN6" s="148">
        <f t="shared" si="48"/>
        <v>2</v>
      </c>
      <c r="CO6" s="175">
        <v>0</v>
      </c>
      <c r="CP6" s="140">
        <v>0</v>
      </c>
      <c r="CQ6" s="175">
        <v>1</v>
      </c>
      <c r="CR6" s="148">
        <v>0</v>
      </c>
      <c r="CS6" s="148">
        <v>2</v>
      </c>
      <c r="CT6" s="140">
        <v>0</v>
      </c>
      <c r="CU6" s="140">
        <v>0</v>
      </c>
      <c r="CV6" s="148">
        <f t="shared" si="49"/>
        <v>6</v>
      </c>
      <c r="CW6" s="140"/>
      <c r="CX6" s="164">
        <f t="shared" si="50"/>
        <v>125.23529022367856</v>
      </c>
      <c r="CY6" s="147">
        <f t="shared" si="14"/>
        <v>0.61194340754346821</v>
      </c>
      <c r="CZ6" s="165">
        <f t="shared" si="15"/>
        <v>0.18638973899403991</v>
      </c>
      <c r="DA6" s="164">
        <f t="shared" si="16"/>
        <v>93.256170017432993</v>
      </c>
      <c r="DB6" s="141"/>
      <c r="DC6" s="141"/>
      <c r="DD6" s="77">
        <f t="shared" si="51"/>
        <v>0.60759318276292085</v>
      </c>
      <c r="DE6" s="37">
        <f t="shared" si="52"/>
        <v>0.6</v>
      </c>
      <c r="DF6" s="37" t="str">
        <f t="shared" si="53"/>
        <v>0</v>
      </c>
      <c r="DG6" s="37">
        <f t="shared" si="54"/>
        <v>0.6</v>
      </c>
      <c r="DH6" s="37">
        <f t="shared" si="17"/>
        <v>7.8373242113264921E-2</v>
      </c>
      <c r="DI6" s="37">
        <f t="shared" si="18"/>
        <v>0.13715317369821362</v>
      </c>
      <c r="DJ6" s="37">
        <f t="shared" si="19"/>
        <v>0</v>
      </c>
      <c r="DK6" s="37">
        <f t="shared" si="20"/>
        <v>9.7055917357231875E-2</v>
      </c>
      <c r="DL6" s="37">
        <f t="shared" si="21"/>
        <v>0</v>
      </c>
      <c r="DM6" s="37">
        <f t="shared" si="22"/>
        <v>0</v>
      </c>
      <c r="DN6" s="37">
        <f t="shared" si="55"/>
        <v>0</v>
      </c>
      <c r="DO6" s="37" t="str">
        <f t="shared" si="56"/>
        <v>0</v>
      </c>
      <c r="DP6" s="66">
        <f t="shared" si="57"/>
        <v>4.5610034207525656</v>
      </c>
      <c r="DQ6" s="78">
        <f t="shared" si="58"/>
        <v>0</v>
      </c>
      <c r="DR6" s="6"/>
      <c r="DS6" s="36"/>
      <c r="DT6" s="75">
        <f t="shared" si="59"/>
        <v>36.928962371721781</v>
      </c>
      <c r="DU6" s="18">
        <f t="shared" si="23"/>
        <v>2.3503970724697201</v>
      </c>
      <c r="DV6" s="13">
        <f t="shared" si="60"/>
        <v>2.2485178378465003</v>
      </c>
      <c r="DW6" s="14">
        <f t="shared" si="24"/>
        <v>0.83498018017055531</v>
      </c>
      <c r="DX6" s="14">
        <f t="shared" si="25"/>
        <v>0</v>
      </c>
      <c r="DY6" s="14" t="str">
        <f t="shared" si="61"/>
        <v>0</v>
      </c>
      <c r="DZ6" s="15">
        <f t="shared" si="26"/>
        <v>17.071999999999999</v>
      </c>
      <c r="EA6" s="14">
        <f t="shared" si="62"/>
        <v>0.70256589641762168</v>
      </c>
      <c r="EB6" s="14">
        <f t="shared" si="27"/>
        <v>0.23809523809523808</v>
      </c>
      <c r="EC6" s="14">
        <f t="shared" si="28"/>
        <v>0.42467661691542286</v>
      </c>
      <c r="ED6" s="14">
        <f t="shared" si="63"/>
        <v>0.29836330805078698</v>
      </c>
      <c r="EE6" s="19">
        <f t="shared" si="64"/>
        <v>1.4904761904761905</v>
      </c>
      <c r="EF6" s="67" t="str">
        <f t="shared" si="65"/>
        <v>0</v>
      </c>
      <c r="EG6" s="74">
        <f t="shared" si="66"/>
        <v>3.8408732629459106</v>
      </c>
      <c r="EH6" s="27">
        <f t="shared" si="67"/>
        <v>4.8101287779739836</v>
      </c>
      <c r="EI6" s="25">
        <f t="shared" si="68"/>
        <v>4.4970356756930006</v>
      </c>
      <c r="EJ6" s="25">
        <f t="shared" si="69"/>
        <v>0</v>
      </c>
      <c r="EK6" s="26">
        <f t="shared" si="29"/>
        <v>0.70606124913611734</v>
      </c>
      <c r="EL6" s="29">
        <f t="shared" si="70"/>
        <v>0.71428571428571419</v>
      </c>
      <c r="EM6" s="30">
        <f t="shared" si="30"/>
        <v>0.33333333333333331</v>
      </c>
      <c r="EN6" s="30">
        <f t="shared" si="31"/>
        <v>0.55555555555555558</v>
      </c>
      <c r="EO6" s="31">
        <f t="shared" si="71"/>
        <v>2.2857142857142856</v>
      </c>
      <c r="EP6" s="31">
        <f t="shared" si="32"/>
        <v>1.1253223209749468</v>
      </c>
      <c r="EQ6" s="31">
        <f t="shared" si="72"/>
        <v>3.4110366066892324</v>
      </c>
      <c r="ER6" s="93">
        <f t="shared" si="33"/>
        <v>0.82765321750330689</v>
      </c>
      <c r="ES6" s="109">
        <f t="shared" si="34"/>
        <v>106.88405614116314</v>
      </c>
      <c r="ET6" s="32">
        <f t="shared" si="35"/>
        <v>2.248062015503876</v>
      </c>
      <c r="EV6" s="277"/>
      <c r="EW6" s="278"/>
      <c r="EX6" s="37">
        <f t="shared" ref="EX6:EX16" si="81">AC6</f>
        <v>0</v>
      </c>
      <c r="EY6" s="72">
        <f t="shared" si="73"/>
        <v>0</v>
      </c>
      <c r="EZ6" s="7">
        <v>0.7</v>
      </c>
      <c r="FB6" s="57"/>
      <c r="FC6" s="178"/>
      <c r="FD6" s="216" t="s">
        <v>82</v>
      </c>
      <c r="FE6" s="180" t="s">
        <v>235</v>
      </c>
      <c r="FF6" s="181">
        <f t="shared" si="36"/>
        <v>8.77</v>
      </c>
      <c r="FG6" s="182">
        <f t="shared" si="36"/>
        <v>3</v>
      </c>
      <c r="FH6" s="183" t="s">
        <v>52</v>
      </c>
      <c r="FI6" s="184">
        <f t="shared" si="74"/>
        <v>5</v>
      </c>
      <c r="FJ6" s="193">
        <f t="shared" si="75"/>
        <v>0.6</v>
      </c>
      <c r="FK6" s="185">
        <f t="shared" si="37"/>
        <v>0</v>
      </c>
      <c r="FL6" s="183" t="s">
        <v>52</v>
      </c>
      <c r="FM6" s="186">
        <f t="shared" si="38"/>
        <v>0</v>
      </c>
      <c r="FN6" s="193" t="str">
        <f t="shared" si="76"/>
        <v>0</v>
      </c>
      <c r="FO6" s="261">
        <f t="shared" si="77"/>
        <v>0</v>
      </c>
      <c r="FP6" s="183" t="s">
        <v>52</v>
      </c>
      <c r="FQ6" s="268">
        <f t="shared" si="78"/>
        <v>0</v>
      </c>
      <c r="FR6" s="196" t="str">
        <f t="shared" si="79"/>
        <v>0</v>
      </c>
      <c r="FS6" s="179">
        <f t="shared" si="39"/>
        <v>1</v>
      </c>
      <c r="FT6" s="179">
        <f t="shared" si="39"/>
        <v>1</v>
      </c>
      <c r="FU6" s="179">
        <f t="shared" si="40"/>
        <v>2</v>
      </c>
      <c r="FV6" s="187">
        <f t="shared" si="40"/>
        <v>0</v>
      </c>
      <c r="FW6" s="179">
        <f t="shared" si="40"/>
        <v>0</v>
      </c>
      <c r="FX6" s="179">
        <f t="shared" si="40"/>
        <v>1</v>
      </c>
      <c r="FY6" s="179">
        <f t="shared" si="40"/>
        <v>0</v>
      </c>
      <c r="FZ6" s="179">
        <f t="shared" si="40"/>
        <v>2</v>
      </c>
      <c r="GA6" s="179">
        <f t="shared" si="40"/>
        <v>0</v>
      </c>
      <c r="GB6" s="179">
        <f t="shared" si="40"/>
        <v>0</v>
      </c>
      <c r="GC6" s="187">
        <f t="shared" si="40"/>
        <v>6</v>
      </c>
      <c r="GD6" s="203">
        <f t="shared" si="80"/>
        <v>125.23529022367856</v>
      </c>
      <c r="GE6" s="179">
        <f t="shared" si="80"/>
        <v>0.61194340754346821</v>
      </c>
      <c r="GF6" s="179">
        <f t="shared" si="80"/>
        <v>0.18638973899403991</v>
      </c>
      <c r="GG6" s="258">
        <f t="shared" si="80"/>
        <v>93.256170017432993</v>
      </c>
      <c r="GH6" s="179"/>
      <c r="GJ6" s="82"/>
      <c r="GK6" s="24"/>
      <c r="GL6" s="185">
        <f>(CQ6/CQ29)*(EY30-EX30)</f>
        <v>9.375E-2</v>
      </c>
      <c r="GM6" s="185">
        <f>((E30/G30)*(1-(CJ30/(CJ30+CK29))))/((E30/G30)*(1-(CJ30/(CJ30+CK29)))+((1-(E30/G30)))*(CJ30/(CJ30+CK29)))</f>
        <v>0.83333333333333337</v>
      </c>
      <c r="GN6" s="24">
        <f>GK6+(GL6/10)+(GJ6*GM6*(1-(CJ30/(CJ30+CK29))))+(CK6*(1-GM6))</f>
        <v>0.17604166666666662</v>
      </c>
      <c r="GO6" s="213">
        <f>GN6/(DD6*EG30)</f>
        <v>8.7773404622615674E-3</v>
      </c>
    </row>
    <row r="7" spans="1:197" x14ac:dyDescent="0.2">
      <c r="A7" s="139"/>
      <c r="B7" s="89" t="s">
        <v>82</v>
      </c>
      <c r="C7" s="41" t="s">
        <v>175</v>
      </c>
      <c r="D7" s="483">
        <v>10.5</v>
      </c>
      <c r="E7" s="114">
        <f t="shared" si="0"/>
        <v>2</v>
      </c>
      <c r="F7" s="526" t="s">
        <v>52</v>
      </c>
      <c r="G7" s="115">
        <f t="shared" si="1"/>
        <v>8</v>
      </c>
      <c r="H7" s="116" t="s">
        <v>53</v>
      </c>
      <c r="I7" s="526">
        <f t="shared" si="41"/>
        <v>2</v>
      </c>
      <c r="J7" s="115" t="s">
        <v>54</v>
      </c>
      <c r="K7" s="116">
        <f t="shared" si="2"/>
        <v>0</v>
      </c>
      <c r="L7" s="526" t="s">
        <v>52</v>
      </c>
      <c r="M7" s="115">
        <f t="shared" si="3"/>
        <v>1</v>
      </c>
      <c r="N7" s="116" t="s">
        <v>53</v>
      </c>
      <c r="O7" s="526">
        <f t="shared" si="4"/>
        <v>0</v>
      </c>
      <c r="P7" s="115" t="s">
        <v>54</v>
      </c>
      <c r="Q7" s="116">
        <f t="shared" si="5"/>
        <v>0</v>
      </c>
      <c r="R7" s="526" t="s">
        <v>52</v>
      </c>
      <c r="S7" s="115">
        <f t="shared" si="42"/>
        <v>3</v>
      </c>
      <c r="T7" s="116" t="s">
        <v>53</v>
      </c>
      <c r="U7" s="526">
        <f t="shared" si="6"/>
        <v>0</v>
      </c>
      <c r="V7" s="115" t="s">
        <v>54</v>
      </c>
      <c r="W7" s="116">
        <f t="shared" si="7"/>
        <v>2</v>
      </c>
      <c r="X7" s="526" t="s">
        <v>52</v>
      </c>
      <c r="Y7" s="115">
        <f t="shared" si="8"/>
        <v>4</v>
      </c>
      <c r="Z7" s="116" t="s">
        <v>53</v>
      </c>
      <c r="AA7" s="526">
        <f t="shared" si="9"/>
        <v>2</v>
      </c>
      <c r="AB7" s="115" t="s">
        <v>54</v>
      </c>
      <c r="AC7" s="116">
        <f t="shared" si="43"/>
        <v>1.7</v>
      </c>
      <c r="AD7" s="526" t="s">
        <v>52</v>
      </c>
      <c r="AE7" s="117">
        <f t="shared" si="44"/>
        <v>2</v>
      </c>
      <c r="AF7" s="527"/>
      <c r="AG7" s="114">
        <f>IFERROR(AM7+AS7+AY7,"0")</f>
        <v>2</v>
      </c>
      <c r="AH7" s="526" t="s">
        <v>52</v>
      </c>
      <c r="AI7" s="115">
        <f t="shared" si="10"/>
        <v>7</v>
      </c>
      <c r="AJ7" s="116" t="s">
        <v>53</v>
      </c>
      <c r="AK7" s="526">
        <f t="shared" si="11"/>
        <v>2</v>
      </c>
      <c r="AL7" s="115" t="s">
        <v>54</v>
      </c>
      <c r="AM7" s="246">
        <v>0</v>
      </c>
      <c r="AN7" s="244" t="s">
        <v>52</v>
      </c>
      <c r="AO7" s="245">
        <v>0</v>
      </c>
      <c r="AP7" s="246" t="s">
        <v>53</v>
      </c>
      <c r="AQ7" s="244">
        <v>0</v>
      </c>
      <c r="AR7" s="245" t="s">
        <v>54</v>
      </c>
      <c r="AS7" s="246">
        <v>0</v>
      </c>
      <c r="AT7" s="244" t="s">
        <v>52</v>
      </c>
      <c r="AU7" s="245">
        <v>3</v>
      </c>
      <c r="AV7" s="246" t="s">
        <v>53</v>
      </c>
      <c r="AW7" s="244">
        <v>0</v>
      </c>
      <c r="AX7" s="245" t="s">
        <v>54</v>
      </c>
      <c r="AY7" s="246">
        <v>2</v>
      </c>
      <c r="AZ7" s="244" t="s">
        <v>52</v>
      </c>
      <c r="BA7" s="245">
        <v>4</v>
      </c>
      <c r="BB7" s="246" t="s">
        <v>53</v>
      </c>
      <c r="BC7" s="244">
        <v>2</v>
      </c>
      <c r="BD7" s="245" t="s">
        <v>54</v>
      </c>
      <c r="BE7" s="116">
        <v>0</v>
      </c>
      <c r="BF7" s="526" t="s">
        <v>52</v>
      </c>
      <c r="BG7" s="117">
        <v>0</v>
      </c>
      <c r="BH7" s="115"/>
      <c r="BI7" s="114">
        <f>IFERROR(BO7+BU7+CA7,"0")</f>
        <v>0</v>
      </c>
      <c r="BJ7" s="526" t="s">
        <v>52</v>
      </c>
      <c r="BK7" s="115">
        <f t="shared" si="46"/>
        <v>1</v>
      </c>
      <c r="BL7" s="116" t="s">
        <v>53</v>
      </c>
      <c r="BM7" s="526">
        <f t="shared" si="13"/>
        <v>0</v>
      </c>
      <c r="BN7" s="115" t="s">
        <v>54</v>
      </c>
      <c r="BO7" s="246">
        <v>0</v>
      </c>
      <c r="BP7" s="244" t="s">
        <v>52</v>
      </c>
      <c r="BQ7" s="245">
        <v>1</v>
      </c>
      <c r="BR7" s="246" t="s">
        <v>53</v>
      </c>
      <c r="BS7" s="244">
        <v>0</v>
      </c>
      <c r="BT7" s="245" t="s">
        <v>54</v>
      </c>
      <c r="BU7" s="246">
        <v>0</v>
      </c>
      <c r="BV7" s="244" t="s">
        <v>52</v>
      </c>
      <c r="BW7" s="245">
        <v>0</v>
      </c>
      <c r="BX7" s="246" t="s">
        <v>53</v>
      </c>
      <c r="BY7" s="244">
        <v>0</v>
      </c>
      <c r="BZ7" s="245" t="s">
        <v>54</v>
      </c>
      <c r="CA7" s="246">
        <v>0</v>
      </c>
      <c r="CB7" s="244" t="s">
        <v>52</v>
      </c>
      <c r="CC7" s="245">
        <v>0</v>
      </c>
      <c r="CD7" s="246" t="s">
        <v>53</v>
      </c>
      <c r="CE7" s="244">
        <v>0</v>
      </c>
      <c r="CF7" s="245" t="s">
        <v>54</v>
      </c>
      <c r="CG7" s="116">
        <v>0</v>
      </c>
      <c r="CH7" s="526" t="s">
        <v>52</v>
      </c>
      <c r="CI7" s="117">
        <v>0</v>
      </c>
      <c r="CJ7" s="140">
        <v>1</v>
      </c>
      <c r="CK7" s="148">
        <f t="shared" si="47"/>
        <v>1</v>
      </c>
      <c r="CL7" s="148">
        <v>0</v>
      </c>
      <c r="CM7" s="148">
        <v>1</v>
      </c>
      <c r="CN7" s="148">
        <f t="shared" si="48"/>
        <v>2</v>
      </c>
      <c r="CO7" s="175">
        <v>2</v>
      </c>
      <c r="CP7" s="140">
        <v>2</v>
      </c>
      <c r="CQ7" s="175">
        <v>0</v>
      </c>
      <c r="CR7" s="148">
        <v>2</v>
      </c>
      <c r="CS7" s="148">
        <v>1</v>
      </c>
      <c r="CT7" s="140">
        <v>0</v>
      </c>
      <c r="CU7" s="140">
        <v>0</v>
      </c>
      <c r="CV7" s="148">
        <f t="shared" si="49"/>
        <v>7.7</v>
      </c>
      <c r="CW7" s="140"/>
      <c r="CX7" s="164">
        <f t="shared" si="50"/>
        <v>108.54577830657195</v>
      </c>
      <c r="CY7" s="147">
        <f t="shared" si="14"/>
        <v>0.40976501882899696</v>
      </c>
      <c r="CZ7" s="165">
        <f t="shared" si="15"/>
        <v>0.30829638942493875</v>
      </c>
      <c r="DA7" s="164">
        <f t="shared" si="16"/>
        <v>106.7492994488217</v>
      </c>
      <c r="DB7" s="141"/>
      <c r="DC7" s="141"/>
      <c r="DD7" s="77">
        <f t="shared" si="51"/>
        <v>0.72744907856450047</v>
      </c>
      <c r="DE7" s="37">
        <f t="shared" si="52"/>
        <v>0.25</v>
      </c>
      <c r="DF7" s="37">
        <f t="shared" si="53"/>
        <v>0.5</v>
      </c>
      <c r="DG7" s="37">
        <f t="shared" si="54"/>
        <v>0.375</v>
      </c>
      <c r="DH7" s="37">
        <f t="shared" si="17"/>
        <v>6.5460317460317469E-2</v>
      </c>
      <c r="DI7" s="37">
        <f t="shared" si="18"/>
        <v>0.11455555555555556</v>
      </c>
      <c r="DJ7" s="37">
        <f t="shared" si="19"/>
        <v>0</v>
      </c>
      <c r="DK7" s="37">
        <f t="shared" si="20"/>
        <v>4.053239977252017E-2</v>
      </c>
      <c r="DL7" s="37">
        <f t="shared" si="21"/>
        <v>0.22911111111111113</v>
      </c>
      <c r="DM7" s="37">
        <f t="shared" si="22"/>
        <v>0.16212959909008068</v>
      </c>
      <c r="DN7" s="37">
        <f t="shared" si="55"/>
        <v>0</v>
      </c>
      <c r="DO7" s="37" t="str">
        <f t="shared" si="56"/>
        <v>0</v>
      </c>
      <c r="DP7" s="66">
        <f t="shared" si="57"/>
        <v>0</v>
      </c>
      <c r="DQ7" s="78">
        <f t="shared" si="58"/>
        <v>7.6190476190476186</v>
      </c>
      <c r="DR7" s="6"/>
      <c r="DS7" s="36"/>
      <c r="DT7" s="75">
        <f t="shared" si="59"/>
        <v>27.709638095238102</v>
      </c>
      <c r="DU7" s="18">
        <f t="shared" si="23"/>
        <v>3.1167430629969606</v>
      </c>
      <c r="DV7" s="13">
        <f t="shared" si="60"/>
        <v>1.7877236257896647</v>
      </c>
      <c r="DW7" s="14">
        <f t="shared" si="24"/>
        <v>0.56607033122756056</v>
      </c>
      <c r="DX7" s="14">
        <f t="shared" si="25"/>
        <v>0.51851851851851849</v>
      </c>
      <c r="DY7" s="14">
        <f t="shared" si="61"/>
        <v>0.78200000000000003</v>
      </c>
      <c r="DZ7" s="15">
        <f t="shared" si="26"/>
        <v>17.071999999999999</v>
      </c>
      <c r="EA7" s="14">
        <f t="shared" si="62"/>
        <v>0.70256589641762168</v>
      </c>
      <c r="EB7" s="14">
        <f t="shared" si="27"/>
        <v>0.23809523809523808</v>
      </c>
      <c r="EC7" s="14">
        <f t="shared" si="28"/>
        <v>0.42467661691542286</v>
      </c>
      <c r="ED7" s="14">
        <f t="shared" si="63"/>
        <v>0.29836330805078698</v>
      </c>
      <c r="EE7" s="19">
        <f t="shared" si="64"/>
        <v>4.4714285714285715</v>
      </c>
      <c r="EF7" s="67">
        <f t="shared" si="65"/>
        <v>1.8000000000000006E-2</v>
      </c>
      <c r="EG7" s="74">
        <f t="shared" si="66"/>
        <v>7.6061716344255315</v>
      </c>
      <c r="EH7" s="27">
        <f t="shared" si="67"/>
        <v>8.2561781999208979</v>
      </c>
      <c r="EI7" s="25">
        <f t="shared" si="68"/>
        <v>5.3631708773689937</v>
      </c>
      <c r="EJ7" s="25">
        <f t="shared" si="69"/>
        <v>1.2098765432098766</v>
      </c>
      <c r="EK7" s="26">
        <f t="shared" si="29"/>
        <v>0.70606124913611734</v>
      </c>
      <c r="EL7" s="29">
        <f t="shared" si="70"/>
        <v>0.71428571428571419</v>
      </c>
      <c r="EM7" s="30">
        <f t="shared" si="30"/>
        <v>0.33333333333333331</v>
      </c>
      <c r="EN7" s="30">
        <f t="shared" si="31"/>
        <v>0.55555555555555558</v>
      </c>
      <c r="EO7" s="31">
        <f t="shared" si="71"/>
        <v>1.2857142857142858</v>
      </c>
      <c r="EP7" s="31">
        <f t="shared" si="32"/>
        <v>1.317375640847998</v>
      </c>
      <c r="EQ7" s="31">
        <f t="shared" si="72"/>
        <v>2.6030899265622836</v>
      </c>
      <c r="ER7" s="93">
        <f t="shared" si="33"/>
        <v>0.52754740773621311</v>
      </c>
      <c r="ES7" s="109">
        <f t="shared" si="34"/>
        <v>106.88405614116314</v>
      </c>
      <c r="ET7" s="32">
        <f t="shared" si="35"/>
        <v>2.248062015503876</v>
      </c>
      <c r="EV7" s="277"/>
      <c r="EW7" s="278"/>
      <c r="EX7" s="37">
        <f t="shared" si="81"/>
        <v>1.7</v>
      </c>
      <c r="EY7" s="72">
        <f t="shared" si="73"/>
        <v>2</v>
      </c>
      <c r="EZ7" s="7">
        <v>0.85</v>
      </c>
      <c r="FB7" s="57"/>
      <c r="FC7" s="139"/>
      <c r="FD7" s="89" t="s">
        <v>82</v>
      </c>
      <c r="FE7" s="41" t="s">
        <v>179</v>
      </c>
      <c r="FF7" s="147">
        <f t="shared" si="36"/>
        <v>10.5</v>
      </c>
      <c r="FG7" s="144">
        <f t="shared" si="36"/>
        <v>2</v>
      </c>
      <c r="FH7" s="526" t="s">
        <v>52</v>
      </c>
      <c r="FI7" s="145">
        <f t="shared" si="74"/>
        <v>8</v>
      </c>
      <c r="FJ7" s="194">
        <f t="shared" si="75"/>
        <v>0.25</v>
      </c>
      <c r="FK7" s="110">
        <f t="shared" si="37"/>
        <v>2</v>
      </c>
      <c r="FL7" s="526" t="s">
        <v>52</v>
      </c>
      <c r="FM7" s="168">
        <f t="shared" si="38"/>
        <v>4</v>
      </c>
      <c r="FN7" s="194">
        <f t="shared" si="76"/>
        <v>0.5</v>
      </c>
      <c r="FO7" s="262">
        <f t="shared" si="77"/>
        <v>0</v>
      </c>
      <c r="FP7" s="526" t="s">
        <v>52</v>
      </c>
      <c r="FQ7" s="274">
        <f t="shared" si="78"/>
        <v>0</v>
      </c>
      <c r="FR7" s="197" t="str">
        <f t="shared" si="79"/>
        <v>0</v>
      </c>
      <c r="FS7" s="140">
        <f t="shared" si="39"/>
        <v>1</v>
      </c>
      <c r="FT7" s="140">
        <f t="shared" si="39"/>
        <v>1</v>
      </c>
      <c r="FU7" s="140">
        <f t="shared" si="40"/>
        <v>2</v>
      </c>
      <c r="FV7" s="175">
        <f t="shared" si="40"/>
        <v>2</v>
      </c>
      <c r="FW7" s="140">
        <f t="shared" si="40"/>
        <v>2</v>
      </c>
      <c r="FX7" s="140">
        <f t="shared" si="40"/>
        <v>0</v>
      </c>
      <c r="FY7" s="140">
        <f t="shared" si="40"/>
        <v>2</v>
      </c>
      <c r="FZ7" s="140">
        <f t="shared" si="40"/>
        <v>1</v>
      </c>
      <c r="GA7" s="140">
        <f t="shared" si="40"/>
        <v>0</v>
      </c>
      <c r="GB7" s="140">
        <f t="shared" si="40"/>
        <v>0</v>
      </c>
      <c r="GC7" s="175">
        <f t="shared" si="40"/>
        <v>7.7</v>
      </c>
      <c r="GD7" s="202">
        <f t="shared" si="80"/>
        <v>108.54577830657195</v>
      </c>
      <c r="GE7" s="140">
        <f t="shared" si="80"/>
        <v>0.40976501882899696</v>
      </c>
      <c r="GF7" s="140">
        <f t="shared" si="80"/>
        <v>0.30829638942493875</v>
      </c>
      <c r="GG7" s="259">
        <f t="shared" si="80"/>
        <v>106.7492994488217</v>
      </c>
      <c r="GH7" s="140"/>
      <c r="GJ7" s="82"/>
      <c r="GK7" s="24"/>
      <c r="GL7" s="185">
        <f>(CQ7/CQ31)*(EY32-EX32)</f>
        <v>0</v>
      </c>
      <c r="GM7" s="185">
        <f>((E32/G32)*(1-(CJ32/(CJ32+CK31))))/((E32/G32)*(1-(CJ32/(CJ32+CK31)))+((1-(E32/G32)))*(CJ32/(CJ32+CK31)))</f>
        <v>0.71428571428571419</v>
      </c>
      <c r="GN7" s="24">
        <f>GK7+(GL7/10)+(GJ7*GM7*(1-(CJ32/(CJ32+CK31))))+(CK7*(1-GM7))</f>
        <v>0.28571428571428581</v>
      </c>
      <c r="GO7" s="213">
        <f>GN7/(DD7*EG32)</f>
        <v>1.1898431722396267E-2</v>
      </c>
    </row>
    <row r="8" spans="1:197" x14ac:dyDescent="0.2">
      <c r="A8" s="139"/>
      <c r="B8" s="430" t="s">
        <v>117</v>
      </c>
      <c r="C8" s="431" t="s">
        <v>208</v>
      </c>
      <c r="D8" s="483">
        <v>10.37</v>
      </c>
      <c r="E8" s="114">
        <f t="shared" si="0"/>
        <v>3</v>
      </c>
      <c r="F8" s="526" t="s">
        <v>52</v>
      </c>
      <c r="G8" s="115">
        <f t="shared" si="1"/>
        <v>5</v>
      </c>
      <c r="H8" s="116" t="s">
        <v>53</v>
      </c>
      <c r="I8" s="526">
        <f t="shared" si="41"/>
        <v>3</v>
      </c>
      <c r="J8" s="115" t="s">
        <v>54</v>
      </c>
      <c r="K8" s="116">
        <f t="shared" si="2"/>
        <v>2</v>
      </c>
      <c r="L8" s="526" t="s">
        <v>52</v>
      </c>
      <c r="M8" s="115">
        <f t="shared" si="3"/>
        <v>2</v>
      </c>
      <c r="N8" s="116" t="s">
        <v>53</v>
      </c>
      <c r="O8" s="526">
        <f t="shared" si="4"/>
        <v>2</v>
      </c>
      <c r="P8" s="115" t="s">
        <v>54</v>
      </c>
      <c r="Q8" s="116">
        <f t="shared" si="5"/>
        <v>0</v>
      </c>
      <c r="R8" s="526" t="s">
        <v>52</v>
      </c>
      <c r="S8" s="115">
        <f t="shared" si="42"/>
        <v>0</v>
      </c>
      <c r="T8" s="116" t="s">
        <v>53</v>
      </c>
      <c r="U8" s="526">
        <f t="shared" si="6"/>
        <v>0</v>
      </c>
      <c r="V8" s="115" t="s">
        <v>54</v>
      </c>
      <c r="W8" s="116">
        <f t="shared" si="7"/>
        <v>1</v>
      </c>
      <c r="X8" s="526" t="s">
        <v>52</v>
      </c>
      <c r="Y8" s="115">
        <f t="shared" si="8"/>
        <v>3</v>
      </c>
      <c r="Z8" s="116" t="s">
        <v>53</v>
      </c>
      <c r="AA8" s="526">
        <f t="shared" si="9"/>
        <v>1</v>
      </c>
      <c r="AB8" s="115" t="s">
        <v>54</v>
      </c>
      <c r="AC8" s="116">
        <f t="shared" si="43"/>
        <v>0</v>
      </c>
      <c r="AD8" s="526" t="s">
        <v>52</v>
      </c>
      <c r="AE8" s="117">
        <f t="shared" si="44"/>
        <v>0</v>
      </c>
      <c r="AF8" s="527"/>
      <c r="AG8" s="114">
        <f t="shared" si="45"/>
        <v>3</v>
      </c>
      <c r="AH8" s="526" t="s">
        <v>52</v>
      </c>
      <c r="AI8" s="115">
        <f t="shared" si="10"/>
        <v>5</v>
      </c>
      <c r="AJ8" s="116" t="s">
        <v>53</v>
      </c>
      <c r="AK8" s="526">
        <f t="shared" si="11"/>
        <v>3</v>
      </c>
      <c r="AL8" s="115" t="s">
        <v>54</v>
      </c>
      <c r="AM8" s="246">
        <v>2</v>
      </c>
      <c r="AN8" s="244" t="s">
        <v>52</v>
      </c>
      <c r="AO8" s="245">
        <v>2</v>
      </c>
      <c r="AP8" s="246" t="s">
        <v>53</v>
      </c>
      <c r="AQ8" s="244">
        <v>2</v>
      </c>
      <c r="AR8" s="245" t="s">
        <v>54</v>
      </c>
      <c r="AS8" s="246">
        <v>0</v>
      </c>
      <c r="AT8" s="244" t="s">
        <v>52</v>
      </c>
      <c r="AU8" s="245">
        <v>0</v>
      </c>
      <c r="AV8" s="246" t="s">
        <v>53</v>
      </c>
      <c r="AW8" s="244">
        <v>0</v>
      </c>
      <c r="AX8" s="245" t="s">
        <v>54</v>
      </c>
      <c r="AY8" s="246">
        <v>1</v>
      </c>
      <c r="AZ8" s="244" t="s">
        <v>52</v>
      </c>
      <c r="BA8" s="245">
        <v>3</v>
      </c>
      <c r="BB8" s="246" t="s">
        <v>53</v>
      </c>
      <c r="BC8" s="244">
        <v>1</v>
      </c>
      <c r="BD8" s="245" t="s">
        <v>54</v>
      </c>
      <c r="BE8" s="116">
        <v>0</v>
      </c>
      <c r="BF8" s="526" t="s">
        <v>52</v>
      </c>
      <c r="BG8" s="117">
        <v>0</v>
      </c>
      <c r="BH8" s="115"/>
      <c r="BI8" s="114">
        <f t="shared" si="12"/>
        <v>0</v>
      </c>
      <c r="BJ8" s="526" t="s">
        <v>52</v>
      </c>
      <c r="BK8" s="115">
        <f t="shared" si="46"/>
        <v>0</v>
      </c>
      <c r="BL8" s="116" t="s">
        <v>53</v>
      </c>
      <c r="BM8" s="526">
        <f t="shared" si="13"/>
        <v>0</v>
      </c>
      <c r="BN8" s="115" t="s">
        <v>54</v>
      </c>
      <c r="BO8" s="246">
        <v>0</v>
      </c>
      <c r="BP8" s="244" t="s">
        <v>52</v>
      </c>
      <c r="BQ8" s="245">
        <v>0</v>
      </c>
      <c r="BR8" s="246" t="s">
        <v>53</v>
      </c>
      <c r="BS8" s="244">
        <v>0</v>
      </c>
      <c r="BT8" s="245" t="s">
        <v>54</v>
      </c>
      <c r="BU8" s="246">
        <v>0</v>
      </c>
      <c r="BV8" s="244" t="s">
        <v>52</v>
      </c>
      <c r="BW8" s="245">
        <v>0</v>
      </c>
      <c r="BX8" s="246" t="s">
        <v>53</v>
      </c>
      <c r="BY8" s="244">
        <v>0</v>
      </c>
      <c r="BZ8" s="245" t="s">
        <v>54</v>
      </c>
      <c r="CA8" s="246">
        <v>0</v>
      </c>
      <c r="CB8" s="244" t="s">
        <v>52</v>
      </c>
      <c r="CC8" s="245">
        <v>0</v>
      </c>
      <c r="CD8" s="246" t="s">
        <v>53</v>
      </c>
      <c r="CE8" s="244">
        <v>0</v>
      </c>
      <c r="CF8" s="245" t="s">
        <v>54</v>
      </c>
      <c r="CG8" s="116">
        <v>0</v>
      </c>
      <c r="CH8" s="526" t="s">
        <v>52</v>
      </c>
      <c r="CI8" s="117">
        <v>0</v>
      </c>
      <c r="CJ8" s="140">
        <v>0</v>
      </c>
      <c r="CK8" s="148">
        <f t="shared" si="47"/>
        <v>0</v>
      </c>
      <c r="CL8" s="148">
        <v>0</v>
      </c>
      <c r="CM8" s="148">
        <v>0</v>
      </c>
      <c r="CN8" s="148">
        <f t="shared" si="48"/>
        <v>0</v>
      </c>
      <c r="CO8" s="175">
        <v>1</v>
      </c>
      <c r="CP8" s="140">
        <v>2</v>
      </c>
      <c r="CQ8" s="175">
        <v>1</v>
      </c>
      <c r="CR8" s="148">
        <v>0</v>
      </c>
      <c r="CS8" s="148">
        <v>0</v>
      </c>
      <c r="CT8" s="140">
        <v>2</v>
      </c>
      <c r="CU8" s="140">
        <v>0</v>
      </c>
      <c r="CV8" s="148">
        <f t="shared" si="49"/>
        <v>7</v>
      </c>
      <c r="CW8" s="140"/>
      <c r="CX8" s="164">
        <f t="shared" si="50"/>
        <v>101.65773893149424</v>
      </c>
      <c r="CY8" s="147">
        <f t="shared" si="14"/>
        <v>0.43743503194238953</v>
      </c>
      <c r="CZ8" s="165">
        <f t="shared" si="15"/>
        <v>0.24634927341060908</v>
      </c>
      <c r="DA8" s="164">
        <f t="shared" si="16"/>
        <v>128.36900739712183</v>
      </c>
      <c r="DB8" s="141"/>
      <c r="DC8" s="141"/>
      <c r="DD8" s="77">
        <f t="shared" si="51"/>
        <v>0.71844256616322566</v>
      </c>
      <c r="DE8" s="37">
        <f t="shared" si="52"/>
        <v>0.6</v>
      </c>
      <c r="DF8" s="37">
        <f t="shared" si="53"/>
        <v>0.33333333333333331</v>
      </c>
      <c r="DG8" s="37">
        <f t="shared" si="54"/>
        <v>0.7</v>
      </c>
      <c r="DH8" s="37">
        <f t="shared" si="17"/>
        <v>0</v>
      </c>
      <c r="DI8" s="37">
        <f t="shared" si="18"/>
        <v>0</v>
      </c>
      <c r="DJ8" s="37">
        <f t="shared" si="19"/>
        <v>0</v>
      </c>
      <c r="DK8" s="37">
        <f t="shared" si="20"/>
        <v>0</v>
      </c>
      <c r="DL8" s="37">
        <f t="shared" si="21"/>
        <v>0.11599164255866282</v>
      </c>
      <c r="DM8" s="37">
        <f t="shared" si="22"/>
        <v>0.12649972009587157</v>
      </c>
      <c r="DN8" s="37">
        <f t="shared" si="55"/>
        <v>0.34233162356446883</v>
      </c>
      <c r="DO8" s="37">
        <f t="shared" si="56"/>
        <v>0.5</v>
      </c>
      <c r="DP8" s="66">
        <f t="shared" si="57"/>
        <v>3.857280617164899</v>
      </c>
      <c r="DQ8" s="78">
        <f t="shared" si="58"/>
        <v>0</v>
      </c>
      <c r="DR8" s="6"/>
      <c r="DS8" s="36"/>
      <c r="DT8" s="75">
        <f t="shared" si="59"/>
        <v>13.579170684667318</v>
      </c>
      <c r="DU8" s="18">
        <f t="shared" si="23"/>
        <v>2.5556215192021869</v>
      </c>
      <c r="DV8" s="13">
        <f t="shared" si="60"/>
        <v>2.4181963263277151</v>
      </c>
      <c r="DW8" s="14">
        <f t="shared" si="24"/>
        <v>0.5540987368307474</v>
      </c>
      <c r="DX8" s="14">
        <f t="shared" si="25"/>
        <v>0.30681818181818182</v>
      </c>
      <c r="DY8" s="14" t="str">
        <f t="shared" si="61"/>
        <v>0</v>
      </c>
      <c r="DZ8" s="15">
        <f t="shared" si="26"/>
        <v>16.125</v>
      </c>
      <c r="EA8" s="14">
        <f t="shared" si="62"/>
        <v>0.59364933271974241</v>
      </c>
      <c r="EB8" s="14">
        <f t="shared" si="27"/>
        <v>0.33333333333333331</v>
      </c>
      <c r="EC8" s="14">
        <f t="shared" si="28"/>
        <v>0.42212041884816753</v>
      </c>
      <c r="ED8" s="14">
        <f t="shared" si="63"/>
        <v>0</v>
      </c>
      <c r="EE8" s="19">
        <f t="shared" si="64"/>
        <v>1.2866666666666666</v>
      </c>
      <c r="EF8" s="67" t="str">
        <f t="shared" si="65"/>
        <v>0</v>
      </c>
      <c r="EG8" s="74">
        <f t="shared" si="66"/>
        <v>5.8422881858688536</v>
      </c>
      <c r="EH8" s="27">
        <f t="shared" si="67"/>
        <v>5.9391380716160898</v>
      </c>
      <c r="EI8" s="25">
        <f t="shared" si="68"/>
        <v>5.6424580947646685</v>
      </c>
      <c r="EJ8" s="25">
        <f t="shared" si="69"/>
        <v>0.69034090909090906</v>
      </c>
      <c r="EK8" s="26">
        <f t="shared" si="29"/>
        <v>0</v>
      </c>
      <c r="EL8" s="29">
        <f t="shared" si="70"/>
        <v>0.68085106382978722</v>
      </c>
      <c r="EM8" s="30">
        <f t="shared" si="30"/>
        <v>0.23809523809523808</v>
      </c>
      <c r="EN8" s="30">
        <f t="shared" si="31"/>
        <v>0.4</v>
      </c>
      <c r="EO8" s="31">
        <f t="shared" si="71"/>
        <v>0</v>
      </c>
      <c r="EP8" s="31">
        <f t="shared" si="32"/>
        <v>1.6907354797626173</v>
      </c>
      <c r="EQ8" s="31">
        <f t="shared" si="72"/>
        <v>1.6907354797626173</v>
      </c>
      <c r="ER8" s="93">
        <f t="shared" si="33"/>
        <v>0.35646260824355025</v>
      </c>
      <c r="ES8" s="109">
        <f t="shared" si="34"/>
        <v>122.38881514647176</v>
      </c>
      <c r="ET8" s="32">
        <f t="shared" si="35"/>
        <v>2.3664479850046862</v>
      </c>
      <c r="EV8" s="277"/>
      <c r="EW8" s="278"/>
      <c r="EX8" s="37">
        <f t="shared" si="81"/>
        <v>0</v>
      </c>
      <c r="EY8" s="72">
        <f t="shared" si="73"/>
        <v>0</v>
      </c>
      <c r="EZ8" s="7">
        <v>0.6</v>
      </c>
      <c r="FB8" s="41"/>
      <c r="FC8" s="178"/>
      <c r="FD8" s="216" t="s">
        <v>82</v>
      </c>
      <c r="FE8" s="180" t="s">
        <v>236</v>
      </c>
      <c r="FF8" s="181">
        <f t="shared" si="36"/>
        <v>10.37</v>
      </c>
      <c r="FG8" s="182">
        <f t="shared" si="36"/>
        <v>3</v>
      </c>
      <c r="FH8" s="183" t="s">
        <v>52</v>
      </c>
      <c r="FI8" s="184">
        <f t="shared" si="74"/>
        <v>5</v>
      </c>
      <c r="FJ8" s="193">
        <f t="shared" si="75"/>
        <v>0.6</v>
      </c>
      <c r="FK8" s="185">
        <f t="shared" si="37"/>
        <v>1</v>
      </c>
      <c r="FL8" s="183" t="s">
        <v>52</v>
      </c>
      <c r="FM8" s="186">
        <f t="shared" si="38"/>
        <v>3</v>
      </c>
      <c r="FN8" s="193">
        <f t="shared" si="76"/>
        <v>0.33333333333333331</v>
      </c>
      <c r="FO8" s="261">
        <f t="shared" si="77"/>
        <v>0</v>
      </c>
      <c r="FP8" s="183" t="s">
        <v>52</v>
      </c>
      <c r="FQ8" s="268">
        <f t="shared" si="78"/>
        <v>0</v>
      </c>
      <c r="FR8" s="196" t="str">
        <f t="shared" si="79"/>
        <v>0</v>
      </c>
      <c r="FS8" s="179">
        <f t="shared" si="39"/>
        <v>0</v>
      </c>
      <c r="FT8" s="179">
        <f t="shared" si="39"/>
        <v>0</v>
      </c>
      <c r="FU8" s="179">
        <f t="shared" si="40"/>
        <v>0</v>
      </c>
      <c r="FV8" s="187">
        <f t="shared" si="40"/>
        <v>1</v>
      </c>
      <c r="FW8" s="179">
        <f t="shared" si="40"/>
        <v>2</v>
      </c>
      <c r="FX8" s="179">
        <f t="shared" si="40"/>
        <v>1</v>
      </c>
      <c r="FY8" s="179">
        <f t="shared" si="40"/>
        <v>0</v>
      </c>
      <c r="FZ8" s="179">
        <f t="shared" si="40"/>
        <v>0</v>
      </c>
      <c r="GA8" s="179">
        <f t="shared" si="40"/>
        <v>2</v>
      </c>
      <c r="GB8" s="179">
        <f t="shared" si="40"/>
        <v>0</v>
      </c>
      <c r="GC8" s="187">
        <f t="shared" si="40"/>
        <v>7</v>
      </c>
      <c r="GD8" s="203">
        <f t="shared" si="80"/>
        <v>101.65773893149424</v>
      </c>
      <c r="GE8" s="179">
        <f t="shared" si="80"/>
        <v>0.43743503194238953</v>
      </c>
      <c r="GF8" s="179">
        <f t="shared" si="80"/>
        <v>0.24634927341060908</v>
      </c>
      <c r="GG8" s="258">
        <f t="shared" si="80"/>
        <v>128.36900739712183</v>
      </c>
      <c r="GH8" s="179"/>
      <c r="GJ8" s="82"/>
      <c r="GK8" s="24"/>
      <c r="GL8" s="185">
        <f>(CQ8/CQ33)*(EY34-EX34)</f>
        <v>0.53333333333333321</v>
      </c>
      <c r="GM8" s="185">
        <f>((E34/G34)*(1-(CJ34/(CJ34+CK33))))/((E34/G34)*(1-(CJ34/(CJ34+CK33)))+((1-(E34/G34)))*(CJ34/(CJ34+CK33)))</f>
        <v>0.5161290322580645</v>
      </c>
      <c r="GN8" s="24">
        <f>GK8+(GL8/10)+(GJ8*GM8*(1-(CJ34/(CJ34+CK33))))+(CK8*(1-GM8))</f>
        <v>5.3333333333333323E-2</v>
      </c>
      <c r="GO8" s="213">
        <f>GN8/(DD8*EG34)</f>
        <v>2.1888277601360938E-3</v>
      </c>
    </row>
    <row r="9" spans="1:197" x14ac:dyDescent="0.2">
      <c r="A9" s="139"/>
      <c r="B9" s="430" t="s">
        <v>117</v>
      </c>
      <c r="C9" s="431" t="s">
        <v>209</v>
      </c>
      <c r="D9" s="483">
        <v>13.93</v>
      </c>
      <c r="E9" s="114">
        <f t="shared" si="0"/>
        <v>2</v>
      </c>
      <c r="F9" s="526" t="s">
        <v>52</v>
      </c>
      <c r="G9" s="115">
        <f t="shared" si="1"/>
        <v>4</v>
      </c>
      <c r="H9" s="116" t="s">
        <v>53</v>
      </c>
      <c r="I9" s="526">
        <f t="shared" si="41"/>
        <v>0</v>
      </c>
      <c r="J9" s="115" t="s">
        <v>54</v>
      </c>
      <c r="K9" s="116">
        <f t="shared" si="2"/>
        <v>2</v>
      </c>
      <c r="L9" s="526" t="s">
        <v>52</v>
      </c>
      <c r="M9" s="115">
        <f t="shared" si="3"/>
        <v>2</v>
      </c>
      <c r="N9" s="116" t="s">
        <v>53</v>
      </c>
      <c r="O9" s="526">
        <f t="shared" si="4"/>
        <v>0</v>
      </c>
      <c r="P9" s="115" t="s">
        <v>54</v>
      </c>
      <c r="Q9" s="116">
        <f t="shared" si="5"/>
        <v>0</v>
      </c>
      <c r="R9" s="526" t="s">
        <v>52</v>
      </c>
      <c r="S9" s="115">
        <f t="shared" si="42"/>
        <v>0</v>
      </c>
      <c r="T9" s="116" t="s">
        <v>53</v>
      </c>
      <c r="U9" s="526">
        <f t="shared" si="6"/>
        <v>0</v>
      </c>
      <c r="V9" s="115" t="s">
        <v>54</v>
      </c>
      <c r="W9" s="116">
        <f t="shared" si="7"/>
        <v>0</v>
      </c>
      <c r="X9" s="526" t="s">
        <v>52</v>
      </c>
      <c r="Y9" s="115">
        <f t="shared" si="8"/>
        <v>2</v>
      </c>
      <c r="Z9" s="116" t="s">
        <v>53</v>
      </c>
      <c r="AA9" s="526">
        <f t="shared" si="9"/>
        <v>0</v>
      </c>
      <c r="AB9" s="115" t="s">
        <v>54</v>
      </c>
      <c r="AC9" s="116">
        <f t="shared" si="43"/>
        <v>0</v>
      </c>
      <c r="AD9" s="526" t="s">
        <v>52</v>
      </c>
      <c r="AE9" s="117">
        <f t="shared" si="44"/>
        <v>0</v>
      </c>
      <c r="AF9" s="527"/>
      <c r="AG9" s="114">
        <f t="shared" si="45"/>
        <v>1</v>
      </c>
      <c r="AH9" s="526" t="s">
        <v>52</v>
      </c>
      <c r="AI9" s="115">
        <f t="shared" si="10"/>
        <v>3</v>
      </c>
      <c r="AJ9" s="116" t="s">
        <v>53</v>
      </c>
      <c r="AK9" s="526">
        <f t="shared" si="11"/>
        <v>0</v>
      </c>
      <c r="AL9" s="115" t="s">
        <v>54</v>
      </c>
      <c r="AM9" s="246">
        <v>1</v>
      </c>
      <c r="AN9" s="244" t="s">
        <v>52</v>
      </c>
      <c r="AO9" s="245">
        <v>1</v>
      </c>
      <c r="AP9" s="246" t="s">
        <v>53</v>
      </c>
      <c r="AQ9" s="244">
        <v>0</v>
      </c>
      <c r="AR9" s="245" t="s">
        <v>54</v>
      </c>
      <c r="AS9" s="246">
        <v>0</v>
      </c>
      <c r="AT9" s="244" t="s">
        <v>52</v>
      </c>
      <c r="AU9" s="245">
        <v>0</v>
      </c>
      <c r="AV9" s="246" t="s">
        <v>53</v>
      </c>
      <c r="AW9" s="244">
        <v>0</v>
      </c>
      <c r="AX9" s="245" t="s">
        <v>54</v>
      </c>
      <c r="AY9" s="246">
        <v>0</v>
      </c>
      <c r="AZ9" s="244" t="s">
        <v>52</v>
      </c>
      <c r="BA9" s="245">
        <v>2</v>
      </c>
      <c r="BB9" s="246" t="s">
        <v>53</v>
      </c>
      <c r="BC9" s="244">
        <v>0</v>
      </c>
      <c r="BD9" s="245" t="s">
        <v>54</v>
      </c>
      <c r="BE9" s="116">
        <v>0</v>
      </c>
      <c r="BF9" s="526" t="s">
        <v>52</v>
      </c>
      <c r="BG9" s="117">
        <v>0</v>
      </c>
      <c r="BH9" s="115"/>
      <c r="BI9" s="114">
        <f t="shared" si="12"/>
        <v>1</v>
      </c>
      <c r="BJ9" s="526" t="s">
        <v>52</v>
      </c>
      <c r="BK9" s="115">
        <f t="shared" si="46"/>
        <v>1</v>
      </c>
      <c r="BL9" s="116" t="s">
        <v>53</v>
      </c>
      <c r="BM9" s="526">
        <f t="shared" si="13"/>
        <v>0</v>
      </c>
      <c r="BN9" s="115" t="s">
        <v>54</v>
      </c>
      <c r="BO9" s="246">
        <v>1</v>
      </c>
      <c r="BP9" s="244" t="s">
        <v>52</v>
      </c>
      <c r="BQ9" s="245">
        <v>1</v>
      </c>
      <c r="BR9" s="246" t="s">
        <v>53</v>
      </c>
      <c r="BS9" s="244">
        <v>0</v>
      </c>
      <c r="BT9" s="245" t="s">
        <v>54</v>
      </c>
      <c r="BU9" s="246">
        <v>0</v>
      </c>
      <c r="BV9" s="244" t="s">
        <v>52</v>
      </c>
      <c r="BW9" s="245">
        <v>0</v>
      </c>
      <c r="BX9" s="246" t="s">
        <v>53</v>
      </c>
      <c r="BY9" s="244">
        <v>0</v>
      </c>
      <c r="BZ9" s="245" t="s">
        <v>54</v>
      </c>
      <c r="CA9" s="246">
        <v>0</v>
      </c>
      <c r="CB9" s="244" t="s">
        <v>52</v>
      </c>
      <c r="CC9" s="245">
        <v>0</v>
      </c>
      <c r="CD9" s="246" t="s">
        <v>53</v>
      </c>
      <c r="CE9" s="244">
        <v>0</v>
      </c>
      <c r="CF9" s="245" t="s">
        <v>54</v>
      </c>
      <c r="CG9" s="116">
        <v>0</v>
      </c>
      <c r="CH9" s="526" t="s">
        <v>52</v>
      </c>
      <c r="CI9" s="117">
        <v>0</v>
      </c>
      <c r="CJ9" s="140">
        <v>1</v>
      </c>
      <c r="CK9" s="148">
        <f t="shared" si="47"/>
        <v>2</v>
      </c>
      <c r="CL9" s="148">
        <v>1</v>
      </c>
      <c r="CM9" s="148">
        <v>1</v>
      </c>
      <c r="CN9" s="148">
        <f t="shared" si="48"/>
        <v>3</v>
      </c>
      <c r="CO9" s="175">
        <v>1</v>
      </c>
      <c r="CP9" s="140">
        <v>1</v>
      </c>
      <c r="CQ9" s="175">
        <v>2</v>
      </c>
      <c r="CR9" s="148">
        <v>0</v>
      </c>
      <c r="CS9" s="148">
        <v>0</v>
      </c>
      <c r="CT9" s="140">
        <v>1</v>
      </c>
      <c r="CU9" s="140">
        <v>0</v>
      </c>
      <c r="CV9" s="148">
        <f t="shared" si="49"/>
        <v>4</v>
      </c>
      <c r="CW9" s="140"/>
      <c r="CX9" s="164">
        <f t="shared" si="50"/>
        <v>101.16581962813473</v>
      </c>
      <c r="CY9" s="147">
        <f t="shared" si="14"/>
        <v>0.48834716616915391</v>
      </c>
      <c r="CZ9" s="165">
        <f t="shared" si="15"/>
        <v>0.14028893779233292</v>
      </c>
      <c r="DA9" s="164">
        <f t="shared" si="16"/>
        <v>123.54944984134599</v>
      </c>
      <c r="DB9" s="141"/>
      <c r="DC9" s="141"/>
      <c r="DD9" s="77">
        <f t="shared" si="51"/>
        <v>0.96508244422890388</v>
      </c>
      <c r="DE9" s="37">
        <f t="shared" si="52"/>
        <v>0.5</v>
      </c>
      <c r="DF9" s="37">
        <f t="shared" si="53"/>
        <v>0</v>
      </c>
      <c r="DG9" s="37">
        <f t="shared" si="54"/>
        <v>0.5</v>
      </c>
      <c r="DH9" s="37">
        <f t="shared" si="17"/>
        <v>8.6348408710217775E-2</v>
      </c>
      <c r="DI9" s="37">
        <f t="shared" si="18"/>
        <v>9.8683895668820312E-2</v>
      </c>
      <c r="DJ9" s="37">
        <f t="shared" si="19"/>
        <v>0</v>
      </c>
      <c r="DK9" s="37">
        <f t="shared" si="20"/>
        <v>0</v>
      </c>
      <c r="DL9" s="37">
        <f t="shared" si="21"/>
        <v>7.9706223424816397E-2</v>
      </c>
      <c r="DM9" s="37">
        <f t="shared" si="22"/>
        <v>6.2780669892040591E-2</v>
      </c>
      <c r="DN9" s="37">
        <f t="shared" si="55"/>
        <v>0.22375488359949533</v>
      </c>
      <c r="DO9" s="37">
        <f t="shared" si="56"/>
        <v>1</v>
      </c>
      <c r="DP9" s="66">
        <f t="shared" si="57"/>
        <v>5.7430007178750895</v>
      </c>
      <c r="DQ9" s="78">
        <f t="shared" si="58"/>
        <v>0</v>
      </c>
      <c r="DR9" s="6"/>
      <c r="DS9" s="36"/>
      <c r="DT9" s="75">
        <f t="shared" si="59"/>
        <v>7.7872218234027279</v>
      </c>
      <c r="DU9" s="18">
        <f t="shared" si="23"/>
        <v>2.1825095314713181</v>
      </c>
      <c r="DV9" s="13">
        <f t="shared" si="60"/>
        <v>1.7338834307953104</v>
      </c>
      <c r="DW9" s="14">
        <f t="shared" si="24"/>
        <v>0.53223313840937914</v>
      </c>
      <c r="DX9" s="14">
        <f t="shared" si="25"/>
        <v>0.32608695652173914</v>
      </c>
      <c r="DY9" s="14" t="str">
        <f t="shared" si="61"/>
        <v>0</v>
      </c>
      <c r="DZ9" s="15">
        <f t="shared" si="26"/>
        <v>16.125</v>
      </c>
      <c r="EA9" s="14">
        <f t="shared" si="62"/>
        <v>0.59364933271974241</v>
      </c>
      <c r="EB9" s="14">
        <f t="shared" si="27"/>
        <v>0.33333333333333331</v>
      </c>
      <c r="EC9" s="14">
        <f t="shared" si="28"/>
        <v>0.42212041884816753</v>
      </c>
      <c r="ED9" s="14">
        <f t="shared" si="63"/>
        <v>0.25059150497659283</v>
      </c>
      <c r="EE9" s="19">
        <f t="shared" si="64"/>
        <v>1.2866666666666666</v>
      </c>
      <c r="EF9" s="67" t="str">
        <f t="shared" si="65"/>
        <v>0</v>
      </c>
      <c r="EG9" s="74">
        <f t="shared" si="66"/>
        <v>4.4691761981379852</v>
      </c>
      <c r="EH9" s="27">
        <f t="shared" si="67"/>
        <v>4.5212787314718037</v>
      </c>
      <c r="EI9" s="25">
        <f t="shared" si="68"/>
        <v>3.4677668615906208</v>
      </c>
      <c r="EJ9" s="25">
        <f t="shared" si="69"/>
        <v>0.75250836120401332</v>
      </c>
      <c r="EK9" s="26">
        <f t="shared" si="29"/>
        <v>0.56334524374582884</v>
      </c>
      <c r="EL9" s="29">
        <f t="shared" si="70"/>
        <v>0.68085106382978722</v>
      </c>
      <c r="EM9" s="30">
        <f t="shared" si="30"/>
        <v>0.23809523809523808</v>
      </c>
      <c r="EN9" s="30">
        <f t="shared" si="31"/>
        <v>0.4</v>
      </c>
      <c r="EO9" s="31">
        <f t="shared" si="71"/>
        <v>0.63829787234042556</v>
      </c>
      <c r="EP9" s="31">
        <f t="shared" si="32"/>
        <v>2.2816687785046539</v>
      </c>
      <c r="EQ9" s="31">
        <f t="shared" si="72"/>
        <v>2.9199666508450797</v>
      </c>
      <c r="ER9" s="93">
        <f t="shared" si="33"/>
        <v>0.45829365600618061</v>
      </c>
      <c r="ES9" s="109">
        <f t="shared" si="34"/>
        <v>122.38881514647176</v>
      </c>
      <c r="ET9" s="32">
        <f t="shared" si="35"/>
        <v>2.3664479850046862</v>
      </c>
      <c r="EV9" s="277"/>
      <c r="EW9" s="278"/>
      <c r="EX9" s="37">
        <f t="shared" si="81"/>
        <v>0</v>
      </c>
      <c r="EY9" s="72">
        <f t="shared" si="73"/>
        <v>0</v>
      </c>
      <c r="EZ9" s="7">
        <v>0.7</v>
      </c>
      <c r="FB9" s="41"/>
      <c r="FC9" s="139"/>
      <c r="FD9" s="89" t="s">
        <v>82</v>
      </c>
      <c r="FE9" s="41" t="s">
        <v>237</v>
      </c>
      <c r="FF9" s="147">
        <f t="shared" si="36"/>
        <v>13.93</v>
      </c>
      <c r="FG9" s="144">
        <f t="shared" si="36"/>
        <v>2</v>
      </c>
      <c r="FH9" s="526" t="s">
        <v>52</v>
      </c>
      <c r="FI9" s="145">
        <f t="shared" si="74"/>
        <v>4</v>
      </c>
      <c r="FJ9" s="194">
        <f t="shared" si="75"/>
        <v>0.5</v>
      </c>
      <c r="FK9" s="110">
        <f t="shared" si="37"/>
        <v>0</v>
      </c>
      <c r="FL9" s="526" t="s">
        <v>52</v>
      </c>
      <c r="FM9" s="168">
        <f t="shared" si="38"/>
        <v>2</v>
      </c>
      <c r="FN9" s="194">
        <f t="shared" si="76"/>
        <v>0</v>
      </c>
      <c r="FO9" s="262">
        <f t="shared" si="77"/>
        <v>0</v>
      </c>
      <c r="FP9" s="526" t="s">
        <v>52</v>
      </c>
      <c r="FQ9" s="274">
        <f t="shared" si="78"/>
        <v>0</v>
      </c>
      <c r="FR9" s="197" t="str">
        <f t="shared" si="79"/>
        <v>0</v>
      </c>
      <c r="FS9" s="140">
        <f t="shared" si="39"/>
        <v>1</v>
      </c>
      <c r="FT9" s="140">
        <f t="shared" si="39"/>
        <v>2</v>
      </c>
      <c r="FU9" s="140">
        <f t="shared" si="40"/>
        <v>3</v>
      </c>
      <c r="FV9" s="175">
        <f t="shared" si="40"/>
        <v>1</v>
      </c>
      <c r="FW9" s="140">
        <f t="shared" si="40"/>
        <v>1</v>
      </c>
      <c r="FX9" s="140">
        <f t="shared" si="40"/>
        <v>2</v>
      </c>
      <c r="FY9" s="140">
        <f t="shared" si="40"/>
        <v>0</v>
      </c>
      <c r="FZ9" s="140">
        <f t="shared" si="40"/>
        <v>0</v>
      </c>
      <c r="GA9" s="140">
        <f t="shared" si="40"/>
        <v>1</v>
      </c>
      <c r="GB9" s="140">
        <f t="shared" si="40"/>
        <v>0</v>
      </c>
      <c r="GC9" s="175">
        <f t="shared" si="40"/>
        <v>4</v>
      </c>
      <c r="GD9" s="202">
        <f t="shared" si="80"/>
        <v>101.16581962813473</v>
      </c>
      <c r="GE9" s="140">
        <f t="shared" si="80"/>
        <v>0.48834716616915391</v>
      </c>
      <c r="GF9" s="140">
        <f t="shared" si="80"/>
        <v>0.14028893779233292</v>
      </c>
      <c r="GG9" s="259">
        <f t="shared" si="80"/>
        <v>123.54944984134599</v>
      </c>
      <c r="GH9" s="140"/>
      <c r="GJ9" s="82"/>
      <c r="GK9" s="24"/>
      <c r="GL9" s="185">
        <f>(CQ9/CQ35)*(EY36-EX36)</f>
        <v>0.39999999999999991</v>
      </c>
      <c r="GM9" s="185">
        <f>((E36/G36)*(1-(CJ36/(CJ36+CK35))))/((E36/G36)*(1-(CJ36/(CJ36+CK35)))+((1-(E36/G36)))*(CJ36/(CJ36+CK35)))</f>
        <v>0.68085106382978722</v>
      </c>
      <c r="GN9" s="24">
        <f>GK9+(GL9/10)+(GJ9*GM9*(1-(CJ36/(CJ36+CK35))))+(CK9*(1-GM9))</f>
        <v>0.6782978723404256</v>
      </c>
      <c r="GO9" s="213">
        <f>GN9/(DD9*EG36)</f>
        <v>2.0723397381823102E-2</v>
      </c>
    </row>
    <row r="10" spans="1:197" x14ac:dyDescent="0.2">
      <c r="A10" s="139"/>
      <c r="B10" s="89" t="s">
        <v>82</v>
      </c>
      <c r="C10" s="41" t="s">
        <v>210</v>
      </c>
      <c r="D10" s="483">
        <v>8.5500000000000007</v>
      </c>
      <c r="E10" s="114">
        <f t="shared" si="0"/>
        <v>1</v>
      </c>
      <c r="F10" s="526" t="s">
        <v>52</v>
      </c>
      <c r="G10" s="115">
        <f t="shared" si="1"/>
        <v>3</v>
      </c>
      <c r="H10" s="116" t="s">
        <v>53</v>
      </c>
      <c r="I10" s="526">
        <f t="shared" si="41"/>
        <v>1</v>
      </c>
      <c r="J10" s="115" t="s">
        <v>54</v>
      </c>
      <c r="K10" s="116">
        <f t="shared" si="2"/>
        <v>1</v>
      </c>
      <c r="L10" s="526" t="s">
        <v>52</v>
      </c>
      <c r="M10" s="115">
        <f t="shared" si="3"/>
        <v>2</v>
      </c>
      <c r="N10" s="116" t="s">
        <v>53</v>
      </c>
      <c r="O10" s="526">
        <f t="shared" si="4"/>
        <v>1</v>
      </c>
      <c r="P10" s="115" t="s">
        <v>54</v>
      </c>
      <c r="Q10" s="116">
        <f t="shared" si="5"/>
        <v>0</v>
      </c>
      <c r="R10" s="526" t="s">
        <v>52</v>
      </c>
      <c r="S10" s="115">
        <f t="shared" si="42"/>
        <v>0</v>
      </c>
      <c r="T10" s="116" t="s">
        <v>53</v>
      </c>
      <c r="U10" s="526">
        <f t="shared" si="6"/>
        <v>0</v>
      </c>
      <c r="V10" s="115" t="s">
        <v>54</v>
      </c>
      <c r="W10" s="116">
        <f t="shared" si="7"/>
        <v>0</v>
      </c>
      <c r="X10" s="526" t="s">
        <v>52</v>
      </c>
      <c r="Y10" s="115">
        <f t="shared" si="8"/>
        <v>1</v>
      </c>
      <c r="Z10" s="116" t="s">
        <v>53</v>
      </c>
      <c r="AA10" s="526">
        <f t="shared" si="9"/>
        <v>0</v>
      </c>
      <c r="AB10" s="115" t="s">
        <v>54</v>
      </c>
      <c r="AC10" s="116">
        <f t="shared" si="43"/>
        <v>0</v>
      </c>
      <c r="AD10" s="526" t="s">
        <v>52</v>
      </c>
      <c r="AE10" s="117">
        <f t="shared" si="44"/>
        <v>0</v>
      </c>
      <c r="AF10" s="527"/>
      <c r="AG10" s="114">
        <f t="shared" si="45"/>
        <v>1</v>
      </c>
      <c r="AH10" s="526" t="s">
        <v>52</v>
      </c>
      <c r="AI10" s="115">
        <f t="shared" si="10"/>
        <v>3</v>
      </c>
      <c r="AJ10" s="116" t="s">
        <v>53</v>
      </c>
      <c r="AK10" s="526">
        <f t="shared" si="11"/>
        <v>1</v>
      </c>
      <c r="AL10" s="115" t="s">
        <v>54</v>
      </c>
      <c r="AM10" s="246">
        <v>1</v>
      </c>
      <c r="AN10" s="244" t="s">
        <v>52</v>
      </c>
      <c r="AO10" s="245">
        <v>2</v>
      </c>
      <c r="AP10" s="246" t="s">
        <v>53</v>
      </c>
      <c r="AQ10" s="244">
        <v>1</v>
      </c>
      <c r="AR10" s="245" t="s">
        <v>54</v>
      </c>
      <c r="AS10" s="246">
        <v>0</v>
      </c>
      <c r="AT10" s="244" t="s">
        <v>52</v>
      </c>
      <c r="AU10" s="245">
        <v>0</v>
      </c>
      <c r="AV10" s="246" t="s">
        <v>53</v>
      </c>
      <c r="AW10" s="244">
        <v>0</v>
      </c>
      <c r="AX10" s="245" t="s">
        <v>54</v>
      </c>
      <c r="AY10" s="246">
        <v>0</v>
      </c>
      <c r="AZ10" s="244" t="s">
        <v>52</v>
      </c>
      <c r="BA10" s="245">
        <v>1</v>
      </c>
      <c r="BB10" s="246" t="s">
        <v>53</v>
      </c>
      <c r="BC10" s="244">
        <v>0</v>
      </c>
      <c r="BD10" s="245" t="s">
        <v>54</v>
      </c>
      <c r="BE10" s="116">
        <v>0</v>
      </c>
      <c r="BF10" s="526" t="s">
        <v>52</v>
      </c>
      <c r="BG10" s="117">
        <v>0</v>
      </c>
      <c r="BH10" s="115"/>
      <c r="BI10" s="114">
        <f t="shared" si="12"/>
        <v>0</v>
      </c>
      <c r="BJ10" s="526" t="s">
        <v>52</v>
      </c>
      <c r="BK10" s="115">
        <f t="shared" si="46"/>
        <v>0</v>
      </c>
      <c r="BL10" s="116" t="s">
        <v>53</v>
      </c>
      <c r="BM10" s="526">
        <f t="shared" si="13"/>
        <v>0</v>
      </c>
      <c r="BN10" s="115" t="s">
        <v>54</v>
      </c>
      <c r="BO10" s="246">
        <v>0</v>
      </c>
      <c r="BP10" s="244" t="s">
        <v>52</v>
      </c>
      <c r="BQ10" s="245">
        <v>0</v>
      </c>
      <c r="BR10" s="246" t="s">
        <v>53</v>
      </c>
      <c r="BS10" s="244">
        <v>0</v>
      </c>
      <c r="BT10" s="245" t="s">
        <v>54</v>
      </c>
      <c r="BU10" s="246">
        <v>0</v>
      </c>
      <c r="BV10" s="244" t="s">
        <v>52</v>
      </c>
      <c r="BW10" s="245">
        <v>0</v>
      </c>
      <c r="BX10" s="246" t="s">
        <v>53</v>
      </c>
      <c r="BY10" s="244">
        <v>0</v>
      </c>
      <c r="BZ10" s="245" t="s">
        <v>54</v>
      </c>
      <c r="CA10" s="246">
        <v>0</v>
      </c>
      <c r="CB10" s="244" t="s">
        <v>52</v>
      </c>
      <c r="CC10" s="245">
        <v>0</v>
      </c>
      <c r="CD10" s="246" t="s">
        <v>53</v>
      </c>
      <c r="CE10" s="244">
        <v>0</v>
      </c>
      <c r="CF10" s="245" t="s">
        <v>54</v>
      </c>
      <c r="CG10" s="116">
        <v>0</v>
      </c>
      <c r="CH10" s="526" t="s">
        <v>52</v>
      </c>
      <c r="CI10" s="117">
        <v>0</v>
      </c>
      <c r="CJ10" s="140">
        <v>0</v>
      </c>
      <c r="CK10" s="148">
        <f t="shared" si="47"/>
        <v>1</v>
      </c>
      <c r="CL10" s="148">
        <v>0</v>
      </c>
      <c r="CM10" s="148">
        <v>1</v>
      </c>
      <c r="CN10" s="148">
        <f t="shared" si="48"/>
        <v>1</v>
      </c>
      <c r="CO10" s="175">
        <v>2</v>
      </c>
      <c r="CP10" s="140">
        <v>2</v>
      </c>
      <c r="CQ10" s="175">
        <v>1</v>
      </c>
      <c r="CR10" s="148">
        <v>0</v>
      </c>
      <c r="CS10" s="148">
        <v>0</v>
      </c>
      <c r="CT10" s="140">
        <v>0</v>
      </c>
      <c r="CU10" s="140">
        <v>0</v>
      </c>
      <c r="CV10" s="148">
        <f t="shared" si="49"/>
        <v>2</v>
      </c>
      <c r="CW10" s="140"/>
      <c r="CX10" s="164">
        <f t="shared" si="50"/>
        <v>100.33723686723948</v>
      </c>
      <c r="CY10" s="147">
        <f t="shared" si="14"/>
        <v>0.46380403886412053</v>
      </c>
      <c r="CZ10" s="165">
        <f t="shared" si="15"/>
        <v>0.13836524176157328</v>
      </c>
      <c r="DA10" s="164">
        <f t="shared" si="16"/>
        <v>114.98772173166374</v>
      </c>
      <c r="DB10" s="141"/>
      <c r="DC10" s="141"/>
      <c r="DD10" s="77">
        <f t="shared" si="51"/>
        <v>0.59235139254537894</v>
      </c>
      <c r="DE10" s="37">
        <f t="shared" si="52"/>
        <v>0.33333333333333331</v>
      </c>
      <c r="DF10" s="37">
        <f t="shared" si="53"/>
        <v>0</v>
      </c>
      <c r="DG10" s="37">
        <f t="shared" si="54"/>
        <v>0.33333333333333331</v>
      </c>
      <c r="DH10" s="37">
        <f t="shared" si="17"/>
        <v>0</v>
      </c>
      <c r="DI10" s="37">
        <f t="shared" si="18"/>
        <v>0.14068226120857699</v>
      </c>
      <c r="DJ10" s="37">
        <f t="shared" si="19"/>
        <v>0</v>
      </c>
      <c r="DK10" s="37">
        <f t="shared" si="20"/>
        <v>0</v>
      </c>
      <c r="DL10" s="37">
        <f t="shared" si="21"/>
        <v>0.25972109761583445</v>
      </c>
      <c r="DM10" s="37">
        <f t="shared" si="22"/>
        <v>0.19910652519834471</v>
      </c>
      <c r="DN10" s="37">
        <f t="shared" si="55"/>
        <v>0</v>
      </c>
      <c r="DO10" s="37" t="str">
        <f t="shared" si="56"/>
        <v>0</v>
      </c>
      <c r="DP10" s="66">
        <f t="shared" si="57"/>
        <v>4.6783625730994149</v>
      </c>
      <c r="DQ10" s="78">
        <f t="shared" si="58"/>
        <v>0</v>
      </c>
      <c r="DR10" s="6"/>
      <c r="DS10" s="36"/>
      <c r="DT10" s="75">
        <f t="shared" si="59"/>
        <v>8.7037426900584798</v>
      </c>
      <c r="DU10" s="18">
        <f t="shared" si="23"/>
        <v>1.289246706575776</v>
      </c>
      <c r="DV10" s="13">
        <f t="shared" si="60"/>
        <v>0.91269323506543465</v>
      </c>
      <c r="DW10" s="14">
        <f t="shared" si="24"/>
        <v>0.52384058960739222</v>
      </c>
      <c r="DX10" s="14">
        <f t="shared" si="25"/>
        <v>0.5</v>
      </c>
      <c r="DY10" s="14" t="str">
        <f t="shared" si="61"/>
        <v>0</v>
      </c>
      <c r="DZ10" s="15">
        <f t="shared" si="26"/>
        <v>17.071999999999999</v>
      </c>
      <c r="EA10" s="14">
        <f t="shared" si="62"/>
        <v>0.70256589641762168</v>
      </c>
      <c r="EB10" s="14">
        <f t="shared" si="27"/>
        <v>0.23809523809523808</v>
      </c>
      <c r="EC10" s="14">
        <f t="shared" si="28"/>
        <v>0.42467661691542286</v>
      </c>
      <c r="ED10" s="14">
        <f t="shared" si="63"/>
        <v>0</v>
      </c>
      <c r="EE10" s="19">
        <f t="shared" si="64"/>
        <v>1.4904761904761905</v>
      </c>
      <c r="EF10" s="67" t="str">
        <f t="shared" si="65"/>
        <v>0</v>
      </c>
      <c r="EG10" s="74">
        <f t="shared" si="66"/>
        <v>2.7797228970519665</v>
      </c>
      <c r="EH10" s="27">
        <f t="shared" si="67"/>
        <v>2.7890971474679231</v>
      </c>
      <c r="EI10" s="25">
        <f t="shared" si="68"/>
        <v>1.8253864701308693</v>
      </c>
      <c r="EJ10" s="25">
        <f t="shared" si="69"/>
        <v>1.2307692307692308</v>
      </c>
      <c r="EK10" s="26">
        <f t="shared" si="29"/>
        <v>0</v>
      </c>
      <c r="EL10" s="29">
        <f t="shared" si="70"/>
        <v>0.71428571428571419</v>
      </c>
      <c r="EM10" s="30">
        <f t="shared" si="30"/>
        <v>0.33333333333333331</v>
      </c>
      <c r="EN10" s="30">
        <f t="shared" si="31"/>
        <v>0.55555555555555558</v>
      </c>
      <c r="EO10" s="31">
        <f t="shared" si="71"/>
        <v>0.28571428571428581</v>
      </c>
      <c r="EP10" s="31">
        <f t="shared" si="32"/>
        <v>1.0977201646905126</v>
      </c>
      <c r="EQ10" s="31">
        <f t="shared" si="72"/>
        <v>1.3834344504047984</v>
      </c>
      <c r="ER10" s="93">
        <f t="shared" si="33"/>
        <v>0.34431353282472638</v>
      </c>
      <c r="ES10" s="109">
        <f t="shared" si="34"/>
        <v>106.88405614116314</v>
      </c>
      <c r="ET10" s="32">
        <f t="shared" si="35"/>
        <v>2.248062015503876</v>
      </c>
      <c r="EV10" s="277"/>
      <c r="EW10" s="278"/>
      <c r="EX10" s="37">
        <f t="shared" si="81"/>
        <v>0</v>
      </c>
      <c r="EY10" s="72">
        <f t="shared" si="73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181">
        <f t="shared" si="36"/>
        <v>8.5500000000000007</v>
      </c>
      <c r="FG10" s="182">
        <f t="shared" si="36"/>
        <v>1</v>
      </c>
      <c r="FH10" s="183" t="s">
        <v>52</v>
      </c>
      <c r="FI10" s="184">
        <f t="shared" si="74"/>
        <v>3</v>
      </c>
      <c r="FJ10" s="193">
        <f t="shared" si="75"/>
        <v>0.33333333333333331</v>
      </c>
      <c r="FK10" s="185">
        <f t="shared" si="37"/>
        <v>0</v>
      </c>
      <c r="FL10" s="183" t="s">
        <v>52</v>
      </c>
      <c r="FM10" s="186">
        <f t="shared" si="38"/>
        <v>1</v>
      </c>
      <c r="FN10" s="193">
        <f t="shared" si="76"/>
        <v>0</v>
      </c>
      <c r="FO10" s="261">
        <f t="shared" si="77"/>
        <v>0</v>
      </c>
      <c r="FP10" s="183" t="s">
        <v>52</v>
      </c>
      <c r="FQ10" s="268">
        <f t="shared" si="78"/>
        <v>0</v>
      </c>
      <c r="FR10" s="196" t="str">
        <f t="shared" si="79"/>
        <v>0</v>
      </c>
      <c r="FS10" s="179">
        <f t="shared" si="39"/>
        <v>0</v>
      </c>
      <c r="FT10" s="179">
        <f t="shared" si="39"/>
        <v>1</v>
      </c>
      <c r="FU10" s="179">
        <f t="shared" si="40"/>
        <v>1</v>
      </c>
      <c r="FV10" s="187">
        <f t="shared" si="40"/>
        <v>2</v>
      </c>
      <c r="FW10" s="179">
        <f t="shared" si="40"/>
        <v>2</v>
      </c>
      <c r="FX10" s="179">
        <f t="shared" si="40"/>
        <v>1</v>
      </c>
      <c r="FY10" s="179">
        <f t="shared" si="40"/>
        <v>0</v>
      </c>
      <c r="FZ10" s="179">
        <f t="shared" si="40"/>
        <v>0</v>
      </c>
      <c r="GA10" s="179">
        <f t="shared" si="40"/>
        <v>0</v>
      </c>
      <c r="GB10" s="179">
        <f t="shared" si="40"/>
        <v>0</v>
      </c>
      <c r="GC10" s="187">
        <f t="shared" si="40"/>
        <v>2</v>
      </c>
      <c r="GD10" s="203">
        <f t="shared" si="80"/>
        <v>100.33723686723948</v>
      </c>
      <c r="GE10" s="179">
        <f t="shared" si="80"/>
        <v>0.46380403886412053</v>
      </c>
      <c r="GF10" s="179">
        <f t="shared" si="80"/>
        <v>0.13836524176157328</v>
      </c>
      <c r="GG10" s="258">
        <f t="shared" si="80"/>
        <v>114.98772173166374</v>
      </c>
      <c r="GH10" s="179"/>
      <c r="GJ10" s="82"/>
      <c r="GK10" s="24"/>
      <c r="GL10" s="185">
        <f>(CQ10/CQ37)*(EY38-EX38)</f>
        <v>9.375E-2</v>
      </c>
      <c r="GM10" s="185">
        <f>((E38/G38)*(1-(CJ38/(CJ38+CK37))))/((E38/G38)*(1-(CJ38/(CJ38+CK37)))+((1-(E38/G38)))*(CJ38/(CJ38+CK37)))</f>
        <v>0.83333333333333337</v>
      </c>
      <c r="GN10" s="24">
        <f>GK10+(GL10/10)+(GJ10*GM10*(1-(CJ38/(CJ38+CK37))))+(CK10*(1-GM10))</f>
        <v>0.17604166666666662</v>
      </c>
      <c r="GO10" s="213">
        <f>GN10/(DD10*EG38)</f>
        <v>9.0031901583665416E-3</v>
      </c>
    </row>
    <row r="11" spans="1:197" x14ac:dyDescent="0.2">
      <c r="A11" s="139"/>
      <c r="B11" s="430" t="s">
        <v>117</v>
      </c>
      <c r="C11" s="431" t="s">
        <v>211</v>
      </c>
      <c r="D11" s="483">
        <v>7.36</v>
      </c>
      <c r="E11" s="114">
        <f t="shared" si="0"/>
        <v>1</v>
      </c>
      <c r="F11" s="526" t="s">
        <v>52</v>
      </c>
      <c r="G11" s="115">
        <f t="shared" si="1"/>
        <v>2</v>
      </c>
      <c r="H11" s="116" t="s">
        <v>53</v>
      </c>
      <c r="I11" s="526">
        <f t="shared" si="41"/>
        <v>1</v>
      </c>
      <c r="J11" s="115" t="s">
        <v>54</v>
      </c>
      <c r="K11" s="116">
        <f t="shared" si="2"/>
        <v>0</v>
      </c>
      <c r="L11" s="526" t="s">
        <v>52</v>
      </c>
      <c r="M11" s="115">
        <f t="shared" si="3"/>
        <v>0</v>
      </c>
      <c r="N11" s="116" t="s">
        <v>53</v>
      </c>
      <c r="O11" s="526">
        <f t="shared" si="4"/>
        <v>0</v>
      </c>
      <c r="P11" s="115" t="s">
        <v>54</v>
      </c>
      <c r="Q11" s="116">
        <f t="shared" si="5"/>
        <v>0</v>
      </c>
      <c r="R11" s="526" t="s">
        <v>52</v>
      </c>
      <c r="S11" s="115">
        <f t="shared" si="42"/>
        <v>0</v>
      </c>
      <c r="T11" s="116" t="s">
        <v>53</v>
      </c>
      <c r="U11" s="526">
        <f t="shared" si="6"/>
        <v>0</v>
      </c>
      <c r="V11" s="115" t="s">
        <v>54</v>
      </c>
      <c r="W11" s="116">
        <f t="shared" si="7"/>
        <v>1</v>
      </c>
      <c r="X11" s="526" t="s">
        <v>52</v>
      </c>
      <c r="Y11" s="115">
        <f t="shared" si="8"/>
        <v>2</v>
      </c>
      <c r="Z11" s="116" t="s">
        <v>53</v>
      </c>
      <c r="AA11" s="526">
        <f t="shared" si="9"/>
        <v>1</v>
      </c>
      <c r="AB11" s="115" t="s">
        <v>54</v>
      </c>
      <c r="AC11" s="116">
        <f t="shared" si="43"/>
        <v>0.75</v>
      </c>
      <c r="AD11" s="526" t="s">
        <v>52</v>
      </c>
      <c r="AE11" s="117">
        <f t="shared" si="44"/>
        <v>1</v>
      </c>
      <c r="AF11" s="527"/>
      <c r="AG11" s="114">
        <f t="shared" si="45"/>
        <v>0</v>
      </c>
      <c r="AH11" s="526" t="s">
        <v>52</v>
      </c>
      <c r="AI11" s="115">
        <f t="shared" si="10"/>
        <v>1</v>
      </c>
      <c r="AJ11" s="116" t="s">
        <v>53</v>
      </c>
      <c r="AK11" s="526">
        <f t="shared" si="11"/>
        <v>0</v>
      </c>
      <c r="AL11" s="115" t="s">
        <v>54</v>
      </c>
      <c r="AM11" s="246">
        <v>0</v>
      </c>
      <c r="AN11" s="244" t="s">
        <v>52</v>
      </c>
      <c r="AO11" s="245">
        <v>0</v>
      </c>
      <c r="AP11" s="246" t="s">
        <v>53</v>
      </c>
      <c r="AQ11" s="244">
        <v>0</v>
      </c>
      <c r="AR11" s="245" t="s">
        <v>54</v>
      </c>
      <c r="AS11" s="246">
        <v>0</v>
      </c>
      <c r="AT11" s="244" t="s">
        <v>52</v>
      </c>
      <c r="AU11" s="245">
        <v>0</v>
      </c>
      <c r="AV11" s="246" t="s">
        <v>53</v>
      </c>
      <c r="AW11" s="244">
        <v>0</v>
      </c>
      <c r="AX11" s="245" t="s">
        <v>54</v>
      </c>
      <c r="AY11" s="246">
        <v>0</v>
      </c>
      <c r="AZ11" s="244" t="s">
        <v>52</v>
      </c>
      <c r="BA11" s="245">
        <v>1</v>
      </c>
      <c r="BB11" s="246" t="s">
        <v>53</v>
      </c>
      <c r="BC11" s="244">
        <v>0</v>
      </c>
      <c r="BD11" s="245" t="s">
        <v>54</v>
      </c>
      <c r="BE11" s="116">
        <v>0</v>
      </c>
      <c r="BF11" s="526" t="s">
        <v>52</v>
      </c>
      <c r="BG11" s="117">
        <v>0</v>
      </c>
      <c r="BH11" s="115"/>
      <c r="BI11" s="114">
        <f t="shared" si="12"/>
        <v>1</v>
      </c>
      <c r="BJ11" s="526" t="s">
        <v>52</v>
      </c>
      <c r="BK11" s="115">
        <f t="shared" si="46"/>
        <v>1</v>
      </c>
      <c r="BL11" s="116" t="s">
        <v>53</v>
      </c>
      <c r="BM11" s="526">
        <f t="shared" si="13"/>
        <v>1</v>
      </c>
      <c r="BN11" s="115" t="s">
        <v>54</v>
      </c>
      <c r="BO11" s="246">
        <v>0</v>
      </c>
      <c r="BP11" s="244" t="s">
        <v>52</v>
      </c>
      <c r="BQ11" s="245">
        <v>0</v>
      </c>
      <c r="BR11" s="246" t="s">
        <v>53</v>
      </c>
      <c r="BS11" s="244">
        <v>0</v>
      </c>
      <c r="BT11" s="245" t="s">
        <v>54</v>
      </c>
      <c r="BU11" s="246">
        <v>0</v>
      </c>
      <c r="BV11" s="244" t="s">
        <v>52</v>
      </c>
      <c r="BW11" s="245">
        <v>0</v>
      </c>
      <c r="BX11" s="246" t="s">
        <v>53</v>
      </c>
      <c r="BY11" s="244">
        <v>0</v>
      </c>
      <c r="BZ11" s="245" t="s">
        <v>54</v>
      </c>
      <c r="CA11" s="246">
        <v>1</v>
      </c>
      <c r="CB11" s="244" t="s">
        <v>52</v>
      </c>
      <c r="CC11" s="245">
        <v>1</v>
      </c>
      <c r="CD11" s="246" t="s">
        <v>53</v>
      </c>
      <c r="CE11" s="244">
        <v>1</v>
      </c>
      <c r="CF11" s="245" t="s">
        <v>54</v>
      </c>
      <c r="CG11" s="116">
        <v>0</v>
      </c>
      <c r="CH11" s="526" t="s">
        <v>52</v>
      </c>
      <c r="CI11" s="117">
        <v>0</v>
      </c>
      <c r="CJ11" s="140">
        <v>0</v>
      </c>
      <c r="CK11" s="148">
        <f t="shared" si="47"/>
        <v>1</v>
      </c>
      <c r="CL11" s="148">
        <v>0</v>
      </c>
      <c r="CM11" s="148">
        <v>1</v>
      </c>
      <c r="CN11" s="148">
        <f t="shared" si="48"/>
        <v>1</v>
      </c>
      <c r="CO11" s="175">
        <v>2</v>
      </c>
      <c r="CP11" s="140">
        <v>0</v>
      </c>
      <c r="CQ11" s="175">
        <v>0</v>
      </c>
      <c r="CR11" s="148">
        <v>1</v>
      </c>
      <c r="CS11" s="148">
        <v>0</v>
      </c>
      <c r="CT11" s="140">
        <v>1</v>
      </c>
      <c r="CU11" s="140">
        <v>0</v>
      </c>
      <c r="CV11" s="148">
        <f t="shared" si="49"/>
        <v>3.75</v>
      </c>
      <c r="CW11" s="140"/>
      <c r="CX11" s="164">
        <f t="shared" si="50"/>
        <v>129.19621713106966</v>
      </c>
      <c r="CY11" s="147">
        <f t="shared" si="14"/>
        <v>0.50983884548319047</v>
      </c>
      <c r="CZ11" s="165">
        <f t="shared" si="15"/>
        <v>0.20221491664388253</v>
      </c>
      <c r="DA11" s="164">
        <f t="shared" si="16"/>
        <v>124.04162675967216</v>
      </c>
      <c r="DB11" s="141"/>
      <c r="DC11" s="141"/>
      <c r="DD11" s="77">
        <f t="shared" si="51"/>
        <v>0.50990716364140221</v>
      </c>
      <c r="DE11" s="37">
        <f t="shared" si="52"/>
        <v>0.5</v>
      </c>
      <c r="DF11" s="37">
        <f t="shared" si="53"/>
        <v>0.5</v>
      </c>
      <c r="DG11" s="37">
        <f t="shared" si="54"/>
        <v>0.75</v>
      </c>
      <c r="DH11" s="37">
        <f t="shared" si="17"/>
        <v>0</v>
      </c>
      <c r="DI11" s="37">
        <f t="shared" si="18"/>
        <v>9.338768115942031E-2</v>
      </c>
      <c r="DJ11" s="37">
        <f t="shared" si="19"/>
        <v>0</v>
      </c>
      <c r="DK11" s="37">
        <f t="shared" si="20"/>
        <v>0</v>
      </c>
      <c r="DL11" s="37">
        <f t="shared" si="21"/>
        <v>0.28016304347826088</v>
      </c>
      <c r="DM11" s="37">
        <f t="shared" si="22"/>
        <v>0.11882265374947357</v>
      </c>
      <c r="DN11" s="37">
        <f t="shared" si="55"/>
        <v>0.29380288982026542</v>
      </c>
      <c r="DO11" s="37">
        <f t="shared" si="56"/>
        <v>2</v>
      </c>
      <c r="DP11" s="66">
        <f t="shared" si="57"/>
        <v>0</v>
      </c>
      <c r="DQ11" s="78">
        <f t="shared" si="58"/>
        <v>5.4347826086956523</v>
      </c>
      <c r="DR11" s="6"/>
      <c r="DS11" s="36"/>
      <c r="DT11" s="75">
        <f t="shared" si="59"/>
        <v>21.5695652173913</v>
      </c>
      <c r="DU11" s="18">
        <f t="shared" si="23"/>
        <v>1.735309158446622</v>
      </c>
      <c r="DV11" s="13">
        <f t="shared" si="60"/>
        <v>0.85532979154194522</v>
      </c>
      <c r="DW11" s="14">
        <f t="shared" si="24"/>
        <v>0.38578722255481279</v>
      </c>
      <c r="DX11" s="14">
        <f t="shared" si="25"/>
        <v>0.62</v>
      </c>
      <c r="DY11" s="14">
        <f t="shared" si="61"/>
        <v>0.375</v>
      </c>
      <c r="DZ11" s="15">
        <f t="shared" si="26"/>
        <v>16.125</v>
      </c>
      <c r="EA11" s="14">
        <f t="shared" si="62"/>
        <v>0.59364933271974241</v>
      </c>
      <c r="EB11" s="14">
        <f t="shared" si="27"/>
        <v>0.33333333333333331</v>
      </c>
      <c r="EC11" s="14">
        <f t="shared" si="28"/>
        <v>0.42212041884816753</v>
      </c>
      <c r="ED11" s="14">
        <f t="shared" si="63"/>
        <v>0</v>
      </c>
      <c r="EE11" s="19">
        <f t="shared" si="64"/>
        <v>0.64333333333333331</v>
      </c>
      <c r="EF11" s="67">
        <f t="shared" si="65"/>
        <v>2.5000000000000001E-2</v>
      </c>
      <c r="EG11" s="74">
        <f t="shared" si="66"/>
        <v>3.4036424917799555</v>
      </c>
      <c r="EH11" s="27">
        <f t="shared" si="67"/>
        <v>4.3973773440453812</v>
      </c>
      <c r="EI11" s="25">
        <f t="shared" si="68"/>
        <v>2.5659893746258358</v>
      </c>
      <c r="EJ11" s="25">
        <f t="shared" si="69"/>
        <v>1.372857142857143</v>
      </c>
      <c r="EK11" s="26">
        <f t="shared" si="29"/>
        <v>0</v>
      </c>
      <c r="EL11" s="29">
        <f t="shared" si="70"/>
        <v>0.68085106382978722</v>
      </c>
      <c r="EM11" s="30">
        <f t="shared" si="30"/>
        <v>0.23809523809523808</v>
      </c>
      <c r="EN11" s="30">
        <f t="shared" si="31"/>
        <v>0.4</v>
      </c>
      <c r="EO11" s="31">
        <f t="shared" si="71"/>
        <v>0.31914893617021278</v>
      </c>
      <c r="EP11" s="31">
        <f t="shared" si="32"/>
        <v>1.1886261457138732</v>
      </c>
      <c r="EQ11" s="31">
        <f t="shared" si="72"/>
        <v>1.5077750818840858</v>
      </c>
      <c r="ER11" s="93">
        <f t="shared" si="33"/>
        <v>0.44789459121699204</v>
      </c>
      <c r="ES11" s="109">
        <f t="shared" si="34"/>
        <v>122.38881514647176</v>
      </c>
      <c r="ET11" s="32">
        <f t="shared" si="35"/>
        <v>2.3664479850046862</v>
      </c>
      <c r="EV11" s="277"/>
      <c r="EW11" s="278"/>
      <c r="EX11" s="37">
        <f t="shared" si="81"/>
        <v>0.75</v>
      </c>
      <c r="EY11" s="72">
        <f t="shared" si="73"/>
        <v>1</v>
      </c>
      <c r="EZ11" s="7">
        <v>0.75</v>
      </c>
      <c r="FB11" s="57"/>
      <c r="FC11" s="139"/>
      <c r="FD11" s="89" t="s">
        <v>82</v>
      </c>
      <c r="FE11" s="41" t="s">
        <v>239</v>
      </c>
      <c r="FF11" s="147">
        <f t="shared" si="36"/>
        <v>7.36</v>
      </c>
      <c r="FG11" s="144">
        <f t="shared" si="36"/>
        <v>1</v>
      </c>
      <c r="FH11" s="526" t="s">
        <v>52</v>
      </c>
      <c r="FI11" s="145">
        <f t="shared" si="74"/>
        <v>2</v>
      </c>
      <c r="FJ11" s="194">
        <f t="shared" si="75"/>
        <v>0.5</v>
      </c>
      <c r="FK11" s="110">
        <f t="shared" si="37"/>
        <v>1</v>
      </c>
      <c r="FL11" s="526" t="s">
        <v>52</v>
      </c>
      <c r="FM11" s="168">
        <f t="shared" si="38"/>
        <v>2</v>
      </c>
      <c r="FN11" s="194">
        <f t="shared" si="76"/>
        <v>0.5</v>
      </c>
      <c r="FO11" s="262">
        <f t="shared" si="77"/>
        <v>0</v>
      </c>
      <c r="FP11" s="526" t="s">
        <v>52</v>
      </c>
      <c r="FQ11" s="274">
        <f t="shared" si="78"/>
        <v>0</v>
      </c>
      <c r="FR11" s="197" t="str">
        <f t="shared" si="79"/>
        <v>0</v>
      </c>
      <c r="FS11" s="140">
        <f t="shared" si="39"/>
        <v>0</v>
      </c>
      <c r="FT11" s="140">
        <f t="shared" si="39"/>
        <v>1</v>
      </c>
      <c r="FU11" s="140">
        <f t="shared" si="40"/>
        <v>1</v>
      </c>
      <c r="FV11" s="175">
        <f t="shared" si="40"/>
        <v>2</v>
      </c>
      <c r="FW11" s="140">
        <f t="shared" si="40"/>
        <v>0</v>
      </c>
      <c r="FX11" s="140">
        <f t="shared" si="40"/>
        <v>0</v>
      </c>
      <c r="FY11" s="140">
        <f t="shared" si="40"/>
        <v>1</v>
      </c>
      <c r="FZ11" s="140">
        <f t="shared" si="40"/>
        <v>0</v>
      </c>
      <c r="GA11" s="140">
        <f t="shared" si="40"/>
        <v>1</v>
      </c>
      <c r="GB11" s="140">
        <f t="shared" si="40"/>
        <v>0</v>
      </c>
      <c r="GC11" s="175">
        <f t="shared" si="40"/>
        <v>3.75</v>
      </c>
      <c r="GD11" s="202">
        <f t="shared" si="80"/>
        <v>129.19621713106966</v>
      </c>
      <c r="GE11" s="140">
        <f t="shared" si="80"/>
        <v>0.50983884548319047</v>
      </c>
      <c r="GF11" s="140">
        <f t="shared" si="80"/>
        <v>0.20221491664388253</v>
      </c>
      <c r="GG11" s="259">
        <f t="shared" si="80"/>
        <v>124.04162675967216</v>
      </c>
      <c r="GH11" s="140"/>
      <c r="GJ11" s="82"/>
      <c r="GK11" s="24"/>
      <c r="GL11" s="185" t="e">
        <f>(CQ11/CQ39)*(#REF!-#REF!)</f>
        <v>#REF!</v>
      </c>
      <c r="GM11" s="185" t="e">
        <f>((#REF!/#REF!)*(1-(#REF!/(#REF!+CK39))))/((#REF!/#REF!)*(1-(#REF!/(#REF!+CK39)))+((1-(#REF!/#REF!)))*(#REF!/(#REF!+CK39)))</f>
        <v>#REF!</v>
      </c>
      <c r="GN11" s="24" t="e">
        <f>GK11+(GL11/10)+(GJ11*GM11*(1-(#REF!/(#REF!+CK39))))+(CK11*(1-GM11))</f>
        <v>#REF!</v>
      </c>
      <c r="GO11" s="213" t="e">
        <f>GN11/(DD11*#REF!)</f>
        <v>#REF!</v>
      </c>
    </row>
    <row r="12" spans="1:197" x14ac:dyDescent="0.2">
      <c r="A12" s="139"/>
      <c r="B12" s="89" t="s">
        <v>82</v>
      </c>
      <c r="C12" s="41" t="s">
        <v>212</v>
      </c>
      <c r="D12" s="483">
        <v>3.73</v>
      </c>
      <c r="E12" s="114">
        <f t="shared" si="0"/>
        <v>0</v>
      </c>
      <c r="F12" s="526" t="s">
        <v>52</v>
      </c>
      <c r="G12" s="115">
        <f t="shared" si="1"/>
        <v>2</v>
      </c>
      <c r="H12" s="116" t="s">
        <v>53</v>
      </c>
      <c r="I12" s="526">
        <f t="shared" si="41"/>
        <v>0</v>
      </c>
      <c r="J12" s="115" t="s">
        <v>54</v>
      </c>
      <c r="K12" s="116">
        <f t="shared" si="2"/>
        <v>0</v>
      </c>
      <c r="L12" s="526" t="s">
        <v>52</v>
      </c>
      <c r="M12" s="115">
        <f t="shared" si="3"/>
        <v>1</v>
      </c>
      <c r="N12" s="116" t="s">
        <v>53</v>
      </c>
      <c r="O12" s="526">
        <f t="shared" si="4"/>
        <v>0</v>
      </c>
      <c r="P12" s="115" t="s">
        <v>54</v>
      </c>
      <c r="Q12" s="116">
        <f t="shared" si="5"/>
        <v>0</v>
      </c>
      <c r="R12" s="526" t="s">
        <v>52</v>
      </c>
      <c r="S12" s="115">
        <f t="shared" si="42"/>
        <v>0</v>
      </c>
      <c r="T12" s="116" t="s">
        <v>53</v>
      </c>
      <c r="U12" s="526">
        <f t="shared" si="6"/>
        <v>0</v>
      </c>
      <c r="V12" s="115" t="s">
        <v>54</v>
      </c>
      <c r="W12" s="116">
        <f t="shared" si="7"/>
        <v>0</v>
      </c>
      <c r="X12" s="526" t="s">
        <v>52</v>
      </c>
      <c r="Y12" s="115">
        <f t="shared" si="8"/>
        <v>1</v>
      </c>
      <c r="Z12" s="116" t="s">
        <v>53</v>
      </c>
      <c r="AA12" s="526">
        <f t="shared" si="9"/>
        <v>0</v>
      </c>
      <c r="AB12" s="115" t="s">
        <v>54</v>
      </c>
      <c r="AC12" s="116">
        <f t="shared" si="43"/>
        <v>0</v>
      </c>
      <c r="AD12" s="526" t="s">
        <v>52</v>
      </c>
      <c r="AE12" s="117">
        <f t="shared" si="44"/>
        <v>0</v>
      </c>
      <c r="AF12" s="527"/>
      <c r="AG12" s="114">
        <f t="shared" si="45"/>
        <v>0</v>
      </c>
      <c r="AH12" s="526" t="s">
        <v>52</v>
      </c>
      <c r="AI12" s="115">
        <f t="shared" si="10"/>
        <v>0</v>
      </c>
      <c r="AJ12" s="116" t="s">
        <v>53</v>
      </c>
      <c r="AK12" s="526">
        <f t="shared" si="11"/>
        <v>0</v>
      </c>
      <c r="AL12" s="115" t="s">
        <v>54</v>
      </c>
      <c r="AM12" s="246">
        <v>0</v>
      </c>
      <c r="AN12" s="244" t="s">
        <v>52</v>
      </c>
      <c r="AO12" s="245">
        <v>0</v>
      </c>
      <c r="AP12" s="246" t="s">
        <v>53</v>
      </c>
      <c r="AQ12" s="244">
        <v>0</v>
      </c>
      <c r="AR12" s="245" t="s">
        <v>54</v>
      </c>
      <c r="AS12" s="246">
        <v>0</v>
      </c>
      <c r="AT12" s="244" t="s">
        <v>52</v>
      </c>
      <c r="AU12" s="245">
        <v>0</v>
      </c>
      <c r="AV12" s="246" t="s">
        <v>53</v>
      </c>
      <c r="AW12" s="244">
        <v>0</v>
      </c>
      <c r="AX12" s="245" t="s">
        <v>54</v>
      </c>
      <c r="AY12" s="246">
        <v>0</v>
      </c>
      <c r="AZ12" s="244" t="s">
        <v>52</v>
      </c>
      <c r="BA12" s="245">
        <v>0</v>
      </c>
      <c r="BB12" s="246" t="s">
        <v>53</v>
      </c>
      <c r="BC12" s="244">
        <v>0</v>
      </c>
      <c r="BD12" s="245" t="s">
        <v>54</v>
      </c>
      <c r="BE12" s="116">
        <v>0</v>
      </c>
      <c r="BF12" s="526" t="s">
        <v>52</v>
      </c>
      <c r="BG12" s="117">
        <v>0</v>
      </c>
      <c r="BH12" s="115"/>
      <c r="BI12" s="114">
        <f t="shared" si="12"/>
        <v>0</v>
      </c>
      <c r="BJ12" s="526" t="s">
        <v>52</v>
      </c>
      <c r="BK12" s="115">
        <f t="shared" si="46"/>
        <v>2</v>
      </c>
      <c r="BL12" s="116" t="s">
        <v>53</v>
      </c>
      <c r="BM12" s="526">
        <f t="shared" si="13"/>
        <v>0</v>
      </c>
      <c r="BN12" s="115" t="s">
        <v>54</v>
      </c>
      <c r="BO12" s="246">
        <v>0</v>
      </c>
      <c r="BP12" s="244" t="s">
        <v>52</v>
      </c>
      <c r="BQ12" s="245">
        <v>1</v>
      </c>
      <c r="BR12" s="246" t="s">
        <v>53</v>
      </c>
      <c r="BS12" s="244">
        <v>0</v>
      </c>
      <c r="BT12" s="245" t="s">
        <v>54</v>
      </c>
      <c r="BU12" s="246">
        <v>0</v>
      </c>
      <c r="BV12" s="244" t="s">
        <v>52</v>
      </c>
      <c r="BW12" s="245">
        <v>0</v>
      </c>
      <c r="BX12" s="246" t="s">
        <v>53</v>
      </c>
      <c r="BY12" s="244">
        <v>0</v>
      </c>
      <c r="BZ12" s="245" t="s">
        <v>54</v>
      </c>
      <c r="CA12" s="246">
        <v>0</v>
      </c>
      <c r="CB12" s="244" t="s">
        <v>52</v>
      </c>
      <c r="CC12" s="245">
        <v>1</v>
      </c>
      <c r="CD12" s="246" t="s">
        <v>53</v>
      </c>
      <c r="CE12" s="244">
        <v>0</v>
      </c>
      <c r="CF12" s="245" t="s">
        <v>54</v>
      </c>
      <c r="CG12" s="116">
        <v>0</v>
      </c>
      <c r="CH12" s="526" t="s">
        <v>52</v>
      </c>
      <c r="CI12" s="117">
        <v>0</v>
      </c>
      <c r="CJ12" s="140">
        <v>0</v>
      </c>
      <c r="CK12" s="148">
        <f t="shared" si="47"/>
        <v>0</v>
      </c>
      <c r="CL12" s="148">
        <v>0</v>
      </c>
      <c r="CM12" s="148">
        <v>0</v>
      </c>
      <c r="CN12" s="148">
        <f t="shared" si="48"/>
        <v>0</v>
      </c>
      <c r="CO12" s="175">
        <v>0</v>
      </c>
      <c r="CP12" s="140">
        <v>0</v>
      </c>
      <c r="CQ12" s="175">
        <v>0</v>
      </c>
      <c r="CR12" s="148">
        <v>0</v>
      </c>
      <c r="CS12" s="148">
        <v>1</v>
      </c>
      <c r="CT12" s="140">
        <v>0</v>
      </c>
      <c r="CU12" s="140">
        <v>0</v>
      </c>
      <c r="CV12" s="148">
        <f t="shared" si="49"/>
        <v>0</v>
      </c>
      <c r="CW12" s="140"/>
      <c r="CX12" s="164">
        <f t="shared" si="50"/>
        <v>0</v>
      </c>
      <c r="CY12" s="147">
        <f t="shared" si="14"/>
        <v>0</v>
      </c>
      <c r="CZ12" s="165">
        <f t="shared" si="15"/>
        <v>0.17006221352277232</v>
      </c>
      <c r="DA12" s="164">
        <f t="shared" si="16"/>
        <v>92.814425535953021</v>
      </c>
      <c r="DB12" s="141"/>
      <c r="DC12" s="141"/>
      <c r="DD12" s="77">
        <f t="shared" si="51"/>
        <v>0.25841762505196064</v>
      </c>
      <c r="DE12" s="37">
        <f t="shared" si="52"/>
        <v>0</v>
      </c>
      <c r="DF12" s="37">
        <f t="shared" si="53"/>
        <v>0</v>
      </c>
      <c r="DG12" s="37">
        <f t="shared" si="54"/>
        <v>0</v>
      </c>
      <c r="DH12" s="37">
        <f t="shared" si="17"/>
        <v>0</v>
      </c>
      <c r="DI12" s="37">
        <f t="shared" si="18"/>
        <v>0</v>
      </c>
      <c r="DJ12" s="37">
        <f t="shared" si="19"/>
        <v>0</v>
      </c>
      <c r="DK12" s="37">
        <f t="shared" si="20"/>
        <v>0.11409924868939994</v>
      </c>
      <c r="DL12" s="37">
        <f t="shared" si="21"/>
        <v>0</v>
      </c>
      <c r="DM12" s="37">
        <f t="shared" si="22"/>
        <v>0</v>
      </c>
      <c r="DN12" s="37">
        <f t="shared" si="55"/>
        <v>0</v>
      </c>
      <c r="DO12" s="37" t="str">
        <f t="shared" si="56"/>
        <v>0</v>
      </c>
      <c r="DP12" s="66">
        <f t="shared" si="57"/>
        <v>0</v>
      </c>
      <c r="DQ12" s="78">
        <f t="shared" si="58"/>
        <v>0</v>
      </c>
      <c r="DR12" s="6"/>
      <c r="DS12" s="36"/>
      <c r="DT12" s="75">
        <f t="shared" si="59"/>
        <v>-6.5638069705093827</v>
      </c>
      <c r="DU12" s="18">
        <f t="shared" si="23"/>
        <v>0</v>
      </c>
      <c r="DV12" s="13">
        <f t="shared" si="60"/>
        <v>0</v>
      </c>
      <c r="DW12" s="14">
        <f t="shared" si="24"/>
        <v>0.66611472911181924</v>
      </c>
      <c r="DX12" s="14">
        <f t="shared" si="25"/>
        <v>0</v>
      </c>
      <c r="DY12" s="14" t="str">
        <f t="shared" si="61"/>
        <v>0</v>
      </c>
      <c r="DZ12" s="15">
        <f t="shared" si="26"/>
        <v>17.071999999999999</v>
      </c>
      <c r="EA12" s="14">
        <f t="shared" si="62"/>
        <v>0.70256589641762168</v>
      </c>
      <c r="EB12" s="14">
        <f t="shared" si="27"/>
        <v>0.23809523809523808</v>
      </c>
      <c r="EC12" s="14">
        <f t="shared" si="28"/>
        <v>0.42467661691542286</v>
      </c>
      <c r="ED12" s="14">
        <f t="shared" si="63"/>
        <v>0</v>
      </c>
      <c r="EE12" s="19">
        <f t="shared" si="64"/>
        <v>1.4904761904761905</v>
      </c>
      <c r="EF12" s="67" t="str">
        <f t="shared" si="65"/>
        <v>0</v>
      </c>
      <c r="EG12" s="74">
        <f t="shared" si="66"/>
        <v>1.4904761904761905</v>
      </c>
      <c r="EH12" s="27">
        <f t="shared" si="67"/>
        <v>0</v>
      </c>
      <c r="EI12" s="25">
        <f t="shared" si="68"/>
        <v>0</v>
      </c>
      <c r="EJ12" s="25">
        <f t="shared" si="69"/>
        <v>0</v>
      </c>
      <c r="EK12" s="26">
        <f t="shared" si="29"/>
        <v>0</v>
      </c>
      <c r="EL12" s="29">
        <f t="shared" si="70"/>
        <v>0.71428571428571419</v>
      </c>
      <c r="EM12" s="30">
        <f t="shared" si="30"/>
        <v>0.33333333333333331</v>
      </c>
      <c r="EN12" s="30">
        <f t="shared" si="31"/>
        <v>0.55555555555555558</v>
      </c>
      <c r="EO12" s="31">
        <f t="shared" si="71"/>
        <v>1</v>
      </c>
      <c r="EP12" s="31">
        <f t="shared" si="32"/>
        <v>0.46798201336790785</v>
      </c>
      <c r="EQ12" s="31">
        <f t="shared" si="72"/>
        <v>1.4679820133679078</v>
      </c>
      <c r="ER12" s="93">
        <f t="shared" si="33"/>
        <v>0.83747822407415451</v>
      </c>
      <c r="ES12" s="109">
        <f t="shared" si="34"/>
        <v>106.88405614116314</v>
      </c>
      <c r="ET12" s="32">
        <f t="shared" si="35"/>
        <v>2.248062015503876</v>
      </c>
      <c r="EV12" s="277"/>
      <c r="EW12" s="278"/>
      <c r="EX12" s="37">
        <f t="shared" si="81"/>
        <v>0</v>
      </c>
      <c r="EY12" s="72">
        <f t="shared" si="73"/>
        <v>0</v>
      </c>
      <c r="EZ12" s="7">
        <v>0.6</v>
      </c>
      <c r="FB12" s="57"/>
      <c r="FC12" s="178"/>
      <c r="FD12" s="216" t="s">
        <v>82</v>
      </c>
      <c r="FE12" s="180" t="s">
        <v>240</v>
      </c>
      <c r="FF12" s="181">
        <f t="shared" si="36"/>
        <v>3.73</v>
      </c>
      <c r="FG12" s="182">
        <f t="shared" si="36"/>
        <v>0</v>
      </c>
      <c r="FH12" s="183" t="s">
        <v>52</v>
      </c>
      <c r="FI12" s="184">
        <f t="shared" si="74"/>
        <v>2</v>
      </c>
      <c r="FJ12" s="193">
        <f t="shared" si="75"/>
        <v>0</v>
      </c>
      <c r="FK12" s="185">
        <f t="shared" si="37"/>
        <v>0</v>
      </c>
      <c r="FL12" s="183" t="s">
        <v>52</v>
      </c>
      <c r="FM12" s="186">
        <f t="shared" si="38"/>
        <v>1</v>
      </c>
      <c r="FN12" s="193">
        <f t="shared" si="76"/>
        <v>0</v>
      </c>
      <c r="FO12" s="261">
        <f t="shared" si="77"/>
        <v>0</v>
      </c>
      <c r="FP12" s="183" t="s">
        <v>52</v>
      </c>
      <c r="FQ12" s="268">
        <f t="shared" si="78"/>
        <v>0</v>
      </c>
      <c r="FR12" s="196" t="str">
        <f t="shared" si="79"/>
        <v>0</v>
      </c>
      <c r="FS12" s="179">
        <f t="shared" si="39"/>
        <v>0</v>
      </c>
      <c r="FT12" s="179">
        <f t="shared" si="39"/>
        <v>0</v>
      </c>
      <c r="FU12" s="179">
        <f t="shared" si="40"/>
        <v>0</v>
      </c>
      <c r="FV12" s="187">
        <f t="shared" si="40"/>
        <v>0</v>
      </c>
      <c r="FW12" s="179">
        <f t="shared" si="40"/>
        <v>0</v>
      </c>
      <c r="FX12" s="179">
        <f t="shared" si="40"/>
        <v>0</v>
      </c>
      <c r="FY12" s="179">
        <f t="shared" si="40"/>
        <v>0</v>
      </c>
      <c r="FZ12" s="179">
        <f t="shared" si="40"/>
        <v>1</v>
      </c>
      <c r="GA12" s="179">
        <f t="shared" si="40"/>
        <v>0</v>
      </c>
      <c r="GB12" s="179">
        <f t="shared" si="40"/>
        <v>0</v>
      </c>
      <c r="GC12" s="187">
        <f t="shared" si="40"/>
        <v>0</v>
      </c>
      <c r="GD12" s="203">
        <f t="shared" si="80"/>
        <v>0</v>
      </c>
      <c r="GE12" s="179">
        <f t="shared" si="80"/>
        <v>0</v>
      </c>
      <c r="GF12" s="179">
        <f t="shared" si="80"/>
        <v>0.17006221352277232</v>
      </c>
      <c r="GG12" s="258">
        <f t="shared" si="80"/>
        <v>92.814425535953021</v>
      </c>
      <c r="GH12" s="179"/>
      <c r="GJ12" s="82"/>
      <c r="GK12" s="24"/>
      <c r="GL12" s="185">
        <f>(CQ12/CQ40)*(EY41-EX41)</f>
        <v>0</v>
      </c>
      <c r="GM12" s="185">
        <f>((E41/G41)*(1-(CJ41/(CJ41+CK40))))/((E41/G41)*(1-(CJ41/(CJ41+CK40)))+((1-(E41/G41)))*(CJ41/(CJ41+CK40)))</f>
        <v>0.83333333333333337</v>
      </c>
      <c r="GN12" s="24">
        <f>GK12+(GL12/10)+(GJ12*GM12*(1-(CJ41/(CJ41+CK40))))+(CK12*(1-GM12))</f>
        <v>0</v>
      </c>
      <c r="GO12" s="213">
        <f>GN12/(DD12*EG41)</f>
        <v>0</v>
      </c>
    </row>
    <row r="13" spans="1:197" x14ac:dyDescent="0.2">
      <c r="A13" s="139"/>
      <c r="B13" s="89" t="s">
        <v>82</v>
      </c>
      <c r="C13" s="41" t="s">
        <v>213</v>
      </c>
      <c r="D13" s="483">
        <v>9.65</v>
      </c>
      <c r="E13" s="114">
        <f t="shared" si="0"/>
        <v>4</v>
      </c>
      <c r="F13" s="526" t="s">
        <v>52</v>
      </c>
      <c r="G13" s="115">
        <f t="shared" si="1"/>
        <v>5</v>
      </c>
      <c r="H13" s="116" t="s">
        <v>53</v>
      </c>
      <c r="I13" s="526">
        <f t="shared" si="41"/>
        <v>2</v>
      </c>
      <c r="J13" s="115" t="s">
        <v>54</v>
      </c>
      <c r="K13" s="116">
        <f t="shared" si="2"/>
        <v>2</v>
      </c>
      <c r="L13" s="526" t="s">
        <v>52</v>
      </c>
      <c r="M13" s="115">
        <f t="shared" si="3"/>
        <v>2</v>
      </c>
      <c r="N13" s="116" t="s">
        <v>53</v>
      </c>
      <c r="O13" s="526">
        <f t="shared" si="4"/>
        <v>0</v>
      </c>
      <c r="P13" s="115" t="s">
        <v>54</v>
      </c>
      <c r="Q13" s="116">
        <f t="shared" si="5"/>
        <v>0</v>
      </c>
      <c r="R13" s="526" t="s">
        <v>52</v>
      </c>
      <c r="S13" s="115">
        <f t="shared" si="42"/>
        <v>0</v>
      </c>
      <c r="T13" s="116" t="s">
        <v>53</v>
      </c>
      <c r="U13" s="526">
        <f t="shared" si="6"/>
        <v>0</v>
      </c>
      <c r="V13" s="115" t="s">
        <v>54</v>
      </c>
      <c r="W13" s="116">
        <f t="shared" si="7"/>
        <v>2</v>
      </c>
      <c r="X13" s="526" t="s">
        <v>52</v>
      </c>
      <c r="Y13" s="115">
        <f t="shared" si="8"/>
        <v>3</v>
      </c>
      <c r="Z13" s="116" t="s">
        <v>53</v>
      </c>
      <c r="AA13" s="526">
        <f t="shared" si="9"/>
        <v>2</v>
      </c>
      <c r="AB13" s="115" t="s">
        <v>54</v>
      </c>
      <c r="AC13" s="116">
        <f t="shared" si="43"/>
        <v>3</v>
      </c>
      <c r="AD13" s="526" t="s">
        <v>52</v>
      </c>
      <c r="AE13" s="117">
        <f t="shared" si="44"/>
        <v>4</v>
      </c>
      <c r="AF13" s="527"/>
      <c r="AG13" s="114">
        <f t="shared" si="45"/>
        <v>4</v>
      </c>
      <c r="AH13" s="526" t="s">
        <v>52</v>
      </c>
      <c r="AI13" s="115">
        <f t="shared" si="10"/>
        <v>5</v>
      </c>
      <c r="AJ13" s="116" t="s">
        <v>53</v>
      </c>
      <c r="AK13" s="526">
        <f t="shared" si="11"/>
        <v>2</v>
      </c>
      <c r="AL13" s="115" t="s">
        <v>54</v>
      </c>
      <c r="AM13" s="246">
        <v>2</v>
      </c>
      <c r="AN13" s="244" t="s">
        <v>52</v>
      </c>
      <c r="AO13" s="245">
        <v>2</v>
      </c>
      <c r="AP13" s="246" t="s">
        <v>53</v>
      </c>
      <c r="AQ13" s="244">
        <v>0</v>
      </c>
      <c r="AR13" s="245" t="s">
        <v>54</v>
      </c>
      <c r="AS13" s="246">
        <v>0</v>
      </c>
      <c r="AT13" s="244" t="s">
        <v>52</v>
      </c>
      <c r="AU13" s="245">
        <v>0</v>
      </c>
      <c r="AV13" s="246" t="s">
        <v>53</v>
      </c>
      <c r="AW13" s="244">
        <v>0</v>
      </c>
      <c r="AX13" s="245" t="s">
        <v>54</v>
      </c>
      <c r="AY13" s="246">
        <v>2</v>
      </c>
      <c r="AZ13" s="244" t="s">
        <v>52</v>
      </c>
      <c r="BA13" s="245">
        <v>3</v>
      </c>
      <c r="BB13" s="246" t="s">
        <v>53</v>
      </c>
      <c r="BC13" s="244">
        <v>2</v>
      </c>
      <c r="BD13" s="245" t="s">
        <v>54</v>
      </c>
      <c r="BE13" s="116">
        <v>0</v>
      </c>
      <c r="BF13" s="526" t="s">
        <v>52</v>
      </c>
      <c r="BG13" s="117">
        <v>0</v>
      </c>
      <c r="BH13" s="115"/>
      <c r="BI13" s="114">
        <f t="shared" si="12"/>
        <v>0</v>
      </c>
      <c r="BJ13" s="526" t="s">
        <v>52</v>
      </c>
      <c r="BK13" s="115">
        <f t="shared" si="46"/>
        <v>0</v>
      </c>
      <c r="BL13" s="116" t="s">
        <v>53</v>
      </c>
      <c r="BM13" s="526">
        <f t="shared" si="13"/>
        <v>0</v>
      </c>
      <c r="BN13" s="115" t="s">
        <v>54</v>
      </c>
      <c r="BO13" s="246">
        <v>0</v>
      </c>
      <c r="BP13" s="244" t="s">
        <v>52</v>
      </c>
      <c r="BQ13" s="245">
        <v>0</v>
      </c>
      <c r="BR13" s="246" t="s">
        <v>53</v>
      </c>
      <c r="BS13" s="244">
        <v>0</v>
      </c>
      <c r="BT13" s="245" t="s">
        <v>54</v>
      </c>
      <c r="BU13" s="246">
        <v>0</v>
      </c>
      <c r="BV13" s="244" t="s">
        <v>52</v>
      </c>
      <c r="BW13" s="245">
        <v>0</v>
      </c>
      <c r="BX13" s="246" t="s">
        <v>53</v>
      </c>
      <c r="BY13" s="244">
        <v>0</v>
      </c>
      <c r="BZ13" s="245" t="s">
        <v>54</v>
      </c>
      <c r="CA13" s="246">
        <v>0</v>
      </c>
      <c r="CB13" s="244" t="s">
        <v>52</v>
      </c>
      <c r="CC13" s="245">
        <v>0</v>
      </c>
      <c r="CD13" s="246" t="s">
        <v>53</v>
      </c>
      <c r="CE13" s="244">
        <v>0</v>
      </c>
      <c r="CF13" s="245" t="s">
        <v>54</v>
      </c>
      <c r="CG13" s="116">
        <v>0</v>
      </c>
      <c r="CH13" s="526" t="s">
        <v>52</v>
      </c>
      <c r="CI13" s="117">
        <v>0</v>
      </c>
      <c r="CJ13" s="148">
        <v>1</v>
      </c>
      <c r="CK13" s="148">
        <f t="shared" si="47"/>
        <v>0</v>
      </c>
      <c r="CL13" s="148">
        <v>0</v>
      </c>
      <c r="CM13" s="148">
        <v>0</v>
      </c>
      <c r="CN13" s="148">
        <f t="shared" si="48"/>
        <v>1</v>
      </c>
      <c r="CO13" s="175">
        <v>0</v>
      </c>
      <c r="CP13" s="140">
        <v>4</v>
      </c>
      <c r="CQ13" s="175">
        <v>0</v>
      </c>
      <c r="CR13" s="148">
        <v>4</v>
      </c>
      <c r="CS13" s="148">
        <v>0</v>
      </c>
      <c r="CT13" s="140">
        <v>2</v>
      </c>
      <c r="CU13" s="140">
        <v>0</v>
      </c>
      <c r="CV13" s="148">
        <f t="shared" si="49"/>
        <v>13</v>
      </c>
      <c r="CW13" s="140"/>
      <c r="CX13" s="164">
        <f t="shared" si="50"/>
        <v>131.06349283949496</v>
      </c>
      <c r="CY13" s="147">
        <f t="shared" si="14"/>
        <v>0.5682209772447202</v>
      </c>
      <c r="CZ13" s="165">
        <f t="shared" si="15"/>
        <v>0.29061724339185613</v>
      </c>
      <c r="DA13" s="164">
        <f t="shared" si="16"/>
        <v>118.46464423357006</v>
      </c>
      <c r="DB13" s="141"/>
      <c r="DC13" s="141"/>
      <c r="DD13" s="77">
        <f t="shared" si="51"/>
        <v>0.66856034363308847</v>
      </c>
      <c r="DE13" s="37">
        <f t="shared" si="52"/>
        <v>0.8</v>
      </c>
      <c r="DF13" s="37">
        <f t="shared" si="53"/>
        <v>0.66666666666666663</v>
      </c>
      <c r="DG13" s="37">
        <f t="shared" si="54"/>
        <v>1</v>
      </c>
      <c r="DH13" s="37">
        <f t="shared" si="17"/>
        <v>7.1226252158894651E-2</v>
      </c>
      <c r="DI13" s="37">
        <f t="shared" si="18"/>
        <v>0</v>
      </c>
      <c r="DJ13" s="37">
        <f t="shared" si="19"/>
        <v>0</v>
      </c>
      <c r="DK13" s="37">
        <f t="shared" si="20"/>
        <v>0</v>
      </c>
      <c r="DL13" s="37">
        <f t="shared" si="21"/>
        <v>0</v>
      </c>
      <c r="DM13" s="37">
        <f t="shared" si="22"/>
        <v>0.17641044460578728</v>
      </c>
      <c r="DN13" s="37">
        <f t="shared" si="55"/>
        <v>0.30350994068153558</v>
      </c>
      <c r="DO13" s="37">
        <f t="shared" si="56"/>
        <v>0</v>
      </c>
      <c r="DP13" s="66">
        <f t="shared" si="57"/>
        <v>0</v>
      </c>
      <c r="DQ13" s="78">
        <f t="shared" si="58"/>
        <v>16.580310880829014</v>
      </c>
      <c r="DR13" s="6"/>
      <c r="DS13" s="36"/>
      <c r="DT13" s="75">
        <f t="shared" si="59"/>
        <v>47.648082901554396</v>
      </c>
      <c r="DU13" s="18">
        <f t="shared" si="23"/>
        <v>3.744331905365422</v>
      </c>
      <c r="DV13" s="13">
        <f t="shared" si="60"/>
        <v>2.2759231812225584</v>
      </c>
      <c r="DW13" s="14">
        <f t="shared" si="24"/>
        <v>0.86203840938872078</v>
      </c>
      <c r="DX13" s="14">
        <f t="shared" si="25"/>
        <v>0</v>
      </c>
      <c r="DY13" s="14">
        <f t="shared" si="61"/>
        <v>1.5</v>
      </c>
      <c r="DZ13" s="15">
        <f t="shared" si="26"/>
        <v>17.071999999999999</v>
      </c>
      <c r="EA13" s="14">
        <f t="shared" si="62"/>
        <v>0.70256589641762168</v>
      </c>
      <c r="EB13" s="14">
        <f t="shared" si="27"/>
        <v>0.23809523809523808</v>
      </c>
      <c r="EC13" s="14">
        <f t="shared" si="28"/>
        <v>0.42467661691542286</v>
      </c>
      <c r="ED13" s="14">
        <f t="shared" si="63"/>
        <v>0.29836330805078698</v>
      </c>
      <c r="EE13" s="19">
        <f t="shared" si="64"/>
        <v>0.74523809523809526</v>
      </c>
      <c r="EF13" s="67">
        <f t="shared" si="65"/>
        <v>0.1</v>
      </c>
      <c r="EG13" s="74">
        <f t="shared" si="66"/>
        <v>6.5895700006035174</v>
      </c>
      <c r="EH13" s="27">
        <f t="shared" si="67"/>
        <v>8.6365206058944999</v>
      </c>
      <c r="EI13" s="25">
        <f t="shared" si="68"/>
        <v>5.6898079530563965</v>
      </c>
      <c r="EJ13" s="25">
        <f t="shared" si="69"/>
        <v>0</v>
      </c>
      <c r="EK13" s="26">
        <f t="shared" si="29"/>
        <v>0.70606124913611734</v>
      </c>
      <c r="EL13" s="29">
        <f t="shared" si="70"/>
        <v>0.71428571428571419</v>
      </c>
      <c r="EM13" s="30">
        <f t="shared" si="30"/>
        <v>0.33333333333333331</v>
      </c>
      <c r="EN13" s="30">
        <f t="shared" si="31"/>
        <v>0.55555555555555558</v>
      </c>
      <c r="EO13" s="31">
        <f t="shared" si="71"/>
        <v>0</v>
      </c>
      <c r="EP13" s="31">
        <f t="shared" si="32"/>
        <v>1.2107309461126838</v>
      </c>
      <c r="EQ13" s="31">
        <f t="shared" si="72"/>
        <v>1.2107309461126838</v>
      </c>
      <c r="ER13" s="93">
        <f t="shared" si="33"/>
        <v>0.266981980627155</v>
      </c>
      <c r="ES13" s="109">
        <f t="shared" si="34"/>
        <v>106.88405614116314</v>
      </c>
      <c r="ET13" s="32">
        <f t="shared" si="35"/>
        <v>2.248062015503876</v>
      </c>
      <c r="EV13" s="277"/>
      <c r="EW13" s="278"/>
      <c r="EX13" s="37">
        <f t="shared" si="81"/>
        <v>3</v>
      </c>
      <c r="EY13" s="72">
        <f t="shared" si="73"/>
        <v>4</v>
      </c>
      <c r="EZ13" s="7">
        <v>0.75</v>
      </c>
      <c r="FB13" s="41"/>
      <c r="FC13" s="139"/>
      <c r="FD13" s="89" t="s">
        <v>82</v>
      </c>
      <c r="FE13" s="41" t="s">
        <v>241</v>
      </c>
      <c r="FF13" s="147">
        <f t="shared" si="36"/>
        <v>9.65</v>
      </c>
      <c r="FG13" s="144">
        <f t="shared" si="36"/>
        <v>4</v>
      </c>
      <c r="FH13" s="526" t="s">
        <v>52</v>
      </c>
      <c r="FI13" s="145">
        <f t="shared" si="74"/>
        <v>5</v>
      </c>
      <c r="FJ13" s="194">
        <f t="shared" si="75"/>
        <v>0.8</v>
      </c>
      <c r="FK13" s="110">
        <f t="shared" si="37"/>
        <v>2</v>
      </c>
      <c r="FL13" s="526" t="s">
        <v>52</v>
      </c>
      <c r="FM13" s="168">
        <f t="shared" si="38"/>
        <v>3</v>
      </c>
      <c r="FN13" s="194">
        <f t="shared" si="76"/>
        <v>0.66666666666666663</v>
      </c>
      <c r="FO13" s="262">
        <f t="shared" si="77"/>
        <v>0</v>
      </c>
      <c r="FP13" s="526" t="s">
        <v>52</v>
      </c>
      <c r="FQ13" s="274">
        <f t="shared" si="78"/>
        <v>0</v>
      </c>
      <c r="FR13" s="197" t="str">
        <f t="shared" si="79"/>
        <v>0</v>
      </c>
      <c r="FS13" s="140">
        <f t="shared" si="39"/>
        <v>1</v>
      </c>
      <c r="FT13" s="140">
        <f t="shared" si="39"/>
        <v>0</v>
      </c>
      <c r="FU13" s="140">
        <f t="shared" si="40"/>
        <v>1</v>
      </c>
      <c r="FV13" s="175">
        <f t="shared" si="40"/>
        <v>0</v>
      </c>
      <c r="FW13" s="140">
        <f t="shared" si="40"/>
        <v>4</v>
      </c>
      <c r="FX13" s="140">
        <f t="shared" si="40"/>
        <v>0</v>
      </c>
      <c r="FY13" s="140">
        <f t="shared" si="40"/>
        <v>4</v>
      </c>
      <c r="FZ13" s="140">
        <f t="shared" si="40"/>
        <v>0</v>
      </c>
      <c r="GA13" s="140">
        <f t="shared" si="40"/>
        <v>2</v>
      </c>
      <c r="GB13" s="140">
        <f t="shared" si="40"/>
        <v>0</v>
      </c>
      <c r="GC13" s="175">
        <f t="shared" si="40"/>
        <v>13</v>
      </c>
      <c r="GD13" s="202">
        <f t="shared" si="80"/>
        <v>131.06349283949496</v>
      </c>
      <c r="GE13" s="140">
        <f t="shared" si="80"/>
        <v>0.5682209772447202</v>
      </c>
      <c r="GF13" s="140">
        <f t="shared" si="80"/>
        <v>0.29061724339185613</v>
      </c>
      <c r="GG13" s="259">
        <f t="shared" si="80"/>
        <v>118.46464423357006</v>
      </c>
      <c r="GH13" s="140"/>
      <c r="GJ13" s="82"/>
      <c r="GK13" s="24"/>
      <c r="GL13" s="185">
        <f>(CQ13/CQ42)*(EY43-EX43)</f>
        <v>0</v>
      </c>
      <c r="GM13" s="185">
        <f>((E43/G43)*(1-(CJ43/(CJ43+CK42))))/((E43/G43)*(1-(CJ43/(CJ43+CK42)))+((1-(E43/G43)))*(CJ43/(CJ43+CK42)))</f>
        <v>0.83333333333333337</v>
      </c>
      <c r="GN13" s="24">
        <f>GK13+(GL13/10)+(GJ13*GM13*(1-(CJ43/(CJ43+CK42))))+(CK13*(1-GM13))</f>
        <v>0</v>
      </c>
      <c r="GO13" s="213">
        <f>GN13/(DD13*EG43)</f>
        <v>0</v>
      </c>
    </row>
    <row r="14" spans="1:197" x14ac:dyDescent="0.2">
      <c r="A14" s="139"/>
      <c r="B14" s="430" t="s">
        <v>117</v>
      </c>
      <c r="C14" s="431" t="s">
        <v>214</v>
      </c>
      <c r="D14" s="483">
        <v>10.199999999999999</v>
      </c>
      <c r="E14" s="114">
        <f t="shared" si="0"/>
        <v>3</v>
      </c>
      <c r="F14" s="526" t="s">
        <v>52</v>
      </c>
      <c r="G14" s="115">
        <f t="shared" si="1"/>
        <v>6</v>
      </c>
      <c r="H14" s="116" t="s">
        <v>53</v>
      </c>
      <c r="I14" s="526">
        <f t="shared" si="41"/>
        <v>2</v>
      </c>
      <c r="J14" s="115" t="s">
        <v>54</v>
      </c>
      <c r="K14" s="116">
        <f t="shared" si="2"/>
        <v>1</v>
      </c>
      <c r="L14" s="526" t="s">
        <v>52</v>
      </c>
      <c r="M14" s="115">
        <f t="shared" si="3"/>
        <v>2</v>
      </c>
      <c r="N14" s="116" t="s">
        <v>53</v>
      </c>
      <c r="O14" s="526">
        <f t="shared" si="4"/>
        <v>1</v>
      </c>
      <c r="P14" s="115" t="s">
        <v>54</v>
      </c>
      <c r="Q14" s="116">
        <f t="shared" si="5"/>
        <v>0</v>
      </c>
      <c r="R14" s="526" t="s">
        <v>52</v>
      </c>
      <c r="S14" s="115">
        <f t="shared" si="42"/>
        <v>1</v>
      </c>
      <c r="T14" s="116" t="s">
        <v>53</v>
      </c>
      <c r="U14" s="526">
        <f t="shared" si="6"/>
        <v>0</v>
      </c>
      <c r="V14" s="115" t="s">
        <v>54</v>
      </c>
      <c r="W14" s="116">
        <f t="shared" si="7"/>
        <v>2</v>
      </c>
      <c r="X14" s="526" t="s">
        <v>52</v>
      </c>
      <c r="Y14" s="115">
        <f t="shared" si="8"/>
        <v>3</v>
      </c>
      <c r="Z14" s="116" t="s">
        <v>53</v>
      </c>
      <c r="AA14" s="526">
        <f t="shared" si="9"/>
        <v>1</v>
      </c>
      <c r="AB14" s="115" t="s">
        <v>54</v>
      </c>
      <c r="AC14" s="116">
        <f t="shared" si="43"/>
        <v>0</v>
      </c>
      <c r="AD14" s="526" t="s">
        <v>52</v>
      </c>
      <c r="AE14" s="117">
        <f t="shared" si="44"/>
        <v>0</v>
      </c>
      <c r="AF14" s="527"/>
      <c r="AG14" s="114">
        <f t="shared" si="45"/>
        <v>2</v>
      </c>
      <c r="AH14" s="526" t="s">
        <v>52</v>
      </c>
      <c r="AI14" s="115">
        <f t="shared" si="10"/>
        <v>5</v>
      </c>
      <c r="AJ14" s="116" t="s">
        <v>53</v>
      </c>
      <c r="AK14" s="526">
        <f t="shared" si="11"/>
        <v>2</v>
      </c>
      <c r="AL14" s="115" t="s">
        <v>54</v>
      </c>
      <c r="AM14" s="246">
        <v>1</v>
      </c>
      <c r="AN14" s="244" t="s">
        <v>52</v>
      </c>
      <c r="AO14" s="245">
        <v>2</v>
      </c>
      <c r="AP14" s="246" t="s">
        <v>53</v>
      </c>
      <c r="AQ14" s="244">
        <v>1</v>
      </c>
      <c r="AR14" s="245" t="s">
        <v>54</v>
      </c>
      <c r="AS14" s="246">
        <v>0</v>
      </c>
      <c r="AT14" s="244" t="s">
        <v>52</v>
      </c>
      <c r="AU14" s="245">
        <v>1</v>
      </c>
      <c r="AV14" s="246" t="s">
        <v>53</v>
      </c>
      <c r="AW14" s="244">
        <v>0</v>
      </c>
      <c r="AX14" s="245" t="s">
        <v>54</v>
      </c>
      <c r="AY14" s="246">
        <v>1</v>
      </c>
      <c r="AZ14" s="244" t="s">
        <v>52</v>
      </c>
      <c r="BA14" s="245">
        <v>2</v>
      </c>
      <c r="BB14" s="246" t="s">
        <v>53</v>
      </c>
      <c r="BC14" s="244">
        <v>1</v>
      </c>
      <c r="BD14" s="245" t="s">
        <v>54</v>
      </c>
      <c r="BE14" s="116">
        <v>0</v>
      </c>
      <c r="BF14" s="526" t="s">
        <v>52</v>
      </c>
      <c r="BG14" s="117">
        <v>0</v>
      </c>
      <c r="BH14" s="115"/>
      <c r="BI14" s="114">
        <f t="shared" si="12"/>
        <v>1</v>
      </c>
      <c r="BJ14" s="526" t="s">
        <v>52</v>
      </c>
      <c r="BK14" s="115">
        <f t="shared" si="46"/>
        <v>1</v>
      </c>
      <c r="BL14" s="116" t="s">
        <v>53</v>
      </c>
      <c r="BM14" s="526">
        <f t="shared" si="13"/>
        <v>0</v>
      </c>
      <c r="BN14" s="115" t="s">
        <v>54</v>
      </c>
      <c r="BO14" s="246">
        <v>0</v>
      </c>
      <c r="BP14" s="244" t="s">
        <v>52</v>
      </c>
      <c r="BQ14" s="245">
        <v>0</v>
      </c>
      <c r="BR14" s="246" t="s">
        <v>53</v>
      </c>
      <c r="BS14" s="244">
        <v>0</v>
      </c>
      <c r="BT14" s="245" t="s">
        <v>54</v>
      </c>
      <c r="BU14" s="246">
        <v>0</v>
      </c>
      <c r="BV14" s="244" t="s">
        <v>52</v>
      </c>
      <c r="BW14" s="245">
        <v>0</v>
      </c>
      <c r="BX14" s="246" t="s">
        <v>53</v>
      </c>
      <c r="BY14" s="244">
        <v>0</v>
      </c>
      <c r="BZ14" s="245" t="s">
        <v>54</v>
      </c>
      <c r="CA14" s="246">
        <v>1</v>
      </c>
      <c r="CB14" s="244" t="s">
        <v>52</v>
      </c>
      <c r="CC14" s="245">
        <v>1</v>
      </c>
      <c r="CD14" s="246" t="s">
        <v>53</v>
      </c>
      <c r="CE14" s="244">
        <v>0</v>
      </c>
      <c r="CF14" s="245" t="s">
        <v>54</v>
      </c>
      <c r="CG14" s="116">
        <v>0</v>
      </c>
      <c r="CH14" s="526" t="s">
        <v>52</v>
      </c>
      <c r="CI14" s="117">
        <v>0</v>
      </c>
      <c r="CJ14" s="140">
        <v>1</v>
      </c>
      <c r="CK14" s="148">
        <f t="shared" si="47"/>
        <v>1</v>
      </c>
      <c r="CL14" s="148">
        <v>0</v>
      </c>
      <c r="CM14" s="148">
        <v>1</v>
      </c>
      <c r="CN14" s="148">
        <f t="shared" si="48"/>
        <v>2</v>
      </c>
      <c r="CO14" s="175">
        <v>0</v>
      </c>
      <c r="CP14" s="140">
        <v>2</v>
      </c>
      <c r="CQ14" s="175">
        <v>2</v>
      </c>
      <c r="CR14" s="148">
        <v>0</v>
      </c>
      <c r="CS14" s="148">
        <v>1</v>
      </c>
      <c r="CT14" s="140">
        <v>2</v>
      </c>
      <c r="CU14" s="140">
        <v>0</v>
      </c>
      <c r="CV14" s="148">
        <f t="shared" si="49"/>
        <v>8</v>
      </c>
      <c r="CW14" s="140"/>
      <c r="CX14" s="164">
        <f t="shared" si="50"/>
        <v>100.92864466119235</v>
      </c>
      <c r="CY14" s="147">
        <f t="shared" si="14"/>
        <v>0.38464179897798095</v>
      </c>
      <c r="CZ14" s="165">
        <f t="shared" si="15"/>
        <v>0.27378613562182746</v>
      </c>
      <c r="DA14" s="164">
        <f t="shared" si="16"/>
        <v>114.82151606030943</v>
      </c>
      <c r="DB14" s="141"/>
      <c r="DC14" s="141"/>
      <c r="DD14" s="77">
        <f t="shared" si="51"/>
        <v>0.70666481917694324</v>
      </c>
      <c r="DE14" s="37">
        <f t="shared" si="52"/>
        <v>0.5</v>
      </c>
      <c r="DF14" s="37">
        <f t="shared" si="53"/>
        <v>0.66666666666666663</v>
      </c>
      <c r="DG14" s="37">
        <f t="shared" si="54"/>
        <v>0.66666666666666663</v>
      </c>
      <c r="DH14" s="37">
        <f t="shared" si="17"/>
        <v>0.1179248366013072</v>
      </c>
      <c r="DI14" s="37">
        <f t="shared" si="18"/>
        <v>6.7385620915032696E-2</v>
      </c>
      <c r="DJ14" s="37">
        <f t="shared" si="19"/>
        <v>0</v>
      </c>
      <c r="DK14" s="37">
        <f t="shared" si="20"/>
        <v>4.2869349588045363E-2</v>
      </c>
      <c r="DL14" s="37">
        <f t="shared" si="21"/>
        <v>0</v>
      </c>
      <c r="DM14" s="37">
        <f t="shared" si="22"/>
        <v>8.5738699176090727E-2</v>
      </c>
      <c r="DN14" s="37">
        <f t="shared" si="55"/>
        <v>0.31315938983308861</v>
      </c>
      <c r="DO14" s="37">
        <f t="shared" si="56"/>
        <v>0</v>
      </c>
      <c r="DP14" s="66">
        <f t="shared" si="57"/>
        <v>7.8431372549019613</v>
      </c>
      <c r="DQ14" s="78">
        <f t="shared" si="58"/>
        <v>0</v>
      </c>
      <c r="DR14" s="6"/>
      <c r="DS14" s="36"/>
      <c r="DT14" s="75">
        <f t="shared" si="59"/>
        <v>20.522156862745103</v>
      </c>
      <c r="DU14" s="18">
        <f t="shared" si="23"/>
        <v>2.4565241309417027</v>
      </c>
      <c r="DV14" s="13">
        <f t="shared" si="60"/>
        <v>2.3521473600769625</v>
      </c>
      <c r="DW14" s="14">
        <f t="shared" si="24"/>
        <v>0.64785263992303777</v>
      </c>
      <c r="DX14" s="14">
        <f t="shared" si="25"/>
        <v>0</v>
      </c>
      <c r="DY14" s="14" t="str">
        <f t="shared" si="61"/>
        <v>0</v>
      </c>
      <c r="DZ14" s="15">
        <f t="shared" si="26"/>
        <v>16.125</v>
      </c>
      <c r="EA14" s="14">
        <f t="shared" si="62"/>
        <v>0.59364933271974241</v>
      </c>
      <c r="EB14" s="14">
        <f t="shared" si="27"/>
        <v>0.33333333333333331</v>
      </c>
      <c r="EC14" s="14">
        <f t="shared" si="28"/>
        <v>0.42212041884816753</v>
      </c>
      <c r="ED14" s="14">
        <f t="shared" si="63"/>
        <v>0.25059150497659283</v>
      </c>
      <c r="EE14" s="19">
        <f t="shared" si="64"/>
        <v>1.93</v>
      </c>
      <c r="EF14" s="67" t="str">
        <f t="shared" si="65"/>
        <v>0</v>
      </c>
      <c r="EG14" s="74">
        <f t="shared" si="66"/>
        <v>6.3865241309417025</v>
      </c>
      <c r="EH14" s="27">
        <f t="shared" si="67"/>
        <v>6.4458322463194548</v>
      </c>
      <c r="EI14" s="25">
        <f t="shared" si="68"/>
        <v>6.2723929602052326</v>
      </c>
      <c r="EJ14" s="25">
        <f t="shared" si="69"/>
        <v>0</v>
      </c>
      <c r="EK14" s="26">
        <f t="shared" si="29"/>
        <v>0.56334524374582884</v>
      </c>
      <c r="EL14" s="29">
        <f t="shared" si="70"/>
        <v>0.68085106382978722</v>
      </c>
      <c r="EM14" s="30">
        <f t="shared" si="30"/>
        <v>0.23809523809523808</v>
      </c>
      <c r="EN14" s="30">
        <f t="shared" si="31"/>
        <v>0.4</v>
      </c>
      <c r="EO14" s="31">
        <f t="shared" si="71"/>
        <v>1.3191489361702127</v>
      </c>
      <c r="EP14" s="31">
        <f t="shared" si="32"/>
        <v>1.6792807997665089</v>
      </c>
      <c r="EQ14" s="31">
        <f t="shared" si="72"/>
        <v>2.9984297359367216</v>
      </c>
      <c r="ER14" s="93">
        <f t="shared" si="33"/>
        <v>0.64270366282530933</v>
      </c>
      <c r="ES14" s="109">
        <f t="shared" si="34"/>
        <v>122.38881514647176</v>
      </c>
      <c r="ET14" s="32">
        <f t="shared" si="35"/>
        <v>2.3664479850046862</v>
      </c>
      <c r="EV14" s="277"/>
      <c r="EW14" s="278"/>
      <c r="EX14" s="37">
        <f t="shared" si="81"/>
        <v>0</v>
      </c>
      <c r="EY14" s="72">
        <f t="shared" si="73"/>
        <v>0</v>
      </c>
      <c r="EZ14" s="7">
        <v>0.7</v>
      </c>
      <c r="FB14" s="57"/>
      <c r="FC14" s="178"/>
      <c r="FD14" s="216" t="s">
        <v>82</v>
      </c>
      <c r="FE14" s="180" t="s">
        <v>242</v>
      </c>
      <c r="FF14" s="181">
        <f t="shared" si="36"/>
        <v>10.199999999999999</v>
      </c>
      <c r="FG14" s="182">
        <f t="shared" si="36"/>
        <v>3</v>
      </c>
      <c r="FH14" s="183" t="s">
        <v>52</v>
      </c>
      <c r="FI14" s="184">
        <f t="shared" si="74"/>
        <v>6</v>
      </c>
      <c r="FJ14" s="193">
        <f t="shared" si="75"/>
        <v>0.5</v>
      </c>
      <c r="FK14" s="185">
        <f t="shared" si="37"/>
        <v>2</v>
      </c>
      <c r="FL14" s="183" t="s">
        <v>52</v>
      </c>
      <c r="FM14" s="186">
        <f t="shared" si="38"/>
        <v>3</v>
      </c>
      <c r="FN14" s="193">
        <f t="shared" si="76"/>
        <v>0.66666666666666663</v>
      </c>
      <c r="FO14" s="261">
        <f t="shared" si="77"/>
        <v>0</v>
      </c>
      <c r="FP14" s="183" t="s">
        <v>52</v>
      </c>
      <c r="FQ14" s="268">
        <f t="shared" si="78"/>
        <v>0</v>
      </c>
      <c r="FR14" s="196" t="str">
        <f t="shared" si="79"/>
        <v>0</v>
      </c>
      <c r="FS14" s="179">
        <f t="shared" si="39"/>
        <v>1</v>
      </c>
      <c r="FT14" s="179">
        <f t="shared" si="39"/>
        <v>1</v>
      </c>
      <c r="FU14" s="179">
        <f t="shared" si="40"/>
        <v>2</v>
      </c>
      <c r="FV14" s="187">
        <f t="shared" si="40"/>
        <v>0</v>
      </c>
      <c r="FW14" s="179">
        <f t="shared" si="40"/>
        <v>2</v>
      </c>
      <c r="FX14" s="179">
        <f t="shared" si="40"/>
        <v>2</v>
      </c>
      <c r="FY14" s="179">
        <f t="shared" si="40"/>
        <v>0</v>
      </c>
      <c r="FZ14" s="179">
        <f t="shared" si="40"/>
        <v>1</v>
      </c>
      <c r="GA14" s="179">
        <f t="shared" si="40"/>
        <v>2</v>
      </c>
      <c r="GB14" s="179">
        <f t="shared" si="40"/>
        <v>0</v>
      </c>
      <c r="GC14" s="187">
        <f t="shared" si="40"/>
        <v>8</v>
      </c>
      <c r="GD14" s="203">
        <f t="shared" si="80"/>
        <v>100.92864466119235</v>
      </c>
      <c r="GE14" s="179">
        <f t="shared" si="80"/>
        <v>0.38464179897798095</v>
      </c>
      <c r="GF14" s="179">
        <f t="shared" si="80"/>
        <v>0.27378613562182746</v>
      </c>
      <c r="GG14" s="258">
        <f t="shared" si="80"/>
        <v>114.82151606030943</v>
      </c>
      <c r="GH14" s="179"/>
      <c r="GJ14" s="82"/>
      <c r="GK14" s="24"/>
      <c r="GL14" s="185">
        <f>(CQ14/CQ46)*(EY47-EX47)</f>
        <v>0.39999999999999991</v>
      </c>
      <c r="GM14" s="185">
        <f>((E47/G47)*(1-(CJ47/(CJ47+CK46))))/((E47/G47)*(1-(CJ47/(CJ47+CK46)))+((1-(E47/G47)))*(CJ47/(CJ47+CK46)))</f>
        <v>0.68085106382978722</v>
      </c>
      <c r="GN14" s="24">
        <f>GK14+(GL14/10)+(GJ14*GM14*(1-(CJ47/(CJ47+CK46))))+(CK14*(1-GM14))</f>
        <v>0.35914893617021276</v>
      </c>
      <c r="GO14" s="213">
        <f>GN14/(DD14*EG47)</f>
        <v>1.4985320266335993E-2</v>
      </c>
    </row>
    <row r="15" spans="1:197" x14ac:dyDescent="0.2">
      <c r="A15" s="139"/>
      <c r="B15" s="89" t="s">
        <v>82</v>
      </c>
      <c r="C15" s="41" t="s">
        <v>215</v>
      </c>
      <c r="D15" s="483">
        <v>12.97</v>
      </c>
      <c r="E15" s="114">
        <f t="shared" si="0"/>
        <v>3</v>
      </c>
      <c r="F15" s="526" t="s">
        <v>52</v>
      </c>
      <c r="G15" s="115">
        <f t="shared" si="1"/>
        <v>8</v>
      </c>
      <c r="H15" s="116" t="s">
        <v>53</v>
      </c>
      <c r="I15" s="526">
        <f t="shared" si="41"/>
        <v>2</v>
      </c>
      <c r="J15" s="115" t="s">
        <v>54</v>
      </c>
      <c r="K15" s="116">
        <f t="shared" si="2"/>
        <v>1</v>
      </c>
      <c r="L15" s="526" t="s">
        <v>52</v>
      </c>
      <c r="M15" s="115">
        <f t="shared" si="3"/>
        <v>1</v>
      </c>
      <c r="N15" s="116" t="s">
        <v>53</v>
      </c>
      <c r="O15" s="526">
        <f t="shared" si="4"/>
        <v>0</v>
      </c>
      <c r="P15" s="115" t="s">
        <v>54</v>
      </c>
      <c r="Q15" s="116">
        <f t="shared" si="5"/>
        <v>0</v>
      </c>
      <c r="R15" s="526" t="s">
        <v>52</v>
      </c>
      <c r="S15" s="115">
        <f t="shared" si="42"/>
        <v>0</v>
      </c>
      <c r="T15" s="116" t="s">
        <v>53</v>
      </c>
      <c r="U15" s="526">
        <f t="shared" si="6"/>
        <v>0</v>
      </c>
      <c r="V15" s="115" t="s">
        <v>54</v>
      </c>
      <c r="W15" s="116">
        <f t="shared" si="7"/>
        <v>2</v>
      </c>
      <c r="X15" s="526" t="s">
        <v>52</v>
      </c>
      <c r="Y15" s="115">
        <f t="shared" si="8"/>
        <v>7</v>
      </c>
      <c r="Z15" s="116" t="s">
        <v>53</v>
      </c>
      <c r="AA15" s="526">
        <f t="shared" si="9"/>
        <v>2</v>
      </c>
      <c r="AB15" s="115" t="s">
        <v>54</v>
      </c>
      <c r="AC15" s="116">
        <f t="shared" si="43"/>
        <v>1.7</v>
      </c>
      <c r="AD15" s="526" t="s">
        <v>52</v>
      </c>
      <c r="AE15" s="117">
        <f t="shared" si="44"/>
        <v>2</v>
      </c>
      <c r="AF15" s="527"/>
      <c r="AG15" s="114">
        <f t="shared" si="45"/>
        <v>3</v>
      </c>
      <c r="AH15" s="526" t="s">
        <v>52</v>
      </c>
      <c r="AI15" s="115">
        <f t="shared" si="10"/>
        <v>8</v>
      </c>
      <c r="AJ15" s="116" t="s">
        <v>53</v>
      </c>
      <c r="AK15" s="526">
        <f t="shared" si="11"/>
        <v>2</v>
      </c>
      <c r="AL15" s="115" t="s">
        <v>54</v>
      </c>
      <c r="AM15" s="246">
        <v>1</v>
      </c>
      <c r="AN15" s="244" t="s">
        <v>52</v>
      </c>
      <c r="AO15" s="245">
        <v>1</v>
      </c>
      <c r="AP15" s="246" t="s">
        <v>53</v>
      </c>
      <c r="AQ15" s="244">
        <v>0</v>
      </c>
      <c r="AR15" s="245" t="s">
        <v>54</v>
      </c>
      <c r="AS15" s="246">
        <v>0</v>
      </c>
      <c r="AT15" s="244" t="s">
        <v>52</v>
      </c>
      <c r="AU15" s="245">
        <v>0</v>
      </c>
      <c r="AV15" s="246" t="s">
        <v>53</v>
      </c>
      <c r="AW15" s="244">
        <v>0</v>
      </c>
      <c r="AX15" s="245" t="s">
        <v>54</v>
      </c>
      <c r="AY15" s="246">
        <v>2</v>
      </c>
      <c r="AZ15" s="244" t="s">
        <v>52</v>
      </c>
      <c r="BA15" s="245">
        <v>7</v>
      </c>
      <c r="BB15" s="246" t="s">
        <v>53</v>
      </c>
      <c r="BC15" s="244">
        <v>2</v>
      </c>
      <c r="BD15" s="245" t="s">
        <v>54</v>
      </c>
      <c r="BE15" s="116">
        <v>0</v>
      </c>
      <c r="BF15" s="526" t="s">
        <v>52</v>
      </c>
      <c r="BG15" s="117">
        <v>0</v>
      </c>
      <c r="BH15" s="115"/>
      <c r="BI15" s="114">
        <f t="shared" si="12"/>
        <v>0</v>
      </c>
      <c r="BJ15" s="526" t="s">
        <v>52</v>
      </c>
      <c r="BK15" s="115">
        <f t="shared" si="46"/>
        <v>0</v>
      </c>
      <c r="BL15" s="116" t="s">
        <v>53</v>
      </c>
      <c r="BM15" s="526">
        <f t="shared" si="13"/>
        <v>0</v>
      </c>
      <c r="BN15" s="115" t="s">
        <v>54</v>
      </c>
      <c r="BO15" s="246">
        <v>0</v>
      </c>
      <c r="BP15" s="244" t="s">
        <v>52</v>
      </c>
      <c r="BQ15" s="245">
        <v>0</v>
      </c>
      <c r="BR15" s="246" t="s">
        <v>53</v>
      </c>
      <c r="BS15" s="244">
        <v>0</v>
      </c>
      <c r="BT15" s="245" t="s">
        <v>54</v>
      </c>
      <c r="BU15" s="246">
        <v>0</v>
      </c>
      <c r="BV15" s="244" t="s">
        <v>52</v>
      </c>
      <c r="BW15" s="245">
        <v>0</v>
      </c>
      <c r="BX15" s="246" t="s">
        <v>53</v>
      </c>
      <c r="BY15" s="244">
        <v>0</v>
      </c>
      <c r="BZ15" s="245" t="s">
        <v>54</v>
      </c>
      <c r="CA15" s="246">
        <v>0</v>
      </c>
      <c r="CB15" s="244" t="s">
        <v>52</v>
      </c>
      <c r="CC15" s="245">
        <v>0</v>
      </c>
      <c r="CD15" s="246" t="s">
        <v>53</v>
      </c>
      <c r="CE15" s="244">
        <v>0</v>
      </c>
      <c r="CF15" s="245" t="s">
        <v>54</v>
      </c>
      <c r="CG15" s="116">
        <v>0</v>
      </c>
      <c r="CH15" s="526" t="s">
        <v>52</v>
      </c>
      <c r="CI15" s="117">
        <v>0</v>
      </c>
      <c r="CJ15" s="140">
        <v>0</v>
      </c>
      <c r="CK15" s="148">
        <f t="shared" si="47"/>
        <v>3</v>
      </c>
      <c r="CL15" s="148">
        <v>3</v>
      </c>
      <c r="CM15" s="148">
        <v>0</v>
      </c>
      <c r="CN15" s="148">
        <f t="shared" si="48"/>
        <v>3</v>
      </c>
      <c r="CO15" s="175">
        <v>4</v>
      </c>
      <c r="CP15" s="140">
        <v>4</v>
      </c>
      <c r="CQ15" s="175">
        <v>1</v>
      </c>
      <c r="CR15" s="148">
        <v>2</v>
      </c>
      <c r="CS15" s="148">
        <v>0</v>
      </c>
      <c r="CT15" s="140">
        <v>0</v>
      </c>
      <c r="CU15" s="140">
        <v>1</v>
      </c>
      <c r="CV15" s="148">
        <f t="shared" si="49"/>
        <v>9.6999999999999993</v>
      </c>
      <c r="CW15" s="140"/>
      <c r="CX15" s="164">
        <f t="shared" si="50"/>
        <v>130.6414442398636</v>
      </c>
      <c r="CY15" s="147">
        <f t="shared" si="14"/>
        <v>0.5196364619699555</v>
      </c>
      <c r="CZ15" s="165">
        <f t="shared" si="15"/>
        <v>0.25576407325885786</v>
      </c>
      <c r="DA15" s="164">
        <f t="shared" si="16"/>
        <v>108.56762172362406</v>
      </c>
      <c r="DB15" s="141"/>
      <c r="DC15" s="141"/>
      <c r="DD15" s="77">
        <f t="shared" si="51"/>
        <v>0.89857281418872104</v>
      </c>
      <c r="DE15" s="37">
        <f t="shared" si="52"/>
        <v>0.375</v>
      </c>
      <c r="DF15" s="37">
        <f t="shared" si="53"/>
        <v>0.2857142857142857</v>
      </c>
      <c r="DG15" s="37">
        <f t="shared" si="54"/>
        <v>0.5</v>
      </c>
      <c r="DH15" s="37">
        <f t="shared" si="17"/>
        <v>0</v>
      </c>
      <c r="DI15" s="37">
        <f t="shared" si="18"/>
        <v>0.27821896684656899</v>
      </c>
      <c r="DJ15" s="37">
        <f t="shared" si="19"/>
        <v>8.5605835952790463E-2</v>
      </c>
      <c r="DK15" s="37">
        <f t="shared" si="20"/>
        <v>0</v>
      </c>
      <c r="DL15" s="37">
        <f t="shared" si="21"/>
        <v>0.40468213359500949</v>
      </c>
      <c r="DM15" s="37">
        <f t="shared" si="22"/>
        <v>0.2625074464835539</v>
      </c>
      <c r="DN15" s="37">
        <f t="shared" si="55"/>
        <v>0</v>
      </c>
      <c r="DO15" s="37" t="str">
        <f t="shared" si="56"/>
        <v>0</v>
      </c>
      <c r="DP15" s="66">
        <f t="shared" si="57"/>
        <v>3.0840400925212026</v>
      </c>
      <c r="DQ15" s="78">
        <f t="shared" si="58"/>
        <v>6.1680801850424052</v>
      </c>
      <c r="DR15" s="6"/>
      <c r="DS15" s="36"/>
      <c r="DT15" s="75">
        <f t="shared" si="59"/>
        <v>34.21343099460293</v>
      </c>
      <c r="DU15" s="18">
        <f t="shared" si="23"/>
        <v>4.0503030266787921</v>
      </c>
      <c r="DV15" s="13">
        <f t="shared" si="60"/>
        <v>2.6931602112674469</v>
      </c>
      <c r="DW15" s="14">
        <f t="shared" si="24"/>
        <v>0.40911971831007082</v>
      </c>
      <c r="DX15" s="14">
        <f t="shared" si="25"/>
        <v>0.96296296296296291</v>
      </c>
      <c r="DY15" s="14">
        <f t="shared" si="61"/>
        <v>0.78200000000000003</v>
      </c>
      <c r="DZ15" s="15">
        <f t="shared" si="26"/>
        <v>17.071999999999999</v>
      </c>
      <c r="EA15" s="14">
        <f t="shared" si="62"/>
        <v>0.70256589641762168</v>
      </c>
      <c r="EB15" s="14">
        <f t="shared" si="27"/>
        <v>0.23809523809523808</v>
      </c>
      <c r="EC15" s="14">
        <f t="shared" si="28"/>
        <v>0.42467661691542286</v>
      </c>
      <c r="ED15" s="14">
        <f t="shared" si="63"/>
        <v>0</v>
      </c>
      <c r="EE15" s="19">
        <f t="shared" si="64"/>
        <v>3.7261904761904763</v>
      </c>
      <c r="EF15" s="67">
        <f t="shared" si="65"/>
        <v>1.8000000000000006E-2</v>
      </c>
      <c r="EG15" s="74">
        <f t="shared" si="66"/>
        <v>7.7944935028692681</v>
      </c>
      <c r="EH15" s="27">
        <f t="shared" si="67"/>
        <v>10.182838883330746</v>
      </c>
      <c r="EI15" s="25">
        <f t="shared" si="68"/>
        <v>7.1817605633798589</v>
      </c>
      <c r="EJ15" s="25">
        <f t="shared" si="69"/>
        <v>2.2760942760942759</v>
      </c>
      <c r="EK15" s="26">
        <f t="shared" si="29"/>
        <v>0</v>
      </c>
      <c r="EL15" s="29">
        <f t="shared" si="70"/>
        <v>0.71428571428571419</v>
      </c>
      <c r="EM15" s="30">
        <f t="shared" si="30"/>
        <v>0.33333333333333331</v>
      </c>
      <c r="EN15" s="30">
        <f t="shared" si="31"/>
        <v>0.55555555555555558</v>
      </c>
      <c r="EO15" s="31">
        <f t="shared" si="71"/>
        <v>1.3166666666666669</v>
      </c>
      <c r="EP15" s="31">
        <f t="shared" si="32"/>
        <v>1.652272577314146</v>
      </c>
      <c r="EQ15" s="31">
        <f t="shared" si="72"/>
        <v>2.9689392439808131</v>
      </c>
      <c r="ER15" s="93">
        <f t="shared" si="33"/>
        <v>0.48710541231388504</v>
      </c>
      <c r="ES15" s="109">
        <f t="shared" si="34"/>
        <v>106.88405614116314</v>
      </c>
      <c r="ET15" s="32">
        <f t="shared" si="35"/>
        <v>2.248062015503876</v>
      </c>
      <c r="EV15" s="277"/>
      <c r="EW15" s="278"/>
      <c r="EX15" s="37">
        <f t="shared" si="81"/>
        <v>1.7</v>
      </c>
      <c r="EY15" s="72">
        <f t="shared" si="73"/>
        <v>2</v>
      </c>
      <c r="EZ15" s="7">
        <v>0.85</v>
      </c>
      <c r="FB15" s="41"/>
      <c r="FC15" s="1"/>
      <c r="FD15" s="60" t="s">
        <v>82</v>
      </c>
      <c r="FE15" s="41" t="s">
        <v>243</v>
      </c>
      <c r="FF15" s="8">
        <f t="shared" si="36"/>
        <v>12.97</v>
      </c>
      <c r="FG15" s="43">
        <f t="shared" si="36"/>
        <v>3</v>
      </c>
      <c r="FH15" s="42" t="s">
        <v>52</v>
      </c>
      <c r="FI15" s="49">
        <f t="shared" si="74"/>
        <v>8</v>
      </c>
      <c r="FJ15" s="347">
        <f t="shared" si="75"/>
        <v>0.375</v>
      </c>
      <c r="FK15" s="325">
        <f t="shared" si="37"/>
        <v>2</v>
      </c>
      <c r="FL15" s="42" t="s">
        <v>52</v>
      </c>
      <c r="FM15" s="348">
        <f t="shared" si="38"/>
        <v>7</v>
      </c>
      <c r="FN15" s="347">
        <f t="shared" si="76"/>
        <v>0.2857142857142857</v>
      </c>
      <c r="FO15" s="349">
        <f t="shared" si="77"/>
        <v>0</v>
      </c>
      <c r="FP15" s="42" t="s">
        <v>52</v>
      </c>
      <c r="FQ15" s="350">
        <f t="shared" si="78"/>
        <v>0</v>
      </c>
      <c r="FR15" s="351" t="str">
        <f t="shared" si="79"/>
        <v>0</v>
      </c>
      <c r="FS15" s="4">
        <f t="shared" si="39"/>
        <v>0</v>
      </c>
      <c r="FT15" s="4">
        <f t="shared" si="39"/>
        <v>3</v>
      </c>
      <c r="FU15" s="4">
        <f t="shared" si="40"/>
        <v>3</v>
      </c>
      <c r="FV15" s="352">
        <f t="shared" si="40"/>
        <v>4</v>
      </c>
      <c r="FW15" s="4">
        <f t="shared" si="40"/>
        <v>4</v>
      </c>
      <c r="FX15" s="4">
        <f t="shared" si="40"/>
        <v>1</v>
      </c>
      <c r="FY15" s="4">
        <f t="shared" si="40"/>
        <v>2</v>
      </c>
      <c r="FZ15" s="4">
        <f t="shared" si="40"/>
        <v>0</v>
      </c>
      <c r="GA15" s="4">
        <f t="shared" si="40"/>
        <v>0</v>
      </c>
      <c r="GB15" s="4">
        <f t="shared" si="40"/>
        <v>1</v>
      </c>
      <c r="GC15" s="352">
        <f t="shared" si="40"/>
        <v>9.6999999999999993</v>
      </c>
      <c r="GD15" s="353">
        <f t="shared" si="80"/>
        <v>130.6414442398636</v>
      </c>
      <c r="GE15" s="4">
        <f t="shared" si="80"/>
        <v>0.5196364619699555</v>
      </c>
      <c r="GF15" s="4">
        <f t="shared" si="80"/>
        <v>0.25576407325885786</v>
      </c>
      <c r="GG15" s="354">
        <f t="shared" si="80"/>
        <v>108.56762172362406</v>
      </c>
      <c r="GH15" s="4"/>
      <c r="GJ15" s="82"/>
      <c r="GK15" s="24"/>
      <c r="GL15" s="185">
        <f>(CQ15/CQ48)*(EY49-EX49)</f>
        <v>9.375E-2</v>
      </c>
      <c r="GM15" s="185">
        <f>((E49/G49)*(1-(CJ49/(CJ49+CK48))))/((E49/G49)*(1-(CJ49/(CJ49+CK48)))+((1-(E49/G49)))*(CJ49/(CJ49+CK48)))</f>
        <v>0.83333333333333337</v>
      </c>
      <c r="GN15" s="24">
        <f>GK15+(GL15/10)+(GJ15*GM15*(1-(CJ49/(CJ49+CK48))))+(CK15*(1-GM15))</f>
        <v>0.50937499999999991</v>
      </c>
      <c r="GO15" s="213">
        <f>GN15/(DD15*EG49)</f>
        <v>1.7172942517608956E-2</v>
      </c>
    </row>
    <row r="16" spans="1:197" x14ac:dyDescent="0.2">
      <c r="A16" s="139"/>
      <c r="B16" s="430" t="s">
        <v>117</v>
      </c>
      <c r="C16" s="431" t="s">
        <v>216</v>
      </c>
      <c r="D16" s="483">
        <v>9.17</v>
      </c>
      <c r="E16" s="114">
        <f t="shared" si="0"/>
        <v>0</v>
      </c>
      <c r="F16" s="526" t="s">
        <v>52</v>
      </c>
      <c r="G16" s="115">
        <f t="shared" si="1"/>
        <v>3</v>
      </c>
      <c r="H16" s="116" t="s">
        <v>53</v>
      </c>
      <c r="I16" s="526">
        <f t="shared" si="41"/>
        <v>0</v>
      </c>
      <c r="J16" s="115" t="s">
        <v>54</v>
      </c>
      <c r="K16" s="116">
        <f t="shared" si="2"/>
        <v>0</v>
      </c>
      <c r="L16" s="526" t="s">
        <v>52</v>
      </c>
      <c r="M16" s="115">
        <f t="shared" si="3"/>
        <v>1</v>
      </c>
      <c r="N16" s="116" t="s">
        <v>53</v>
      </c>
      <c r="O16" s="526">
        <f t="shared" si="4"/>
        <v>0</v>
      </c>
      <c r="P16" s="115" t="s">
        <v>54</v>
      </c>
      <c r="Q16" s="116">
        <f t="shared" si="5"/>
        <v>0</v>
      </c>
      <c r="R16" s="526" t="s">
        <v>52</v>
      </c>
      <c r="S16" s="115">
        <f t="shared" si="42"/>
        <v>0</v>
      </c>
      <c r="T16" s="116" t="s">
        <v>53</v>
      </c>
      <c r="U16" s="526">
        <f t="shared" si="6"/>
        <v>0</v>
      </c>
      <c r="V16" s="115" t="s">
        <v>54</v>
      </c>
      <c r="W16" s="116">
        <f t="shared" si="7"/>
        <v>0</v>
      </c>
      <c r="X16" s="526" t="s">
        <v>52</v>
      </c>
      <c r="Y16" s="115">
        <f t="shared" si="8"/>
        <v>2</v>
      </c>
      <c r="Z16" s="116" t="s">
        <v>53</v>
      </c>
      <c r="AA16" s="526">
        <f t="shared" si="9"/>
        <v>0</v>
      </c>
      <c r="AB16" s="115" t="s">
        <v>54</v>
      </c>
      <c r="AC16" s="116">
        <f t="shared" si="43"/>
        <v>0.75</v>
      </c>
      <c r="AD16" s="526" t="s">
        <v>52</v>
      </c>
      <c r="AE16" s="117">
        <f t="shared" si="44"/>
        <v>1</v>
      </c>
      <c r="AF16" s="527"/>
      <c r="AG16" s="114">
        <f t="shared" si="45"/>
        <v>0</v>
      </c>
      <c r="AH16" s="526" t="s">
        <v>52</v>
      </c>
      <c r="AI16" s="115">
        <f t="shared" si="10"/>
        <v>2</v>
      </c>
      <c r="AJ16" s="116" t="s">
        <v>53</v>
      </c>
      <c r="AK16" s="526">
        <f t="shared" si="11"/>
        <v>0</v>
      </c>
      <c r="AL16" s="115" t="s">
        <v>54</v>
      </c>
      <c r="AM16" s="246">
        <v>0</v>
      </c>
      <c r="AN16" s="244" t="s">
        <v>52</v>
      </c>
      <c r="AO16" s="245">
        <v>0</v>
      </c>
      <c r="AP16" s="246" t="s">
        <v>53</v>
      </c>
      <c r="AQ16" s="244">
        <v>0</v>
      </c>
      <c r="AR16" s="245" t="s">
        <v>54</v>
      </c>
      <c r="AS16" s="246">
        <v>0</v>
      </c>
      <c r="AT16" s="244" t="s">
        <v>52</v>
      </c>
      <c r="AU16" s="245">
        <v>0</v>
      </c>
      <c r="AV16" s="246" t="s">
        <v>53</v>
      </c>
      <c r="AW16" s="244">
        <v>0</v>
      </c>
      <c r="AX16" s="245" t="s">
        <v>54</v>
      </c>
      <c r="AY16" s="246">
        <v>0</v>
      </c>
      <c r="AZ16" s="244" t="s">
        <v>52</v>
      </c>
      <c r="BA16" s="245">
        <v>2</v>
      </c>
      <c r="BB16" s="246" t="s">
        <v>53</v>
      </c>
      <c r="BC16" s="244">
        <v>0</v>
      </c>
      <c r="BD16" s="245" t="s">
        <v>54</v>
      </c>
      <c r="BE16" s="116">
        <v>0</v>
      </c>
      <c r="BF16" s="526" t="s">
        <v>52</v>
      </c>
      <c r="BG16" s="117">
        <v>0</v>
      </c>
      <c r="BH16" s="115"/>
      <c r="BI16" s="114">
        <f t="shared" si="12"/>
        <v>0</v>
      </c>
      <c r="BJ16" s="526" t="s">
        <v>52</v>
      </c>
      <c r="BK16" s="115">
        <f t="shared" si="46"/>
        <v>1</v>
      </c>
      <c r="BL16" s="116" t="s">
        <v>53</v>
      </c>
      <c r="BM16" s="526">
        <f t="shared" si="13"/>
        <v>0</v>
      </c>
      <c r="BN16" s="115" t="s">
        <v>54</v>
      </c>
      <c r="BO16" s="246">
        <v>0</v>
      </c>
      <c r="BP16" s="244" t="s">
        <v>52</v>
      </c>
      <c r="BQ16" s="245">
        <v>1</v>
      </c>
      <c r="BR16" s="246" t="s">
        <v>53</v>
      </c>
      <c r="BS16" s="244">
        <v>0</v>
      </c>
      <c r="BT16" s="245" t="s">
        <v>54</v>
      </c>
      <c r="BU16" s="246">
        <v>0</v>
      </c>
      <c r="BV16" s="244" t="s">
        <v>52</v>
      </c>
      <c r="BW16" s="245">
        <v>0</v>
      </c>
      <c r="BX16" s="246" t="s">
        <v>53</v>
      </c>
      <c r="BY16" s="244">
        <v>0</v>
      </c>
      <c r="BZ16" s="245" t="s">
        <v>54</v>
      </c>
      <c r="CA16" s="246">
        <v>0</v>
      </c>
      <c r="CB16" s="244" t="s">
        <v>52</v>
      </c>
      <c r="CC16" s="245">
        <v>0</v>
      </c>
      <c r="CD16" s="246" t="s">
        <v>53</v>
      </c>
      <c r="CE16" s="244">
        <v>0</v>
      </c>
      <c r="CF16" s="245" t="s">
        <v>54</v>
      </c>
      <c r="CG16" s="116">
        <v>0</v>
      </c>
      <c r="CH16" s="526" t="s">
        <v>52</v>
      </c>
      <c r="CI16" s="117">
        <v>0</v>
      </c>
      <c r="CJ16" s="140">
        <v>0</v>
      </c>
      <c r="CK16" s="148">
        <f t="shared" si="47"/>
        <v>4</v>
      </c>
      <c r="CL16" s="148">
        <v>2</v>
      </c>
      <c r="CM16" s="148">
        <v>2</v>
      </c>
      <c r="CN16" s="148">
        <f t="shared" si="48"/>
        <v>4</v>
      </c>
      <c r="CO16" s="175">
        <v>1</v>
      </c>
      <c r="CP16" s="140">
        <v>0</v>
      </c>
      <c r="CQ16" s="175">
        <v>0</v>
      </c>
      <c r="CR16" s="148">
        <v>1</v>
      </c>
      <c r="CS16" s="148">
        <v>0</v>
      </c>
      <c r="CT16" s="140">
        <v>2</v>
      </c>
      <c r="CU16" s="140">
        <v>0</v>
      </c>
      <c r="CV16" s="148">
        <f t="shared" si="49"/>
        <v>0.75</v>
      </c>
      <c r="CW16" s="140"/>
      <c r="CX16" s="164">
        <f t="shared" si="50"/>
        <v>31.392624678635915</v>
      </c>
      <c r="CY16" s="147">
        <f t="shared" si="14"/>
        <v>0.14741617134422053</v>
      </c>
      <c r="CZ16" s="165">
        <f t="shared" si="15"/>
        <v>0.22120102112469164</v>
      </c>
      <c r="DA16" s="164">
        <f t="shared" si="16"/>
        <v>114.1231717188202</v>
      </c>
      <c r="DB16" s="141"/>
      <c r="DC16" s="141"/>
      <c r="DD16" s="77">
        <f t="shared" si="51"/>
        <v>0.63530552861299705</v>
      </c>
      <c r="DE16" s="37">
        <f t="shared" si="52"/>
        <v>0</v>
      </c>
      <c r="DF16" s="37">
        <f t="shared" si="53"/>
        <v>0</v>
      </c>
      <c r="DG16" s="37">
        <f t="shared" si="54"/>
        <v>0</v>
      </c>
      <c r="DH16" s="37">
        <f t="shared" si="17"/>
        <v>0</v>
      </c>
      <c r="DI16" s="37">
        <f t="shared" si="18"/>
        <v>0.29981824790985101</v>
      </c>
      <c r="DJ16" s="37">
        <f t="shared" si="19"/>
        <v>0</v>
      </c>
      <c r="DK16" s="37">
        <f t="shared" si="20"/>
        <v>0</v>
      </c>
      <c r="DL16" s="37">
        <f t="shared" si="21"/>
        <v>0.10493638676844785</v>
      </c>
      <c r="DM16" s="37">
        <f t="shared" si="22"/>
        <v>4.7684554612656783E-2</v>
      </c>
      <c r="DN16" s="37">
        <f t="shared" si="55"/>
        <v>0.43114226480696816</v>
      </c>
      <c r="DO16" s="37">
        <f t="shared" si="56"/>
        <v>0.5</v>
      </c>
      <c r="DP16" s="66">
        <f t="shared" si="57"/>
        <v>0</v>
      </c>
      <c r="DQ16" s="78">
        <f t="shared" si="58"/>
        <v>4.3620501635768809</v>
      </c>
      <c r="DR16" s="6"/>
      <c r="DS16" s="36"/>
      <c r="DT16" s="75">
        <f t="shared" si="59"/>
        <v>-11.09574700109051</v>
      </c>
      <c r="DU16" s="18">
        <f t="shared" si="23"/>
        <v>0.68384003785953107</v>
      </c>
      <c r="DV16" s="13">
        <f t="shared" si="60"/>
        <v>0</v>
      </c>
      <c r="DW16" s="14">
        <f t="shared" si="24"/>
        <v>0.49421653919340147</v>
      </c>
      <c r="DX16" s="14">
        <f t="shared" si="25"/>
        <v>0.35416666666666669</v>
      </c>
      <c r="DY16" s="14">
        <f t="shared" si="61"/>
        <v>0.375</v>
      </c>
      <c r="DZ16" s="15">
        <f t="shared" si="26"/>
        <v>16.125</v>
      </c>
      <c r="EA16" s="14">
        <f t="shared" si="62"/>
        <v>0.59364933271974241</v>
      </c>
      <c r="EB16" s="14">
        <f t="shared" si="27"/>
        <v>0.33333333333333331</v>
      </c>
      <c r="EC16" s="14">
        <f t="shared" si="28"/>
        <v>0.42212041884816753</v>
      </c>
      <c r="ED16" s="14">
        <f t="shared" si="63"/>
        <v>0</v>
      </c>
      <c r="EE16" s="19">
        <f t="shared" si="64"/>
        <v>1.93</v>
      </c>
      <c r="EF16" s="67">
        <f t="shared" si="65"/>
        <v>2.5000000000000001E-2</v>
      </c>
      <c r="EG16" s="74">
        <f t="shared" si="66"/>
        <v>4.6388400378595307</v>
      </c>
      <c r="EH16" s="27">
        <f t="shared" si="67"/>
        <v>1.4562536425275348</v>
      </c>
      <c r="EI16" s="25">
        <f t="shared" si="68"/>
        <v>0</v>
      </c>
      <c r="EJ16" s="25">
        <f t="shared" si="69"/>
        <v>0.80277777777777781</v>
      </c>
      <c r="EK16" s="26">
        <f t="shared" si="29"/>
        <v>0</v>
      </c>
      <c r="EL16" s="29">
        <f t="shared" si="70"/>
        <v>0.68085106382978722</v>
      </c>
      <c r="EM16" s="30">
        <f t="shared" si="30"/>
        <v>0.23809523809523808</v>
      </c>
      <c r="EN16" s="30">
        <f t="shared" si="31"/>
        <v>0.4</v>
      </c>
      <c r="EO16" s="31">
        <f t="shared" si="71"/>
        <v>1.2765957446808511</v>
      </c>
      <c r="EP16" s="31">
        <f t="shared" si="32"/>
        <v>1.4809377386136164</v>
      </c>
      <c r="EQ16" s="31">
        <f t="shared" si="72"/>
        <v>2.7575334832944676</v>
      </c>
      <c r="ER16" s="93">
        <f t="shared" si="33"/>
        <v>0.65745877990192347</v>
      </c>
      <c r="ES16" s="109">
        <f t="shared" si="34"/>
        <v>122.38881514647176</v>
      </c>
      <c r="ET16" s="32">
        <f t="shared" si="35"/>
        <v>2.3664479850046862</v>
      </c>
      <c r="EV16" s="277"/>
      <c r="EW16" s="278"/>
      <c r="EX16" s="37">
        <f t="shared" si="81"/>
        <v>0.75</v>
      </c>
      <c r="EY16" s="72">
        <f t="shared" si="73"/>
        <v>1</v>
      </c>
      <c r="EZ16" s="7">
        <v>0.75</v>
      </c>
      <c r="FB16" s="57"/>
      <c r="FC16" s="178"/>
      <c r="FD16" s="216" t="s">
        <v>82</v>
      </c>
      <c r="FE16" s="180" t="s">
        <v>244</v>
      </c>
      <c r="FF16" s="181">
        <f t="shared" si="36"/>
        <v>9.17</v>
      </c>
      <c r="FG16" s="182">
        <f t="shared" si="36"/>
        <v>0</v>
      </c>
      <c r="FH16" s="183" t="s">
        <v>52</v>
      </c>
      <c r="FI16" s="184">
        <f t="shared" si="74"/>
        <v>3</v>
      </c>
      <c r="FJ16" s="193">
        <f t="shared" si="75"/>
        <v>0</v>
      </c>
      <c r="FK16" s="185">
        <f t="shared" si="37"/>
        <v>0</v>
      </c>
      <c r="FL16" s="183" t="s">
        <v>52</v>
      </c>
      <c r="FM16" s="186">
        <f t="shared" si="38"/>
        <v>2</v>
      </c>
      <c r="FN16" s="193">
        <f t="shared" si="76"/>
        <v>0</v>
      </c>
      <c r="FO16" s="261">
        <f t="shared" si="77"/>
        <v>0</v>
      </c>
      <c r="FP16" s="183" t="s">
        <v>52</v>
      </c>
      <c r="FQ16" s="268">
        <f t="shared" si="78"/>
        <v>0</v>
      </c>
      <c r="FR16" s="196" t="str">
        <f t="shared" si="79"/>
        <v>0</v>
      </c>
      <c r="FS16" s="179">
        <f t="shared" si="39"/>
        <v>0</v>
      </c>
      <c r="FT16" s="179">
        <f t="shared" si="39"/>
        <v>4</v>
      </c>
      <c r="FU16" s="179">
        <f t="shared" si="40"/>
        <v>4</v>
      </c>
      <c r="FV16" s="187">
        <f t="shared" si="40"/>
        <v>1</v>
      </c>
      <c r="FW16" s="179">
        <f t="shared" si="40"/>
        <v>0</v>
      </c>
      <c r="FX16" s="179">
        <f t="shared" si="40"/>
        <v>0</v>
      </c>
      <c r="FY16" s="179">
        <f t="shared" si="40"/>
        <v>1</v>
      </c>
      <c r="FZ16" s="179">
        <f t="shared" si="40"/>
        <v>0</v>
      </c>
      <c r="GA16" s="179">
        <f t="shared" si="40"/>
        <v>2</v>
      </c>
      <c r="GB16" s="179">
        <f t="shared" si="40"/>
        <v>0</v>
      </c>
      <c r="GC16" s="187">
        <f t="shared" si="40"/>
        <v>0.75</v>
      </c>
      <c r="GD16" s="203">
        <f t="shared" si="80"/>
        <v>31.392624678635915</v>
      </c>
      <c r="GE16" s="179">
        <f t="shared" si="80"/>
        <v>0.14741617134422053</v>
      </c>
      <c r="GF16" s="179">
        <f t="shared" si="80"/>
        <v>0.22120102112469164</v>
      </c>
      <c r="GG16" s="258">
        <f t="shared" si="80"/>
        <v>114.1231717188202</v>
      </c>
      <c r="GH16" s="179"/>
      <c r="GJ16" s="82"/>
      <c r="GK16" s="24"/>
      <c r="GL16" s="185">
        <f>(CQ16/CQ50)*(EY51-EX51)</f>
        <v>0</v>
      </c>
      <c r="GM16" s="185">
        <f>((E51/G51)*(1-(CJ51/(CJ51+CK50))))/((E51/G51)*(1-(CJ51/(CJ51+CK50)))+((1-(E51/G51)))*(CJ51/(CJ51+CK50)))</f>
        <v>0.71428571428571419</v>
      </c>
      <c r="GN16" s="24">
        <f>GK16+(GL16/10)+(GJ16*GM16*(1-(CJ51/(CJ51+CK50))))+(CK16*(1-GM16))</f>
        <v>1.1428571428571432</v>
      </c>
      <c r="GO16" s="213">
        <f>GN16/(DD16*EG51)</f>
        <v>5.4496633843036338E-2</v>
      </c>
    </row>
    <row r="17" spans="1:197" x14ac:dyDescent="0.2">
      <c r="A17" s="139"/>
      <c r="B17" s="430" t="s">
        <v>117</v>
      </c>
      <c r="C17" s="431" t="s">
        <v>217</v>
      </c>
      <c r="D17" s="483">
        <v>13.07</v>
      </c>
      <c r="E17" s="114">
        <f t="shared" si="0"/>
        <v>3</v>
      </c>
      <c r="F17" s="526" t="s">
        <v>52</v>
      </c>
      <c r="G17" s="115">
        <f t="shared" si="1"/>
        <v>4</v>
      </c>
      <c r="H17" s="116" t="s">
        <v>53</v>
      </c>
      <c r="I17" s="526">
        <f t="shared" si="41"/>
        <v>0</v>
      </c>
      <c r="J17" s="115" t="s">
        <v>54</v>
      </c>
      <c r="K17" s="116">
        <f t="shared" si="2"/>
        <v>3</v>
      </c>
      <c r="L17" s="526" t="s">
        <v>52</v>
      </c>
      <c r="M17" s="115">
        <f t="shared" si="3"/>
        <v>3</v>
      </c>
      <c r="N17" s="116" t="s">
        <v>53</v>
      </c>
      <c r="O17" s="526">
        <f t="shared" si="4"/>
        <v>0</v>
      </c>
      <c r="P17" s="115" t="s">
        <v>54</v>
      </c>
      <c r="Q17" s="116">
        <f t="shared" si="5"/>
        <v>0</v>
      </c>
      <c r="R17" s="526" t="s">
        <v>52</v>
      </c>
      <c r="S17" s="115">
        <f t="shared" si="42"/>
        <v>1</v>
      </c>
      <c r="T17" s="116" t="s">
        <v>53</v>
      </c>
      <c r="U17" s="526">
        <f t="shared" si="6"/>
        <v>0</v>
      </c>
      <c r="V17" s="115" t="s">
        <v>54</v>
      </c>
      <c r="W17" s="116">
        <f t="shared" si="7"/>
        <v>0</v>
      </c>
      <c r="X17" s="526" t="s">
        <v>52</v>
      </c>
      <c r="Y17" s="115">
        <f t="shared" si="8"/>
        <v>0</v>
      </c>
      <c r="Z17" s="116" t="s">
        <v>53</v>
      </c>
      <c r="AA17" s="526">
        <f t="shared" si="9"/>
        <v>0</v>
      </c>
      <c r="AB17" s="115" t="s">
        <v>54</v>
      </c>
      <c r="AC17" s="116">
        <f t="shared" si="43"/>
        <v>0</v>
      </c>
      <c r="AD17" s="526" t="s">
        <v>52</v>
      </c>
      <c r="AE17" s="117">
        <f t="shared" si="44"/>
        <v>0</v>
      </c>
      <c r="AF17" s="527"/>
      <c r="AG17" s="114">
        <f t="shared" si="45"/>
        <v>3</v>
      </c>
      <c r="AH17" s="526" t="s">
        <v>52</v>
      </c>
      <c r="AI17" s="115">
        <f t="shared" si="10"/>
        <v>4</v>
      </c>
      <c r="AJ17" s="116" t="s">
        <v>53</v>
      </c>
      <c r="AK17" s="526">
        <f t="shared" si="11"/>
        <v>0</v>
      </c>
      <c r="AL17" s="115" t="s">
        <v>54</v>
      </c>
      <c r="AM17" s="246">
        <v>3</v>
      </c>
      <c r="AN17" s="244" t="s">
        <v>52</v>
      </c>
      <c r="AO17" s="245">
        <v>3</v>
      </c>
      <c r="AP17" s="246" t="s">
        <v>53</v>
      </c>
      <c r="AQ17" s="244">
        <v>0</v>
      </c>
      <c r="AR17" s="245" t="s">
        <v>54</v>
      </c>
      <c r="AS17" s="246">
        <v>0</v>
      </c>
      <c r="AT17" s="244" t="s">
        <v>52</v>
      </c>
      <c r="AU17" s="245">
        <v>1</v>
      </c>
      <c r="AV17" s="246" t="s">
        <v>53</v>
      </c>
      <c r="AW17" s="244">
        <v>0</v>
      </c>
      <c r="AX17" s="245" t="s">
        <v>54</v>
      </c>
      <c r="AY17" s="246">
        <v>0</v>
      </c>
      <c r="AZ17" s="244" t="s">
        <v>52</v>
      </c>
      <c r="BA17" s="245">
        <v>0</v>
      </c>
      <c r="BB17" s="246" t="s">
        <v>53</v>
      </c>
      <c r="BC17" s="244">
        <v>0</v>
      </c>
      <c r="BD17" s="245" t="s">
        <v>54</v>
      </c>
      <c r="BE17" s="116">
        <v>0</v>
      </c>
      <c r="BF17" s="526" t="s">
        <v>52</v>
      </c>
      <c r="BG17" s="117">
        <v>0</v>
      </c>
      <c r="BH17" s="115"/>
      <c r="BI17" s="114">
        <f t="shared" si="12"/>
        <v>0</v>
      </c>
      <c r="BJ17" s="526" t="s">
        <v>52</v>
      </c>
      <c r="BK17" s="115">
        <f t="shared" si="46"/>
        <v>0</v>
      </c>
      <c r="BL17" s="116" t="s">
        <v>53</v>
      </c>
      <c r="BM17" s="526">
        <f t="shared" si="13"/>
        <v>0</v>
      </c>
      <c r="BN17" s="115" t="s">
        <v>54</v>
      </c>
      <c r="BO17" s="246">
        <v>0</v>
      </c>
      <c r="BP17" s="244" t="s">
        <v>52</v>
      </c>
      <c r="BQ17" s="245">
        <v>0</v>
      </c>
      <c r="BR17" s="246" t="s">
        <v>53</v>
      </c>
      <c r="BS17" s="244">
        <v>0</v>
      </c>
      <c r="BT17" s="245" t="s">
        <v>54</v>
      </c>
      <c r="BU17" s="246">
        <v>0</v>
      </c>
      <c r="BV17" s="244" t="s">
        <v>52</v>
      </c>
      <c r="BW17" s="245">
        <v>0</v>
      </c>
      <c r="BX17" s="246" t="s">
        <v>53</v>
      </c>
      <c r="BY17" s="244">
        <v>0</v>
      </c>
      <c r="BZ17" s="245" t="s">
        <v>54</v>
      </c>
      <c r="CA17" s="246">
        <v>0</v>
      </c>
      <c r="CB17" s="244" t="s">
        <v>52</v>
      </c>
      <c r="CC17" s="245">
        <v>0</v>
      </c>
      <c r="CD17" s="246" t="s">
        <v>53</v>
      </c>
      <c r="CE17" s="244">
        <v>0</v>
      </c>
      <c r="CF17" s="245" t="s">
        <v>54</v>
      </c>
      <c r="CG17" s="116">
        <v>0</v>
      </c>
      <c r="CH17" s="526" t="s">
        <v>52</v>
      </c>
      <c r="CI17" s="117">
        <v>0</v>
      </c>
      <c r="CJ17" s="140">
        <v>0</v>
      </c>
      <c r="CK17" s="148">
        <f t="shared" si="47"/>
        <v>6</v>
      </c>
      <c r="CL17" s="148">
        <v>2</v>
      </c>
      <c r="CM17" s="148">
        <v>4</v>
      </c>
      <c r="CN17" s="148">
        <f t="shared" si="48"/>
        <v>6</v>
      </c>
      <c r="CO17" s="175">
        <v>1</v>
      </c>
      <c r="CP17" s="140">
        <v>0</v>
      </c>
      <c r="CQ17" s="175">
        <v>3</v>
      </c>
      <c r="CR17" s="148">
        <v>0</v>
      </c>
      <c r="CS17" s="148">
        <v>0</v>
      </c>
      <c r="CT17" s="140">
        <v>0</v>
      </c>
      <c r="CU17" s="140">
        <v>0</v>
      </c>
      <c r="CV17" s="148">
        <f t="shared" si="49"/>
        <v>6</v>
      </c>
      <c r="CW17" s="140"/>
      <c r="CX17" s="164">
        <f t="shared" si="50"/>
        <v>162.47398477713563</v>
      </c>
      <c r="CY17" s="147">
        <f t="shared" si="14"/>
        <v>0.79738769475405058</v>
      </c>
      <c r="CZ17" s="165">
        <f t="shared" si="15"/>
        <v>0.10622866291657308</v>
      </c>
      <c r="DA17" s="164">
        <f t="shared" si="16"/>
        <v>112.98815564455668</v>
      </c>
      <c r="DB17" s="141"/>
      <c r="DC17" s="141"/>
      <c r="DD17" s="77">
        <f t="shared" si="51"/>
        <v>0.90550090065124011</v>
      </c>
      <c r="DE17" s="37">
        <f t="shared" si="52"/>
        <v>0.75</v>
      </c>
      <c r="DF17" s="37" t="str">
        <f t="shared" si="53"/>
        <v>0</v>
      </c>
      <c r="DG17" s="37">
        <f t="shared" si="54"/>
        <v>0.75</v>
      </c>
      <c r="DH17" s="37">
        <f t="shared" si="17"/>
        <v>0</v>
      </c>
      <c r="DI17" s="37">
        <f t="shared" si="18"/>
        <v>0.3155317521040551</v>
      </c>
      <c r="DJ17" s="37">
        <f t="shared" si="19"/>
        <v>0</v>
      </c>
      <c r="DK17" s="37">
        <f t="shared" si="20"/>
        <v>0</v>
      </c>
      <c r="DL17" s="37">
        <f t="shared" si="21"/>
        <v>9.2030094363682743E-2</v>
      </c>
      <c r="DM17" s="37">
        <f t="shared" si="22"/>
        <v>3.3455804575215201E-2</v>
      </c>
      <c r="DN17" s="37">
        <f t="shared" si="55"/>
        <v>0</v>
      </c>
      <c r="DO17" s="37" t="str">
        <f t="shared" si="56"/>
        <v>0</v>
      </c>
      <c r="DP17" s="66">
        <f t="shared" si="57"/>
        <v>9.1813312930374895</v>
      </c>
      <c r="DQ17" s="78">
        <f t="shared" si="58"/>
        <v>0</v>
      </c>
      <c r="DR17" s="6"/>
      <c r="DS17" s="36"/>
      <c r="DT17" s="75">
        <f t="shared" si="59"/>
        <v>22.183397092578428</v>
      </c>
      <c r="DU17" s="18">
        <f t="shared" si="23"/>
        <v>2.5318604563646621</v>
      </c>
      <c r="DV17" s="13">
        <f t="shared" si="60"/>
        <v>2.3953306765218469</v>
      </c>
      <c r="DW17" s="14">
        <f t="shared" si="24"/>
        <v>0.53748384309169184</v>
      </c>
      <c r="DX17" s="14">
        <f t="shared" si="25"/>
        <v>0.30434782608695654</v>
      </c>
      <c r="DY17" s="14" t="str">
        <f t="shared" si="61"/>
        <v>0</v>
      </c>
      <c r="DZ17" s="15">
        <f t="shared" si="26"/>
        <v>16.125</v>
      </c>
      <c r="EA17" s="14">
        <f t="shared" si="62"/>
        <v>0.59364933271974241</v>
      </c>
      <c r="EB17" s="14">
        <f t="shared" si="27"/>
        <v>0.33333333333333331</v>
      </c>
      <c r="EC17" s="14">
        <f t="shared" si="28"/>
        <v>0.42212041884816753</v>
      </c>
      <c r="ED17" s="14">
        <f t="shared" si="63"/>
        <v>0</v>
      </c>
      <c r="EE17" s="19">
        <f t="shared" si="64"/>
        <v>0.64333333333333331</v>
      </c>
      <c r="EF17" s="67" t="str">
        <f t="shared" si="65"/>
        <v>0</v>
      </c>
      <c r="EG17" s="74">
        <f t="shared" si="66"/>
        <v>3.1751937896979952</v>
      </c>
      <c r="EH17" s="27">
        <f t="shared" si="67"/>
        <v>5.1588638745184765</v>
      </c>
      <c r="EI17" s="25">
        <f t="shared" si="68"/>
        <v>4.7906613530436939</v>
      </c>
      <c r="EJ17" s="25">
        <f t="shared" si="69"/>
        <v>0.71014492753623193</v>
      </c>
      <c r="EK17" s="26">
        <f t="shared" si="29"/>
        <v>0</v>
      </c>
      <c r="EL17" s="29">
        <f t="shared" si="70"/>
        <v>0.68085106382978722</v>
      </c>
      <c r="EM17" s="30">
        <f t="shared" si="30"/>
        <v>0.23809523809523808</v>
      </c>
      <c r="EN17" s="30">
        <f t="shared" si="31"/>
        <v>0.4</v>
      </c>
      <c r="EO17" s="31">
        <f t="shared" si="71"/>
        <v>1.9148936170212767</v>
      </c>
      <c r="EP17" s="31">
        <f t="shared" si="32"/>
        <v>2.1587803973478699</v>
      </c>
      <c r="EQ17" s="31">
        <f t="shared" si="72"/>
        <v>4.0736740143691463</v>
      </c>
      <c r="ER17" s="93">
        <f t="shared" si="33"/>
        <v>0.68144020863933275</v>
      </c>
      <c r="ES17" s="109">
        <f t="shared" si="34"/>
        <v>122.38881514647176</v>
      </c>
      <c r="ET17" s="32">
        <f t="shared" si="35"/>
        <v>2.3664479850046862</v>
      </c>
      <c r="EV17" s="277"/>
      <c r="EW17" s="278"/>
      <c r="EX17" s="37">
        <f>AC17</f>
        <v>0</v>
      </c>
      <c r="EY17" s="72">
        <f>AE17</f>
        <v>0</v>
      </c>
      <c r="EZ17" s="7">
        <v>0.75</v>
      </c>
      <c r="FB17" s="57"/>
      <c r="FC17" s="1"/>
      <c r="FD17" s="60" t="s">
        <v>82</v>
      </c>
      <c r="FE17" s="41" t="s">
        <v>245</v>
      </c>
      <c r="FF17" s="8">
        <f t="shared" si="36"/>
        <v>13.07</v>
      </c>
      <c r="FG17" s="43">
        <f t="shared" si="36"/>
        <v>3</v>
      </c>
      <c r="FH17" s="42"/>
      <c r="FI17" s="49">
        <f t="shared" si="74"/>
        <v>4</v>
      </c>
      <c r="FJ17" s="347">
        <f t="shared" si="75"/>
        <v>0.75</v>
      </c>
      <c r="FK17" s="325">
        <f t="shared" si="37"/>
        <v>0</v>
      </c>
      <c r="FL17" s="42"/>
      <c r="FM17" s="348">
        <f t="shared" si="38"/>
        <v>0</v>
      </c>
      <c r="FN17" s="347" t="str">
        <f t="shared" si="76"/>
        <v>0</v>
      </c>
      <c r="FO17" s="349">
        <f t="shared" si="77"/>
        <v>0</v>
      </c>
      <c r="FP17" s="42"/>
      <c r="FQ17" s="350">
        <f t="shared" si="78"/>
        <v>0</v>
      </c>
      <c r="FR17" s="351" t="str">
        <f t="shared" si="79"/>
        <v>0</v>
      </c>
      <c r="FS17" s="4">
        <f t="shared" si="39"/>
        <v>0</v>
      </c>
      <c r="FT17" s="4">
        <f t="shared" si="39"/>
        <v>6</v>
      </c>
      <c r="FU17" s="4">
        <f t="shared" si="40"/>
        <v>6</v>
      </c>
      <c r="FV17" s="352">
        <f t="shared" si="40"/>
        <v>1</v>
      </c>
      <c r="FW17" s="4">
        <f t="shared" si="40"/>
        <v>0</v>
      </c>
      <c r="FX17" s="4">
        <f t="shared" si="40"/>
        <v>3</v>
      </c>
      <c r="FY17" s="4">
        <f t="shared" si="40"/>
        <v>0</v>
      </c>
      <c r="FZ17" s="4">
        <f t="shared" si="40"/>
        <v>0</v>
      </c>
      <c r="GA17" s="4">
        <f t="shared" si="40"/>
        <v>0</v>
      </c>
      <c r="GB17" s="4">
        <f t="shared" si="40"/>
        <v>0</v>
      </c>
      <c r="GC17" s="352">
        <f t="shared" si="40"/>
        <v>6</v>
      </c>
      <c r="GD17" s="353">
        <f t="shared" si="80"/>
        <v>162.47398477713563</v>
      </c>
      <c r="GE17" s="4">
        <f t="shared" si="80"/>
        <v>0.79738769475405058</v>
      </c>
      <c r="GF17" s="4">
        <f t="shared" si="80"/>
        <v>0.10622866291657308</v>
      </c>
      <c r="GG17" s="354">
        <f t="shared" si="80"/>
        <v>112.98815564455668</v>
      </c>
      <c r="GH17" s="4"/>
      <c r="GJ17" s="82"/>
      <c r="GK17" s="24"/>
      <c r="GL17" s="185"/>
      <c r="GM17" s="185"/>
      <c r="GN17" s="24"/>
      <c r="GO17" s="213"/>
    </row>
    <row r="18" spans="1:197" x14ac:dyDescent="0.2">
      <c r="A18" s="139"/>
      <c r="B18" s="430" t="s">
        <v>117</v>
      </c>
      <c r="C18" s="431" t="s">
        <v>218</v>
      </c>
      <c r="D18" s="483">
        <v>8.07</v>
      </c>
      <c r="E18" s="114">
        <f t="shared" si="0"/>
        <v>3</v>
      </c>
      <c r="F18" s="526" t="s">
        <v>52</v>
      </c>
      <c r="G18" s="115">
        <f t="shared" si="1"/>
        <v>3</v>
      </c>
      <c r="H18" s="116" t="s">
        <v>53</v>
      </c>
      <c r="I18" s="526">
        <f t="shared" si="41"/>
        <v>1</v>
      </c>
      <c r="J18" s="115" t="s">
        <v>54</v>
      </c>
      <c r="K18" s="116">
        <f t="shared" si="2"/>
        <v>3</v>
      </c>
      <c r="L18" s="526" t="s">
        <v>52</v>
      </c>
      <c r="M18" s="115">
        <f t="shared" si="3"/>
        <v>3</v>
      </c>
      <c r="N18" s="116" t="s">
        <v>53</v>
      </c>
      <c r="O18" s="526">
        <f t="shared" si="4"/>
        <v>1</v>
      </c>
      <c r="P18" s="115" t="s">
        <v>54</v>
      </c>
      <c r="Q18" s="116">
        <f t="shared" si="5"/>
        <v>0</v>
      </c>
      <c r="R18" s="526" t="s">
        <v>52</v>
      </c>
      <c r="S18" s="115">
        <f t="shared" si="42"/>
        <v>0</v>
      </c>
      <c r="T18" s="116" t="s">
        <v>53</v>
      </c>
      <c r="U18" s="526">
        <f t="shared" si="6"/>
        <v>0</v>
      </c>
      <c r="V18" s="115" t="s">
        <v>54</v>
      </c>
      <c r="W18" s="116">
        <f t="shared" si="7"/>
        <v>0</v>
      </c>
      <c r="X18" s="526" t="s">
        <v>52</v>
      </c>
      <c r="Y18" s="115">
        <f t="shared" si="8"/>
        <v>0</v>
      </c>
      <c r="Z18" s="116" t="s">
        <v>53</v>
      </c>
      <c r="AA18" s="526">
        <f t="shared" si="9"/>
        <v>0</v>
      </c>
      <c r="AB18" s="115" t="s">
        <v>54</v>
      </c>
      <c r="AC18" s="116">
        <f t="shared" si="43"/>
        <v>0.75</v>
      </c>
      <c r="AD18" s="526" t="s">
        <v>52</v>
      </c>
      <c r="AE18" s="117">
        <f t="shared" si="44"/>
        <v>1</v>
      </c>
      <c r="AF18" s="527"/>
      <c r="AG18" s="114">
        <f>IFERROR(AM18+AS18+AY18,"0")</f>
        <v>2</v>
      </c>
      <c r="AH18" s="526" t="s">
        <v>52</v>
      </c>
      <c r="AI18" s="115">
        <f t="shared" si="10"/>
        <v>2</v>
      </c>
      <c r="AJ18" s="116" t="s">
        <v>53</v>
      </c>
      <c r="AK18" s="526">
        <f t="shared" si="11"/>
        <v>0</v>
      </c>
      <c r="AL18" s="115" t="s">
        <v>54</v>
      </c>
      <c r="AM18" s="246">
        <v>2</v>
      </c>
      <c r="AN18" s="244" t="s">
        <v>52</v>
      </c>
      <c r="AO18" s="245">
        <v>2</v>
      </c>
      <c r="AP18" s="246" t="s">
        <v>53</v>
      </c>
      <c r="AQ18" s="244">
        <v>0</v>
      </c>
      <c r="AR18" s="245" t="s">
        <v>54</v>
      </c>
      <c r="AS18" s="246">
        <v>0</v>
      </c>
      <c r="AT18" s="244" t="s">
        <v>52</v>
      </c>
      <c r="AU18" s="245">
        <v>0</v>
      </c>
      <c r="AV18" s="246" t="s">
        <v>53</v>
      </c>
      <c r="AW18" s="244">
        <v>0</v>
      </c>
      <c r="AX18" s="245" t="s">
        <v>54</v>
      </c>
      <c r="AY18" s="246">
        <v>0</v>
      </c>
      <c r="AZ18" s="244" t="s">
        <v>52</v>
      </c>
      <c r="BA18" s="245">
        <v>0</v>
      </c>
      <c r="BB18" s="246" t="s">
        <v>53</v>
      </c>
      <c r="BC18" s="244">
        <v>0</v>
      </c>
      <c r="BD18" s="245" t="s">
        <v>54</v>
      </c>
      <c r="BE18" s="116">
        <v>0</v>
      </c>
      <c r="BF18" s="526" t="s">
        <v>52</v>
      </c>
      <c r="BG18" s="117">
        <v>0</v>
      </c>
      <c r="BH18" s="115"/>
      <c r="BI18" s="114">
        <f t="shared" si="12"/>
        <v>1</v>
      </c>
      <c r="BJ18" s="526" t="s">
        <v>52</v>
      </c>
      <c r="BK18" s="115">
        <f t="shared" si="46"/>
        <v>1</v>
      </c>
      <c r="BL18" s="116" t="s">
        <v>53</v>
      </c>
      <c r="BM18" s="526">
        <f t="shared" si="13"/>
        <v>1</v>
      </c>
      <c r="BN18" s="115" t="s">
        <v>54</v>
      </c>
      <c r="BO18" s="246">
        <v>1</v>
      </c>
      <c r="BP18" s="244" t="s">
        <v>52</v>
      </c>
      <c r="BQ18" s="245">
        <v>1</v>
      </c>
      <c r="BR18" s="246" t="s">
        <v>53</v>
      </c>
      <c r="BS18" s="244">
        <v>1</v>
      </c>
      <c r="BT18" s="245" t="s">
        <v>54</v>
      </c>
      <c r="BU18" s="246">
        <v>0</v>
      </c>
      <c r="BV18" s="244" t="s">
        <v>52</v>
      </c>
      <c r="BW18" s="245">
        <v>0</v>
      </c>
      <c r="BX18" s="246" t="s">
        <v>53</v>
      </c>
      <c r="BY18" s="244">
        <v>0</v>
      </c>
      <c r="BZ18" s="245" t="s">
        <v>54</v>
      </c>
      <c r="CA18" s="246">
        <v>0</v>
      </c>
      <c r="CB18" s="244" t="s">
        <v>52</v>
      </c>
      <c r="CC18" s="245">
        <v>0</v>
      </c>
      <c r="CD18" s="246" t="s">
        <v>53</v>
      </c>
      <c r="CE18" s="244">
        <v>0</v>
      </c>
      <c r="CF18" s="245" t="s">
        <v>54</v>
      </c>
      <c r="CG18" s="116">
        <v>0</v>
      </c>
      <c r="CH18" s="526" t="s">
        <v>52</v>
      </c>
      <c r="CI18" s="117">
        <v>0</v>
      </c>
      <c r="CJ18" s="140">
        <v>0</v>
      </c>
      <c r="CK18" s="148">
        <f t="shared" si="47"/>
        <v>0</v>
      </c>
      <c r="CL18" s="148">
        <v>0</v>
      </c>
      <c r="CM18" s="148">
        <v>0</v>
      </c>
      <c r="CN18" s="148">
        <f t="shared" si="48"/>
        <v>0</v>
      </c>
      <c r="CO18" s="175">
        <v>2</v>
      </c>
      <c r="CP18" s="140">
        <v>1</v>
      </c>
      <c r="CQ18" s="175">
        <v>0</v>
      </c>
      <c r="CR18" s="148">
        <v>1</v>
      </c>
      <c r="CS18" s="148">
        <v>0</v>
      </c>
      <c r="CT18" s="140">
        <v>1</v>
      </c>
      <c r="CU18" s="140">
        <v>0</v>
      </c>
      <c r="CV18" s="148">
        <f t="shared" si="49"/>
        <v>6.75</v>
      </c>
      <c r="CW18" s="140"/>
      <c r="CX18" s="164">
        <f t="shared" si="50"/>
        <v>154.37972705020474</v>
      </c>
      <c r="CY18" s="147">
        <f t="shared" si="14"/>
        <v>0.74962673073981734</v>
      </c>
      <c r="CZ18" s="165">
        <f t="shared" si="15"/>
        <v>0.22182446190979893</v>
      </c>
      <c r="DA18" s="164">
        <f t="shared" si="16"/>
        <v>128.5286634012416</v>
      </c>
      <c r="DB18" s="141"/>
      <c r="DC18" s="141"/>
      <c r="DD18" s="77">
        <f t="shared" si="51"/>
        <v>0.55909657752528752</v>
      </c>
      <c r="DE18" s="37">
        <f t="shared" si="52"/>
        <v>1</v>
      </c>
      <c r="DF18" s="37" t="str">
        <f t="shared" si="53"/>
        <v>0</v>
      </c>
      <c r="DG18" s="37">
        <f t="shared" si="54"/>
        <v>1</v>
      </c>
      <c r="DH18" s="37">
        <f t="shared" si="17"/>
        <v>0</v>
      </c>
      <c r="DI18" s="37">
        <f t="shared" si="18"/>
        <v>0</v>
      </c>
      <c r="DJ18" s="37">
        <f t="shared" si="19"/>
        <v>0</v>
      </c>
      <c r="DK18" s="37">
        <f t="shared" si="20"/>
        <v>0</v>
      </c>
      <c r="DL18" s="37">
        <f t="shared" si="21"/>
        <v>0.2980999586947542</v>
      </c>
      <c r="DM18" s="37">
        <f t="shared" si="22"/>
        <v>0.16255292408849914</v>
      </c>
      <c r="DN18" s="37">
        <f t="shared" si="55"/>
        <v>0.24426660415627571</v>
      </c>
      <c r="DO18" s="37">
        <f t="shared" si="56"/>
        <v>2</v>
      </c>
      <c r="DP18" s="66">
        <f t="shared" si="57"/>
        <v>0</v>
      </c>
      <c r="DQ18" s="78">
        <f t="shared" si="58"/>
        <v>4.9566294919454768</v>
      </c>
      <c r="DR18" s="6"/>
      <c r="DS18" s="36"/>
      <c r="DT18" s="75">
        <f t="shared" si="59"/>
        <v>37.583395291201988</v>
      </c>
      <c r="DU18" s="18">
        <f t="shared" si="23"/>
        <v>3.0688875105506632</v>
      </c>
      <c r="DV18" s="13">
        <f t="shared" si="60"/>
        <v>2.3139677203567239</v>
      </c>
      <c r="DW18" s="14">
        <f t="shared" si="24"/>
        <v>0.45735485309551732</v>
      </c>
      <c r="DX18" s="14">
        <f t="shared" si="25"/>
        <v>0.58333333333333337</v>
      </c>
      <c r="DY18" s="14">
        <f t="shared" si="61"/>
        <v>0.375</v>
      </c>
      <c r="DZ18" s="15">
        <f t="shared" si="26"/>
        <v>16.125</v>
      </c>
      <c r="EA18" s="14">
        <f t="shared" si="62"/>
        <v>0.59364933271974241</v>
      </c>
      <c r="EB18" s="14">
        <f t="shared" si="27"/>
        <v>0.33333333333333331</v>
      </c>
      <c r="EC18" s="14">
        <f t="shared" si="28"/>
        <v>0.42212041884816753</v>
      </c>
      <c r="ED18" s="14">
        <f t="shared" si="63"/>
        <v>0</v>
      </c>
      <c r="EE18" s="19">
        <f t="shared" si="64"/>
        <v>0</v>
      </c>
      <c r="EF18" s="67">
        <f t="shared" si="65"/>
        <v>2.5000000000000001E-2</v>
      </c>
      <c r="EG18" s="74">
        <f t="shared" si="66"/>
        <v>4.0938875105506636</v>
      </c>
      <c r="EH18" s="27">
        <f t="shared" si="67"/>
        <v>6.3201323645305356</v>
      </c>
      <c r="EI18" s="25">
        <f t="shared" si="68"/>
        <v>4.6279354407134479</v>
      </c>
      <c r="EJ18" s="25">
        <f t="shared" si="69"/>
        <v>1.3611111111111114</v>
      </c>
      <c r="EK18" s="26">
        <f t="shared" si="29"/>
        <v>0</v>
      </c>
      <c r="EL18" s="29">
        <f t="shared" si="70"/>
        <v>0.68085106382978722</v>
      </c>
      <c r="EM18" s="30">
        <f t="shared" si="30"/>
        <v>0.23809523809523808</v>
      </c>
      <c r="EN18" s="30">
        <f t="shared" si="31"/>
        <v>0.4</v>
      </c>
      <c r="EO18" s="31">
        <f t="shared" si="71"/>
        <v>0</v>
      </c>
      <c r="EP18" s="31">
        <f t="shared" si="32"/>
        <v>1.3032898092270322</v>
      </c>
      <c r="EQ18" s="31">
        <f t="shared" si="72"/>
        <v>1.3032898092270322</v>
      </c>
      <c r="ER18" s="93">
        <f t="shared" si="33"/>
        <v>0.35308928237432707</v>
      </c>
      <c r="ES18" s="109">
        <f t="shared" si="34"/>
        <v>122.38881514647176</v>
      </c>
      <c r="ET18" s="32">
        <f t="shared" si="35"/>
        <v>2.3664479850046862</v>
      </c>
      <c r="EV18" s="277"/>
      <c r="EW18" s="278"/>
      <c r="EX18" s="37">
        <f>AC18</f>
        <v>0.75</v>
      </c>
      <c r="EY18" s="72">
        <f>AE18</f>
        <v>1</v>
      </c>
      <c r="EZ18" s="7">
        <v>0.75</v>
      </c>
      <c r="FB18" s="57"/>
      <c r="FC18" s="178"/>
      <c r="FD18" s="216" t="s">
        <v>82</v>
      </c>
      <c r="FE18" s="180" t="s">
        <v>246</v>
      </c>
      <c r="FF18" s="181">
        <f t="shared" si="36"/>
        <v>8.07</v>
      </c>
      <c r="FG18" s="182">
        <f t="shared" si="36"/>
        <v>3</v>
      </c>
      <c r="FH18" s="183" t="s">
        <v>52</v>
      </c>
      <c r="FI18" s="184">
        <f t="shared" si="74"/>
        <v>3</v>
      </c>
      <c r="FJ18" s="193">
        <f t="shared" si="75"/>
        <v>1</v>
      </c>
      <c r="FK18" s="185">
        <f t="shared" si="37"/>
        <v>0</v>
      </c>
      <c r="FL18" s="183" t="s">
        <v>52</v>
      </c>
      <c r="FM18" s="186">
        <f t="shared" si="38"/>
        <v>0</v>
      </c>
      <c r="FN18" s="193" t="str">
        <f t="shared" si="76"/>
        <v>0</v>
      </c>
      <c r="FO18" s="261">
        <f t="shared" si="77"/>
        <v>0</v>
      </c>
      <c r="FP18" s="183" t="s">
        <v>52</v>
      </c>
      <c r="FQ18" s="268">
        <f>EW18</f>
        <v>0</v>
      </c>
      <c r="FR18" s="196" t="str">
        <f t="shared" si="79"/>
        <v>0</v>
      </c>
      <c r="FS18" s="179">
        <f t="shared" si="39"/>
        <v>0</v>
      </c>
      <c r="FT18" s="179">
        <f t="shared" si="39"/>
        <v>0</v>
      </c>
      <c r="FU18" s="179">
        <f t="shared" si="40"/>
        <v>0</v>
      </c>
      <c r="FV18" s="187">
        <f t="shared" si="40"/>
        <v>2</v>
      </c>
      <c r="FW18" s="179">
        <f t="shared" si="40"/>
        <v>1</v>
      </c>
      <c r="FX18" s="179">
        <f t="shared" si="40"/>
        <v>0</v>
      </c>
      <c r="FY18" s="179">
        <f t="shared" si="40"/>
        <v>1</v>
      </c>
      <c r="FZ18" s="179">
        <f t="shared" si="40"/>
        <v>0</v>
      </c>
      <c r="GA18" s="179">
        <f t="shared" si="40"/>
        <v>1</v>
      </c>
      <c r="GB18" s="179">
        <f t="shared" si="40"/>
        <v>0</v>
      </c>
      <c r="GC18" s="187">
        <f t="shared" si="40"/>
        <v>6.75</v>
      </c>
      <c r="GD18" s="203">
        <f t="shared" si="80"/>
        <v>154.37972705020474</v>
      </c>
      <c r="GE18" s="179">
        <f t="shared" si="80"/>
        <v>0.74962673073981734</v>
      </c>
      <c r="GF18" s="179">
        <f t="shared" si="80"/>
        <v>0.22182446190979893</v>
      </c>
      <c r="GG18" s="258">
        <f t="shared" si="80"/>
        <v>128.5286634012416</v>
      </c>
      <c r="GH18" s="179"/>
      <c r="GJ18" s="82"/>
      <c r="GK18" s="24"/>
      <c r="GL18" s="185">
        <f>(CQ18/CQ51)*(EY52-EX52)</f>
        <v>0</v>
      </c>
      <c r="GM18" s="185">
        <f>((E53/G53)*(1-(CJ53/(CJ53+CK52))))/((E53/G53)*(1-(CJ53/(CJ53+CK52)))+((1-(E53/G53)))*(CJ53/(CJ53+CK52)))</f>
        <v>0.5161290322580645</v>
      </c>
      <c r="GN18" s="24">
        <f>GK18+(GL18/10)+(GJ18*GM18*(1-(CJ53/(CJ53+CK52))))+(CK18*(1-GM18))</f>
        <v>0</v>
      </c>
      <c r="GO18" s="213">
        <f>GN18/(DD18*EG53)</f>
        <v>0</v>
      </c>
    </row>
    <row r="19" spans="1:197" ht="17" thickBot="1" x14ac:dyDescent="0.25">
      <c r="A19" s="139"/>
      <c r="B19" s="430" t="s">
        <v>117</v>
      </c>
      <c r="C19" s="431" t="s">
        <v>71</v>
      </c>
      <c r="D19" s="142"/>
      <c r="E19" s="114"/>
      <c r="F19" s="526"/>
      <c r="G19" s="115"/>
      <c r="H19" s="116"/>
      <c r="I19" s="526"/>
      <c r="J19" s="115"/>
      <c r="K19" s="116"/>
      <c r="L19" s="526"/>
      <c r="M19" s="115"/>
      <c r="N19" s="116"/>
      <c r="O19" s="526"/>
      <c r="P19" s="115"/>
      <c r="Q19" s="116"/>
      <c r="R19" s="526"/>
      <c r="S19" s="115"/>
      <c r="T19" s="116"/>
      <c r="U19" s="526"/>
      <c r="V19" s="115"/>
      <c r="W19" s="116"/>
      <c r="X19" s="526"/>
      <c r="Y19" s="115"/>
      <c r="Z19" s="116"/>
      <c r="AA19" s="526"/>
      <c r="AB19" s="115"/>
      <c r="AC19" s="116"/>
      <c r="AD19" s="526"/>
      <c r="AE19" s="117"/>
      <c r="AF19" s="527"/>
      <c r="AG19" s="114"/>
      <c r="AH19" s="526"/>
      <c r="AI19" s="115"/>
      <c r="AJ19" s="116"/>
      <c r="AK19" s="526"/>
      <c r="AL19" s="115"/>
      <c r="AM19" s="116"/>
      <c r="AN19" s="526"/>
      <c r="AO19" s="115"/>
      <c r="AP19" s="116"/>
      <c r="AQ19" s="526"/>
      <c r="AR19" s="115"/>
      <c r="AS19" s="116"/>
      <c r="AT19" s="526"/>
      <c r="AU19" s="115"/>
      <c r="AV19" s="116"/>
      <c r="AW19" s="526"/>
      <c r="AX19" s="115"/>
      <c r="AY19" s="116"/>
      <c r="AZ19" s="526"/>
      <c r="BA19" s="115"/>
      <c r="BB19" s="116"/>
      <c r="BC19" s="526"/>
      <c r="BD19" s="115"/>
      <c r="BE19" s="116"/>
      <c r="BF19" s="526"/>
      <c r="BG19" s="117"/>
      <c r="BH19" s="115"/>
      <c r="BI19" s="114"/>
      <c r="BJ19" s="526"/>
      <c r="BK19" s="115"/>
      <c r="BL19" s="116"/>
      <c r="BM19" s="526"/>
      <c r="BN19" s="115"/>
      <c r="BO19" s="116"/>
      <c r="BP19" s="526"/>
      <c r="BQ19" s="115"/>
      <c r="BR19" s="116"/>
      <c r="BS19" s="526"/>
      <c r="BT19" s="115"/>
      <c r="BU19" s="116"/>
      <c r="BV19" s="526"/>
      <c r="BW19" s="115"/>
      <c r="BX19" s="116"/>
      <c r="BY19" s="526"/>
      <c r="BZ19" s="115"/>
      <c r="CA19" s="116"/>
      <c r="CB19" s="526"/>
      <c r="CC19" s="115"/>
      <c r="CD19" s="116"/>
      <c r="CE19" s="526"/>
      <c r="CF19" s="115"/>
      <c r="CG19" s="116"/>
      <c r="CH19" s="526"/>
      <c r="CI19" s="117"/>
      <c r="CJ19" s="140">
        <v>2</v>
      </c>
      <c r="CK19" s="148">
        <v>2</v>
      </c>
      <c r="CL19" s="148"/>
      <c r="CM19" s="148"/>
      <c r="CN19" s="148">
        <f t="shared" si="48"/>
        <v>4</v>
      </c>
      <c r="CO19" s="175"/>
      <c r="CP19" s="140"/>
      <c r="CQ19" s="175"/>
      <c r="CR19" s="148"/>
      <c r="CS19" s="148"/>
      <c r="CT19" s="140">
        <v>1</v>
      </c>
      <c r="CU19" s="140"/>
      <c r="CV19" s="148"/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75"/>
      <c r="DU19" s="18">
        <f t="shared" si="23"/>
        <v>0</v>
      </c>
      <c r="DV19" s="13" t="str">
        <f t="shared" si="60"/>
        <v>0</v>
      </c>
      <c r="DW19" s="14" t="str">
        <f t="shared" si="24"/>
        <v>0</v>
      </c>
      <c r="DX19" s="14">
        <f t="shared" si="25"/>
        <v>0</v>
      </c>
      <c r="DY19" s="14" t="str">
        <f t="shared" si="61"/>
        <v>0</v>
      </c>
      <c r="DZ19" s="15">
        <f t="shared" si="26"/>
        <v>16.125</v>
      </c>
      <c r="EA19" s="14">
        <f t="shared" si="62"/>
        <v>0</v>
      </c>
      <c r="EB19" s="14">
        <f t="shared" si="27"/>
        <v>1</v>
      </c>
      <c r="EC19" s="14">
        <f t="shared" si="28"/>
        <v>0.42212041884816753</v>
      </c>
      <c r="ED19" s="14">
        <f t="shared" si="63"/>
        <v>0</v>
      </c>
      <c r="EE19" s="19">
        <f t="shared" si="64"/>
        <v>0</v>
      </c>
      <c r="EF19" s="67" t="str">
        <f t="shared" si="65"/>
        <v>0</v>
      </c>
      <c r="EG19" s="74">
        <f t="shared" si="66"/>
        <v>1</v>
      </c>
      <c r="EH19" s="27">
        <f t="shared" si="67"/>
        <v>0</v>
      </c>
      <c r="EI19" s="25" t="str">
        <f t="shared" si="68"/>
        <v>0</v>
      </c>
      <c r="EJ19" s="25">
        <f t="shared" si="69"/>
        <v>0</v>
      </c>
      <c r="EK19" s="26">
        <f t="shared" si="29"/>
        <v>0</v>
      </c>
      <c r="EL19" s="29" t="str">
        <f t="shared" si="70"/>
        <v>0</v>
      </c>
      <c r="EM19" s="30">
        <f t="shared" si="30"/>
        <v>0</v>
      </c>
      <c r="EN19" s="30" t="str">
        <f t="shared" si="31"/>
        <v>0</v>
      </c>
      <c r="EO19" s="31">
        <f t="shared" si="71"/>
        <v>2</v>
      </c>
      <c r="EP19" s="31" t="str">
        <f t="shared" si="32"/>
        <v>0</v>
      </c>
      <c r="EQ19" s="31">
        <f t="shared" si="72"/>
        <v>2</v>
      </c>
      <c r="ER19" s="93" t="str">
        <f t="shared" si="33"/>
        <v>0</v>
      </c>
      <c r="ES19" s="109">
        <f t="shared" si="34"/>
        <v>0</v>
      </c>
      <c r="ET19" s="32" t="str">
        <f t="shared" si="35"/>
        <v>0</v>
      </c>
      <c r="EV19" s="282"/>
      <c r="EW19" s="283"/>
      <c r="EX19" s="24"/>
      <c r="EY19" s="83"/>
      <c r="FC19" s="139"/>
      <c r="FD19" s="435" t="s">
        <v>117</v>
      </c>
      <c r="FE19" s="436" t="s">
        <v>71</v>
      </c>
      <c r="FF19" s="147"/>
      <c r="FG19" s="144"/>
      <c r="FH19" s="110"/>
      <c r="FI19" s="145"/>
      <c r="FJ19" s="194"/>
      <c r="FK19" s="110"/>
      <c r="FL19" s="110"/>
      <c r="FM19" s="168"/>
      <c r="FN19" s="194"/>
      <c r="FO19" s="110"/>
      <c r="FP19" s="110"/>
      <c r="FQ19" s="131"/>
      <c r="FR19" s="197"/>
      <c r="FS19" s="140">
        <f t="shared" si="39"/>
        <v>2</v>
      </c>
      <c r="FT19" s="140">
        <f t="shared" si="39"/>
        <v>2</v>
      </c>
      <c r="FU19" s="140">
        <f t="shared" si="40"/>
        <v>4</v>
      </c>
      <c r="FV19" s="175"/>
      <c r="FW19" s="140"/>
      <c r="FX19" s="140"/>
      <c r="FY19" s="140"/>
      <c r="FZ19" s="140"/>
      <c r="GA19" s="140">
        <f t="shared" si="40"/>
        <v>1</v>
      </c>
      <c r="GB19" s="140"/>
      <c r="GC19" s="175"/>
      <c r="GD19" s="175"/>
      <c r="GE19" s="140"/>
      <c r="GF19" s="140"/>
      <c r="GG19" s="140"/>
      <c r="GH19" s="140"/>
      <c r="GJ19" s="82"/>
      <c r="GK19" s="24"/>
      <c r="GL19" s="185"/>
      <c r="GM19" s="185"/>
      <c r="GN19" s="24"/>
      <c r="GO19" s="213"/>
    </row>
    <row r="20" spans="1:197" ht="17" thickBot="1" x14ac:dyDescent="0.25">
      <c r="A20" s="139"/>
      <c r="B20" s="531" t="s">
        <v>82</v>
      </c>
      <c r="C20" s="41" t="s">
        <v>71</v>
      </c>
      <c r="D20" s="142"/>
      <c r="E20" s="217"/>
      <c r="F20" s="218"/>
      <c r="G20" s="219"/>
      <c r="H20" s="220"/>
      <c r="I20" s="218"/>
      <c r="J20" s="219"/>
      <c r="K20" s="220"/>
      <c r="L20" s="218"/>
      <c r="M20" s="219"/>
      <c r="N20" s="220"/>
      <c r="O20" s="218"/>
      <c r="P20" s="219"/>
      <c r="Q20" s="220"/>
      <c r="R20" s="218"/>
      <c r="S20" s="219"/>
      <c r="T20" s="220"/>
      <c r="U20" s="218"/>
      <c r="V20" s="219"/>
      <c r="W20" s="220"/>
      <c r="X20" s="218"/>
      <c r="Y20" s="219"/>
      <c r="Z20" s="220"/>
      <c r="AA20" s="218"/>
      <c r="AB20" s="219"/>
      <c r="AC20" s="220"/>
      <c r="AD20" s="218"/>
      <c r="AE20" s="221"/>
      <c r="AF20" s="527"/>
      <c r="AG20" s="217"/>
      <c r="AH20" s="218"/>
      <c r="AI20" s="219"/>
      <c r="AJ20" s="220"/>
      <c r="AK20" s="218"/>
      <c r="AL20" s="219"/>
      <c r="AM20" s="220"/>
      <c r="AN20" s="218"/>
      <c r="AO20" s="219"/>
      <c r="AP20" s="220"/>
      <c r="AQ20" s="218"/>
      <c r="AR20" s="219"/>
      <c r="AS20" s="220"/>
      <c r="AT20" s="218"/>
      <c r="AU20" s="219"/>
      <c r="AV20" s="220"/>
      <c r="AW20" s="218"/>
      <c r="AX20" s="219"/>
      <c r="AY20" s="220"/>
      <c r="AZ20" s="218"/>
      <c r="BA20" s="219"/>
      <c r="BB20" s="220"/>
      <c r="BC20" s="218"/>
      <c r="BD20" s="219"/>
      <c r="BE20" s="220"/>
      <c r="BF20" s="218"/>
      <c r="BG20" s="221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8">
        <v>0</v>
      </c>
      <c r="CK20" s="148">
        <v>0</v>
      </c>
      <c r="CL20" s="148"/>
      <c r="CM20" s="148"/>
      <c r="CN20" s="148">
        <f t="shared" si="48"/>
        <v>0</v>
      </c>
      <c r="CO20" s="175"/>
      <c r="CP20" s="140"/>
      <c r="CQ20" s="175"/>
      <c r="CR20" s="148"/>
      <c r="CS20" s="148"/>
      <c r="CT20" s="140">
        <v>0</v>
      </c>
      <c r="CU20" s="140"/>
      <c r="CV20" s="148"/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76"/>
      <c r="DU20" s="18">
        <f t="shared" si="23"/>
        <v>0</v>
      </c>
      <c r="DV20" s="13" t="str">
        <f t="shared" si="60"/>
        <v>0</v>
      </c>
      <c r="DW20" s="14" t="str">
        <f t="shared" si="24"/>
        <v>0</v>
      </c>
      <c r="DX20" s="14">
        <f t="shared" si="25"/>
        <v>0</v>
      </c>
      <c r="DY20" s="14" t="str">
        <f t="shared" si="61"/>
        <v>0</v>
      </c>
      <c r="DZ20" s="15">
        <f t="shared" si="26"/>
        <v>16.125</v>
      </c>
      <c r="EA20" s="14">
        <f t="shared" si="62"/>
        <v>0</v>
      </c>
      <c r="EB20" s="14">
        <f t="shared" si="27"/>
        <v>1</v>
      </c>
      <c r="EC20" s="14">
        <f t="shared" si="28"/>
        <v>0.42212041884816753</v>
      </c>
      <c r="ED20" s="14">
        <f t="shared" si="63"/>
        <v>0</v>
      </c>
      <c r="EE20" s="19">
        <f t="shared" si="64"/>
        <v>0</v>
      </c>
      <c r="EF20" s="67" t="str">
        <f t="shared" si="65"/>
        <v>0</v>
      </c>
      <c r="EG20" s="74">
        <f t="shared" si="66"/>
        <v>0</v>
      </c>
      <c r="EH20" s="27">
        <f t="shared" si="67"/>
        <v>0</v>
      </c>
      <c r="EI20" s="25" t="str">
        <f t="shared" si="68"/>
        <v>0</v>
      </c>
      <c r="EJ20" s="25">
        <f t="shared" si="69"/>
        <v>0</v>
      </c>
      <c r="EK20" s="26">
        <f t="shared" si="29"/>
        <v>0</v>
      </c>
      <c r="EL20" s="29" t="str">
        <f t="shared" si="70"/>
        <v>0</v>
      </c>
      <c r="EM20" s="30">
        <f t="shared" si="30"/>
        <v>0</v>
      </c>
      <c r="EN20" s="30" t="str">
        <f t="shared" si="31"/>
        <v>0</v>
      </c>
      <c r="EO20" s="31">
        <f t="shared" si="71"/>
        <v>0</v>
      </c>
      <c r="EP20" s="31" t="str">
        <f t="shared" si="32"/>
        <v>0</v>
      </c>
      <c r="EQ20" s="31">
        <f t="shared" si="72"/>
        <v>0</v>
      </c>
      <c r="ER20" s="93" t="str">
        <f t="shared" si="33"/>
        <v>0</v>
      </c>
      <c r="ES20" s="109">
        <f t="shared" si="34"/>
        <v>0</v>
      </c>
      <c r="ET20" s="32" t="str">
        <f t="shared" si="35"/>
        <v>0</v>
      </c>
      <c r="EV20" s="284"/>
      <c r="EW20" s="285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7"/>
      <c r="FG20" s="144"/>
      <c r="FH20" s="110"/>
      <c r="FI20" s="145"/>
      <c r="FJ20" s="194"/>
      <c r="FK20" s="110"/>
      <c r="FL20" s="110"/>
      <c r="FM20" s="168"/>
      <c r="FN20" s="194"/>
      <c r="FO20" s="110"/>
      <c r="FP20" s="110"/>
      <c r="FQ20" s="131"/>
      <c r="FR20" s="197"/>
      <c r="FS20" s="140">
        <f t="shared" si="39"/>
        <v>0</v>
      </c>
      <c r="FT20" s="140">
        <f t="shared" si="39"/>
        <v>0</v>
      </c>
      <c r="FU20" s="140">
        <f t="shared" ref="FU20:FZ23" si="82">CN20</f>
        <v>0</v>
      </c>
      <c r="FV20" s="175"/>
      <c r="FW20" s="140"/>
      <c r="FX20" s="140"/>
      <c r="FY20" s="140"/>
      <c r="FZ20" s="140"/>
      <c r="GA20" s="140">
        <f t="shared" ref="GA20:GC23" si="83">CT20</f>
        <v>0</v>
      </c>
      <c r="GB20" s="140"/>
      <c r="GC20" s="175"/>
      <c r="GD20" s="176" t="s">
        <v>14</v>
      </c>
      <c r="GE20" s="177" t="s">
        <v>97</v>
      </c>
      <c r="GF20" s="177" t="s">
        <v>104</v>
      </c>
      <c r="GG20" s="155" t="s">
        <v>95</v>
      </c>
      <c r="GH20" s="140"/>
      <c r="GJ20" s="84"/>
      <c r="GK20" s="211"/>
      <c r="GL20" s="212"/>
      <c r="GM20" s="212"/>
      <c r="GN20" s="211"/>
      <c r="GO20" s="215"/>
    </row>
    <row r="21" spans="1:197" x14ac:dyDescent="0.2">
      <c r="A21" s="139"/>
      <c r="B21" s="140"/>
      <c r="C21" s="123" t="s">
        <v>219</v>
      </c>
      <c r="D21" s="124">
        <f>IFERROR(SUM(D4:D18),"0")</f>
        <v>144.34</v>
      </c>
      <c r="E21" s="163">
        <f>IFERROR(SUM(E4:E20),"0")</f>
        <v>29</v>
      </c>
      <c r="F21" s="118" t="s">
        <v>52</v>
      </c>
      <c r="G21" s="145">
        <f>IFERROR(SUM(G4:G20),"0")</f>
        <v>62</v>
      </c>
      <c r="H21" s="143" t="s">
        <v>53</v>
      </c>
      <c r="I21" s="230">
        <f>IFERROR(SUM(I4:I20),"0")</f>
        <v>16</v>
      </c>
      <c r="J21" s="145" t="s">
        <v>54</v>
      </c>
      <c r="K21" s="143">
        <f>IFERROR(SUM(K4:K20),"0")</f>
        <v>19</v>
      </c>
      <c r="L21" s="118" t="s">
        <v>52</v>
      </c>
      <c r="M21" s="145">
        <f>IFERROR(SUM(M4:M20),"0")</f>
        <v>25</v>
      </c>
      <c r="N21" s="143" t="s">
        <v>53</v>
      </c>
      <c r="O21" s="118">
        <f>IFERROR(SUM(O4:O20),"0")</f>
        <v>7</v>
      </c>
      <c r="P21" s="145" t="s">
        <v>54</v>
      </c>
      <c r="Q21" s="111">
        <f>IFERROR(SUM(Q4:Q20),"0")</f>
        <v>0</v>
      </c>
      <c r="R21" s="118" t="s">
        <v>52</v>
      </c>
      <c r="S21" s="145">
        <f>IFERROR(SUM(S4:S20),"0")</f>
        <v>6</v>
      </c>
      <c r="T21" s="143" t="s">
        <v>53</v>
      </c>
      <c r="U21" s="118">
        <f>IFERROR(SUM(U4:U20),"0")</f>
        <v>0</v>
      </c>
      <c r="V21" s="145" t="s">
        <v>54</v>
      </c>
      <c r="W21" s="143">
        <f>IFERROR(SUM(W4:W18),"0")</f>
        <v>10</v>
      </c>
      <c r="X21" s="118" t="s">
        <v>52</v>
      </c>
      <c r="Y21" s="145">
        <f>IFERROR(SUM(Y4:Y18),"0")</f>
        <v>31</v>
      </c>
      <c r="Z21" s="143" t="s">
        <v>53</v>
      </c>
      <c r="AA21" s="118">
        <f>IFERROR(SUM(AA4:AA18),"0")</f>
        <v>9</v>
      </c>
      <c r="AB21" s="111" t="s">
        <v>54</v>
      </c>
      <c r="AC21" s="143">
        <f>IFERROR(SUM(AC4:AC18),"0")</f>
        <v>8.65</v>
      </c>
      <c r="AD21" s="118" t="s">
        <v>52</v>
      </c>
      <c r="AE21" s="146">
        <f>IFERROR(SUM(AE4:AE18),"0")</f>
        <v>11</v>
      </c>
      <c r="AF21" s="129"/>
      <c r="AG21" s="144">
        <f>IFERROR(SUM(AG4:AG18),"0")</f>
        <v>24</v>
      </c>
      <c r="AH21" s="118" t="s">
        <v>52</v>
      </c>
      <c r="AI21" s="145">
        <f>IFERROR(SUM(AI4:AI18),"0")</f>
        <v>52</v>
      </c>
      <c r="AJ21" s="143" t="s">
        <v>53</v>
      </c>
      <c r="AK21" s="111">
        <f>IFERROR(SUM(AK4:AK18),"0")</f>
        <v>14</v>
      </c>
      <c r="AL21" s="145" t="s">
        <v>54</v>
      </c>
      <c r="AM21" s="143">
        <f>IFERROR(SUM(AM4:AM18),"0")</f>
        <v>16</v>
      </c>
      <c r="AN21" s="118" t="s">
        <v>52</v>
      </c>
      <c r="AO21" s="145">
        <f>IFERROR(SUM(AO4:AO18),"0")</f>
        <v>18</v>
      </c>
      <c r="AP21" s="143" t="s">
        <v>53</v>
      </c>
      <c r="AQ21" s="111">
        <f>IFERROR(SUM(AQ4:AQ18),"0")</f>
        <v>6</v>
      </c>
      <c r="AR21" s="111" t="s">
        <v>54</v>
      </c>
      <c r="AS21" s="143">
        <f>IFERROR(SUM(AS4:AS18),"0")</f>
        <v>0</v>
      </c>
      <c r="AT21" s="118" t="s">
        <v>52</v>
      </c>
      <c r="AU21" s="145">
        <f>IFERROR(SUM(AU4:AU18),"0")</f>
        <v>6</v>
      </c>
      <c r="AV21" s="143" t="s">
        <v>53</v>
      </c>
      <c r="AW21" s="111">
        <f>IFERROR(SUM(AW4:AW18),"0")</f>
        <v>0</v>
      </c>
      <c r="AX21" s="111" t="s">
        <v>54</v>
      </c>
      <c r="AY21" s="111">
        <f>IFERROR(SUM(AY4:AY18),"0")</f>
        <v>8</v>
      </c>
      <c r="AZ21" s="118" t="s">
        <v>52</v>
      </c>
      <c r="BA21" s="145">
        <f>IFERROR(SUM(BA4:BA18),"0")</f>
        <v>28</v>
      </c>
      <c r="BB21" s="143" t="s">
        <v>53</v>
      </c>
      <c r="BC21" s="118">
        <f>IFERROR(SUM(BC4:BC18),"0")</f>
        <v>8</v>
      </c>
      <c r="BD21" s="111" t="s">
        <v>54</v>
      </c>
      <c r="BE21" s="143">
        <f>IFERROR(SUM(BE4:BE18),"0")</f>
        <v>0</v>
      </c>
      <c r="BF21" s="118" t="s">
        <v>52</v>
      </c>
      <c r="BG21" s="146">
        <f>IFERROR(SUM(BG4:BG18),"0")</f>
        <v>0</v>
      </c>
      <c r="BH21" s="145"/>
      <c r="BI21" s="144">
        <f>IFERROR(SUM(BI4:BI18),"0")</f>
        <v>5</v>
      </c>
      <c r="BJ21" s="118" t="s">
        <v>52</v>
      </c>
      <c r="BK21" s="145">
        <f>IFERROR(SUM(BK4:BK18),"0")</f>
        <v>10</v>
      </c>
      <c r="BL21" s="143" t="s">
        <v>53</v>
      </c>
      <c r="BM21" s="118">
        <f>IFERROR(SUM(BM4:BM18),"0")</f>
        <v>2</v>
      </c>
      <c r="BN21" s="145" t="s">
        <v>54</v>
      </c>
      <c r="BO21" s="143">
        <f>IFERROR(SUM(BO4:BO18),"0")</f>
        <v>3</v>
      </c>
      <c r="BP21" s="118" t="s">
        <v>52</v>
      </c>
      <c r="BQ21" s="145">
        <f>IFERROR(SUM(BQ4:BQ18),"0")</f>
        <v>7</v>
      </c>
      <c r="BR21" s="143" t="s">
        <v>53</v>
      </c>
      <c r="BS21" s="118">
        <f>IFERROR(SUM(BS4:BS18),"0")</f>
        <v>1</v>
      </c>
      <c r="BT21" s="111" t="s">
        <v>54</v>
      </c>
      <c r="BU21" s="143">
        <f>IFERROR(SUM(BU4:BU18),"0")</f>
        <v>0</v>
      </c>
      <c r="BV21" s="118" t="s">
        <v>52</v>
      </c>
      <c r="BW21" s="145">
        <f>IFERROR(SUM(BW4:BW18),"0")</f>
        <v>0</v>
      </c>
      <c r="BX21" s="143" t="s">
        <v>53</v>
      </c>
      <c r="BY21" s="118">
        <f>IFERROR(SUM(BY4:BY18),"0")</f>
        <v>0</v>
      </c>
      <c r="BZ21" s="111" t="s">
        <v>54</v>
      </c>
      <c r="CA21" s="143">
        <f>IFERROR(SUM(CA4:CA18),"0")</f>
        <v>2</v>
      </c>
      <c r="CB21" s="118" t="s">
        <v>52</v>
      </c>
      <c r="CC21" s="145">
        <f>IFERROR(SUM(CC4:CC18),"0")</f>
        <v>3</v>
      </c>
      <c r="CD21" s="143" t="s">
        <v>53</v>
      </c>
      <c r="CE21" s="118">
        <f>IFERROR(SUM(CE4:CE18),"0")</f>
        <v>1</v>
      </c>
      <c r="CF21" s="145" t="s">
        <v>54</v>
      </c>
      <c r="CG21" s="143">
        <f>IFERROR(SUM(CG4:CG18),"0")</f>
        <v>0</v>
      </c>
      <c r="CH21" s="118" t="s">
        <v>52</v>
      </c>
      <c r="CI21" s="146">
        <f>IFERROR(SUM(CI4:CI18),"0")</f>
        <v>0</v>
      </c>
      <c r="CJ21" s="11">
        <f t="shared" ref="CJ21:CV21" si="84">IFERROR(SUM(CJ4:CJ20),"0")</f>
        <v>9</v>
      </c>
      <c r="CK21" s="129">
        <f>IFERROR(SUM(CK4:CK20),"0")</f>
        <v>24</v>
      </c>
      <c r="CL21" s="129">
        <f>IFERROR(SUM(CL4:CL20),"0")</f>
        <v>9</v>
      </c>
      <c r="CM21" s="129">
        <f t="shared" ref="CM21" si="85">IFERROR(SUM(CM4:CM20),"0")</f>
        <v>13</v>
      </c>
      <c r="CN21" s="129">
        <f t="shared" si="84"/>
        <v>33</v>
      </c>
      <c r="CO21" s="438">
        <f t="shared" si="84"/>
        <v>17</v>
      </c>
      <c r="CP21" s="11">
        <f t="shared" si="84"/>
        <v>21</v>
      </c>
      <c r="CQ21" s="356">
        <f t="shared" si="84"/>
        <v>11</v>
      </c>
      <c r="CR21" s="158">
        <f t="shared" si="84"/>
        <v>11</v>
      </c>
      <c r="CS21" s="129">
        <f t="shared" si="84"/>
        <v>7</v>
      </c>
      <c r="CT21" s="129">
        <f t="shared" si="84"/>
        <v>12</v>
      </c>
      <c r="CU21" s="129">
        <f t="shared" si="84"/>
        <v>1</v>
      </c>
      <c r="CV21" s="209">
        <f t="shared" si="84"/>
        <v>76.650000000000006</v>
      </c>
      <c r="CW21" s="11"/>
      <c r="CX21" s="150">
        <f>DG21</f>
        <v>0.54838709677419351</v>
      </c>
      <c r="CY21" s="151">
        <f>DN21</f>
        <v>0.17930570902979961</v>
      </c>
      <c r="CZ21" s="151">
        <f>DH21</f>
        <v>0.27272727272727271</v>
      </c>
      <c r="DA21" s="156">
        <f>FA21</f>
        <v>0.17741935483870969</v>
      </c>
      <c r="DB21" s="149" t="s">
        <v>219</v>
      </c>
      <c r="DC21" s="123"/>
      <c r="DD21" s="34"/>
      <c r="DE21" s="34"/>
      <c r="DF21" s="35"/>
      <c r="DG21" s="37">
        <f>IFERROR(((E21-W21)+1.5*W21)/G21,"0")</f>
        <v>0.54838709677419351</v>
      </c>
      <c r="DH21" s="37">
        <f>IFERROR(CJ21/(CJ21+CK21),"0")</f>
        <v>0.27272727272727271</v>
      </c>
      <c r="DI21" s="34"/>
      <c r="DJ21" s="35"/>
      <c r="DK21" s="35"/>
      <c r="DL21" s="35"/>
      <c r="DM21" s="35"/>
      <c r="DN21" s="37">
        <f>IFERROR(CT21/EG21,"0")</f>
        <v>0.17930570902979961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91" t="s">
        <v>39</v>
      </c>
      <c r="EG21" s="92">
        <f>IFERROR(SUM(EG4:EG20),"0")</f>
        <v>66.924807162752785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40" t="s">
        <v>219</v>
      </c>
      <c r="EX21" s="6">
        <f>IFERROR(SUM(EX4:EX18),"0")</f>
        <v>8.65</v>
      </c>
      <c r="EY21" s="6">
        <f>IFERROR(SUM(EY4:EY18),"0")</f>
        <v>11</v>
      </c>
      <c r="EZ21" s="6">
        <f>IFERROR(E21+(1-(1-(EX21/EY21))^2)*EY21*0.4,"0")</f>
        <v>33.19918181818182</v>
      </c>
      <c r="FA21" s="6">
        <f>IFERROR(EY21/G21,"0")</f>
        <v>0.17741935483870969</v>
      </c>
      <c r="FC21" s="234"/>
      <c r="FD21" s="235"/>
      <c r="FE21" s="236" t="s">
        <v>219</v>
      </c>
      <c r="FF21" s="237">
        <f t="shared" ref="FF21:FG23" si="86">D21</f>
        <v>144.34</v>
      </c>
      <c r="FG21" s="206">
        <f t="shared" si="86"/>
        <v>29</v>
      </c>
      <c r="FH21" s="238" t="s">
        <v>52</v>
      </c>
      <c r="FI21" s="210">
        <f t="shared" si="74"/>
        <v>62</v>
      </c>
      <c r="FJ21" s="239">
        <f t="shared" si="75"/>
        <v>0.46774193548387094</v>
      </c>
      <c r="FK21" s="234">
        <f>W21</f>
        <v>10</v>
      </c>
      <c r="FL21" s="238" t="s">
        <v>52</v>
      </c>
      <c r="FM21" s="240">
        <f>Y21</f>
        <v>31</v>
      </c>
      <c r="FN21" s="239">
        <f t="shared" si="76"/>
        <v>0.32258064516129031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9"/>
        <v>0</v>
      </c>
      <c r="FS21" s="235">
        <f t="shared" si="39"/>
        <v>9</v>
      </c>
      <c r="FT21" s="235">
        <f t="shared" si="39"/>
        <v>24</v>
      </c>
      <c r="FU21" s="235">
        <f t="shared" si="82"/>
        <v>33</v>
      </c>
      <c r="FV21" s="241">
        <f t="shared" si="82"/>
        <v>17</v>
      </c>
      <c r="FW21" s="235">
        <f t="shared" si="82"/>
        <v>21</v>
      </c>
      <c r="FX21" s="235">
        <f t="shared" si="82"/>
        <v>11</v>
      </c>
      <c r="FY21" s="235">
        <f t="shared" si="82"/>
        <v>11</v>
      </c>
      <c r="FZ21" s="235">
        <f t="shared" si="82"/>
        <v>7</v>
      </c>
      <c r="GA21" s="235">
        <f t="shared" si="83"/>
        <v>12</v>
      </c>
      <c r="GB21" s="235">
        <f t="shared" si="83"/>
        <v>1</v>
      </c>
      <c r="GC21" s="241">
        <f t="shared" si="83"/>
        <v>76.650000000000006</v>
      </c>
      <c r="GD21" s="204">
        <f t="shared" ref="GD21:GG23" si="87">CX21</f>
        <v>0.54838709677419351</v>
      </c>
      <c r="GE21" s="205">
        <f t="shared" si="87"/>
        <v>0.17930570902979961</v>
      </c>
      <c r="GF21" s="205">
        <f t="shared" si="87"/>
        <v>0.27272727272727271</v>
      </c>
      <c r="GG21" s="152">
        <f t="shared" si="87"/>
        <v>0.17741935483870969</v>
      </c>
      <c r="GH21" s="242"/>
      <c r="GO21" s="531"/>
    </row>
    <row r="22" spans="1:197" x14ac:dyDescent="0.2">
      <c r="A22" s="139"/>
      <c r="B22" s="139"/>
      <c r="C22" s="432" t="s">
        <v>116</v>
      </c>
      <c r="D22" s="121">
        <f>IFERROR(SUMIFS(D4:D20,B4:B20,"R"),"0")</f>
        <v>72.169999999999987</v>
      </c>
      <c r="E22" s="162">
        <f>IFERROR(SUMIFS(E4:E20,B4:B20,"R"),"0")</f>
        <v>15</v>
      </c>
      <c r="F22" s="143" t="s">
        <v>52</v>
      </c>
      <c r="G22" s="145">
        <f>IFERROR(SUMIFS(G4:G20,B4:B20,"R"),"0")</f>
        <v>27</v>
      </c>
      <c r="H22" s="143" t="s">
        <v>53</v>
      </c>
      <c r="I22" s="118">
        <f>IFERROR(SUMIFS(I4:I20,B4:B20,"R"),"0")</f>
        <v>7</v>
      </c>
      <c r="J22" s="145" t="s">
        <v>54</v>
      </c>
      <c r="K22" s="143">
        <f>IFERROR(SUMIFS(K4:K20,B4:B20,"R"),"0")</f>
        <v>11</v>
      </c>
      <c r="L22" s="143" t="s">
        <v>52</v>
      </c>
      <c r="M22" s="145">
        <f>IFERROR(SUMIFS(M4:M20,B4:B20,"R"),"0")</f>
        <v>13</v>
      </c>
      <c r="N22" s="143" t="s">
        <v>53</v>
      </c>
      <c r="O22" s="118">
        <f>IFERROR(SUMIFS(O4:O20,B4:B20,"R"),"0")</f>
        <v>4</v>
      </c>
      <c r="P22" s="145" t="s">
        <v>54</v>
      </c>
      <c r="Q22" s="111">
        <f>IFERROR(SUMIFS(Q4:Q20,B4:B20,"R"),"0")</f>
        <v>0</v>
      </c>
      <c r="R22" s="143" t="s">
        <v>52</v>
      </c>
      <c r="S22" s="145">
        <f>IFERROR(SUMIFS(S4:S20,B4:B20,"R"),"0")</f>
        <v>2</v>
      </c>
      <c r="T22" s="143" t="s">
        <v>53</v>
      </c>
      <c r="U22" s="118">
        <f>IFERROR(SUMIFS(U4:U20,B4:B20,"R"),"0")</f>
        <v>0</v>
      </c>
      <c r="V22" s="145" t="s">
        <v>54</v>
      </c>
      <c r="W22" s="143">
        <f>IFERROR(SUMIFS(W4:W20,B4:B20,"R"),"0")</f>
        <v>4</v>
      </c>
      <c r="X22" s="143" t="s">
        <v>52</v>
      </c>
      <c r="Y22" s="145">
        <f>IFERROR(SUMIFS(Y4:Y20,B4:B20,"R"),"0")</f>
        <v>12</v>
      </c>
      <c r="Z22" s="143" t="s">
        <v>53</v>
      </c>
      <c r="AA22" s="118">
        <f>IFERROR(SUMIFS(AA4:AA20,B4:B20,"R"),"0")</f>
        <v>3</v>
      </c>
      <c r="AB22" s="111" t="s">
        <v>54</v>
      </c>
      <c r="AC22" s="143">
        <f>IFERROR(SUMIFS(AC4:AC20,B4:B20,"R"),"0")</f>
        <v>2.25</v>
      </c>
      <c r="AD22" s="143" t="s">
        <v>52</v>
      </c>
      <c r="AE22" s="146">
        <f>IFERROR(SUMIFS(AE4:AE20,B4:B20,"R"),"0")</f>
        <v>3</v>
      </c>
      <c r="AF22" s="143"/>
      <c r="AG22" s="144">
        <f>IFERROR(SUMIFS(AG4:AG20,B4:B20,"R"),"0")</f>
        <v>11</v>
      </c>
      <c r="AH22" s="143" t="s">
        <v>52</v>
      </c>
      <c r="AI22" s="145">
        <f>IFERROR(SUMIFS(AI4:AI20,B4:B20,"R"),"0")</f>
        <v>22</v>
      </c>
      <c r="AJ22" s="143" t="s">
        <v>53</v>
      </c>
      <c r="AK22" s="111">
        <f>IFERROR(SUMIFS(AK4:AK20,B4:B20,"R"),"0")</f>
        <v>5</v>
      </c>
      <c r="AL22" s="145" t="s">
        <v>54</v>
      </c>
      <c r="AM22" s="143">
        <f>IFERROR(SUMIFS(AM4:AM20,B4:B20,"R"),"0")</f>
        <v>9</v>
      </c>
      <c r="AN22" s="143" t="s">
        <v>52</v>
      </c>
      <c r="AO22" s="145">
        <f>IFERROR(SUMIFS(AO4:AO20,B4:B20,"R"),"0")</f>
        <v>10</v>
      </c>
      <c r="AP22" s="143" t="s">
        <v>53</v>
      </c>
      <c r="AQ22" s="111">
        <f>IFERROR(SUMIFS(AQ4:AQ20,B4:B20,"R"),"0")</f>
        <v>3</v>
      </c>
      <c r="AR22" s="111" t="s">
        <v>54</v>
      </c>
      <c r="AS22" s="143">
        <f>IFERROR(SUMIFS(AS4:AS20,B4:B20,"R"),"0")</f>
        <v>0</v>
      </c>
      <c r="AT22" s="143" t="s">
        <v>52</v>
      </c>
      <c r="AU22" s="145">
        <f>IFERROR(SUMIFS(AU4:AU20,B4:B20,"R"),"0")</f>
        <v>2</v>
      </c>
      <c r="AV22" s="143" t="s">
        <v>53</v>
      </c>
      <c r="AW22" s="111">
        <f>IFERROR(SUMIFS(AW4:AW20,B4:B20,"R"),"0")</f>
        <v>0</v>
      </c>
      <c r="AX22" s="111" t="s">
        <v>54</v>
      </c>
      <c r="AY22" s="111">
        <f>IFERROR(SUMIFS(AY4:AY20,B4:B20,"R"),"0")</f>
        <v>2</v>
      </c>
      <c r="AZ22" s="143" t="s">
        <v>52</v>
      </c>
      <c r="BA22" s="145">
        <f>IFERROR(SUMIFS(BA4:BA20,B4:B20,"R"),"0")</f>
        <v>10</v>
      </c>
      <c r="BB22" s="143" t="s">
        <v>53</v>
      </c>
      <c r="BC22" s="118">
        <f>IFERROR(SUMIFS(BC4:BC20,B4:B20,"R"),"0")</f>
        <v>2</v>
      </c>
      <c r="BD22" s="111" t="s">
        <v>54</v>
      </c>
      <c r="BE22" s="143">
        <f>IFERROR(SUMIFS(BE4:BE20,B4:B20,"R"),"0")</f>
        <v>0</v>
      </c>
      <c r="BF22" s="143" t="s">
        <v>52</v>
      </c>
      <c r="BG22" s="146">
        <f>IFERROR(SUMIFS(BG4:BG20,B4:B20,"R"),"0")</f>
        <v>0</v>
      </c>
      <c r="BH22" s="143"/>
      <c r="BI22" s="144">
        <f>IFERROR(SUMIFS(BI4:BI20,B4:B20,"R"),"0")</f>
        <v>4</v>
      </c>
      <c r="BJ22" s="143" t="s">
        <v>52</v>
      </c>
      <c r="BK22" s="145">
        <f>IFERROR(SUMIFS(BK4:BK20,B4:B20,"R"),"0")</f>
        <v>5</v>
      </c>
      <c r="BL22" s="143" t="s">
        <v>53</v>
      </c>
      <c r="BM22" s="118">
        <f>IFERROR(SUMIFS(BM4:BM20,B4:B20,"R"),"0")</f>
        <v>2</v>
      </c>
      <c r="BN22" s="145" t="s">
        <v>54</v>
      </c>
      <c r="BO22" s="143">
        <f>IFERROR(SUMIFS(BO4:BO20,B4:B20,"R"),"0")</f>
        <v>2</v>
      </c>
      <c r="BP22" s="143" t="s">
        <v>52</v>
      </c>
      <c r="BQ22" s="145">
        <f>IFERROR(SUMIFS(BQ4:BQ20,B4:B20,"R"),"0")</f>
        <v>3</v>
      </c>
      <c r="BR22" s="143" t="s">
        <v>53</v>
      </c>
      <c r="BS22" s="143">
        <f>IFERROR(SUMIFS(BS4:BS20,B4:B20,"R"),"0")</f>
        <v>1</v>
      </c>
      <c r="BT22" s="111" t="s">
        <v>54</v>
      </c>
      <c r="BU22" s="143">
        <f>IFERROR(SUMIFS(BU4:BU20,B4:B20,"R"),"0")</f>
        <v>0</v>
      </c>
      <c r="BV22" s="143" t="s">
        <v>52</v>
      </c>
      <c r="BW22" s="145">
        <f>IFERROR(SUMIFS(BW4:BW20,B4:B20,"R"),"0")</f>
        <v>0</v>
      </c>
      <c r="BX22" s="143" t="s">
        <v>53</v>
      </c>
      <c r="BY22" s="118">
        <f>IFERROR(SUMIFS(BY4:BY20,B4:B20,"R"),"0")</f>
        <v>0</v>
      </c>
      <c r="BZ22" s="111" t="s">
        <v>54</v>
      </c>
      <c r="CA22" s="143">
        <f>IFERROR(SUMIFS(CA4:CA20,B4:B20,"R"),"0")</f>
        <v>2</v>
      </c>
      <c r="CB22" s="143" t="s">
        <v>52</v>
      </c>
      <c r="CC22" s="145">
        <f>IFERROR(SUMIFS(CC4:CC20,B4:B20,"R"),"0")</f>
        <v>2</v>
      </c>
      <c r="CD22" s="143" t="s">
        <v>53</v>
      </c>
      <c r="CE22" s="118">
        <f>IFERROR(SUMIFS(CE4:CE20,B4:B20,"R"),"0")</f>
        <v>1</v>
      </c>
      <c r="CF22" s="145" t="s">
        <v>54</v>
      </c>
      <c r="CG22" s="143">
        <f>IFERROR(SUMIFS(CG4:CG20,B4:B20,"R"),"0")</f>
        <v>0</v>
      </c>
      <c r="CH22" s="143" t="s">
        <v>52</v>
      </c>
      <c r="CI22" s="146">
        <f>IFERROR(SUMIFS(CI4:CI20,B4:B20,"R"),"0")</f>
        <v>0</v>
      </c>
      <c r="CJ22" s="118">
        <f>IFERROR(SUMIFS(CJ4:CJ20,B4:B20,"R"),"0")</f>
        <v>4</v>
      </c>
      <c r="CK22" s="118">
        <f>IFERROR(SUMIFS(CK4:CK20,B4:B20,"R"),"0")</f>
        <v>16</v>
      </c>
      <c r="CL22" s="118">
        <f t="shared" ref="CL22:CM22" si="88">IFERROR(SUMIFS(CL4:CL20,C4:C20,"R"),"0")</f>
        <v>0</v>
      </c>
      <c r="CM22" s="118">
        <f t="shared" si="88"/>
        <v>0</v>
      </c>
      <c r="CN22" s="118">
        <f>IFERROR(SUMIFS(CN4:CN20,B4:B20,"R"),"0")</f>
        <v>20</v>
      </c>
      <c r="CO22" s="175">
        <f>IFERROR(SUMIFS(CO4:CO20,B4:B20,"R"),"0")</f>
        <v>8</v>
      </c>
      <c r="CP22" s="118">
        <f>IFERROR(SUMIFS(CP4:CP20,B4:B20,"R"),"0")</f>
        <v>6</v>
      </c>
      <c r="CQ22" s="175">
        <f>IFERROR(SUMIFS(CQ4:CQ20,B4:B20,"R"),"0")</f>
        <v>8</v>
      </c>
      <c r="CR22" s="118">
        <f>IFERROR(SUMIFS(CR4:CR20,B4:B20,"R"),"0")</f>
        <v>3</v>
      </c>
      <c r="CS22" s="118">
        <f>IFERROR(SUMIFS(CS4:CS20,B4:B20,"R"),"0")</f>
        <v>1</v>
      </c>
      <c r="CT22" s="118">
        <f>IFERROR(SUMIFS(CT4:CT20,B4:B20,"R"),"0")</f>
        <v>10</v>
      </c>
      <c r="CU22" s="118">
        <f>IFERROR(SUMIFS(CU4:CU20,B4:B20,"R"),"0")</f>
        <v>0</v>
      </c>
      <c r="CV22" s="119">
        <f>IFERROR(SUMIFS(CV4:CV20,B4:B20,"R"),"0")</f>
        <v>36.25</v>
      </c>
      <c r="CW22" s="118"/>
      <c r="CX22" s="134">
        <f>DG22</f>
        <v>0.62962962962962965</v>
      </c>
      <c r="CY22" s="121">
        <f>DN22</f>
        <v>0.30294261174869241</v>
      </c>
      <c r="CZ22" s="121">
        <f>DH22</f>
        <v>0.33333333333333331</v>
      </c>
      <c r="DA22" s="135">
        <f>FA22</f>
        <v>0.1111111111111111</v>
      </c>
      <c r="DB22" s="433" t="s">
        <v>231</v>
      </c>
      <c r="DC22" s="116"/>
      <c r="DD22" s="34"/>
      <c r="DE22" s="34"/>
      <c r="DF22" s="35"/>
      <c r="DG22" s="37">
        <f>IFERROR(((E22-W22)+1.5*W22)/G22,"0")</f>
        <v>0.62962962962962965</v>
      </c>
      <c r="DH22" s="37">
        <f>IFERROR(CJ22/(CJ22+CK23),"0")</f>
        <v>0.33333333333333331</v>
      </c>
      <c r="DI22" s="34"/>
      <c r="DJ22" s="35"/>
      <c r="DK22" s="35"/>
      <c r="DL22" s="35"/>
      <c r="DM22" s="35"/>
      <c r="DN22" s="37">
        <f>IFERROR(CT22/EG22,"0")</f>
        <v>0.30294261174869241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434" t="s">
        <v>232</v>
      </c>
      <c r="EG22" s="37">
        <f>IFERROR(SUMIFS(EG4:EG20,B4:B20,"R"),"0")</f>
        <v>33.009552344836685</v>
      </c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IFERROR(SUMIFS(EX4:EX20,B4:B20,"R"),"0")</f>
        <v>2.25</v>
      </c>
      <c r="EY22" s="6">
        <f>IFERROR(SUMIFS(EY4:EY20,B4:B20,"R"),"0")</f>
        <v>3</v>
      </c>
      <c r="EZ22" s="6">
        <f>IFERROR(E22+(1-(1-(EX22/EY22))^2)*EY22*0.4,"0")</f>
        <v>16.125</v>
      </c>
      <c r="FA22" s="6">
        <f>IFERROR(EY22/G22,"0")</f>
        <v>0.1111111111111111</v>
      </c>
      <c r="FC22" s="139"/>
      <c r="FD22" s="139"/>
      <c r="FE22" s="437" t="s">
        <v>232</v>
      </c>
      <c r="FF22" s="121">
        <f t="shared" si="86"/>
        <v>72.169999999999987</v>
      </c>
      <c r="FG22" s="144">
        <f t="shared" si="86"/>
        <v>15</v>
      </c>
      <c r="FH22" s="526" t="s">
        <v>52</v>
      </c>
      <c r="FI22" s="145">
        <f t="shared" si="74"/>
        <v>27</v>
      </c>
      <c r="FJ22" s="194">
        <f t="shared" si="75"/>
        <v>0.55555555555555558</v>
      </c>
      <c r="FK22" s="110">
        <f>W22</f>
        <v>4</v>
      </c>
      <c r="FL22" s="526" t="s">
        <v>52</v>
      </c>
      <c r="FM22" s="168">
        <f>Y22</f>
        <v>12</v>
      </c>
      <c r="FN22" s="194">
        <f t="shared" si="76"/>
        <v>0.33333333333333331</v>
      </c>
      <c r="FO22" s="110">
        <f>IFERROR(SUMIFS(FO4:FO20,B4:B20,"R"),"0")</f>
        <v>0</v>
      </c>
      <c r="FP22" s="526" t="s">
        <v>52</v>
      </c>
      <c r="FQ22" s="131">
        <f>IFERROR(SUMIFS(FQ4:FQ20,B4:B20,"R"),"0")</f>
        <v>0</v>
      </c>
      <c r="FR22" s="197" t="str">
        <f t="shared" si="79"/>
        <v>0</v>
      </c>
      <c r="FS22" s="118">
        <f t="shared" si="39"/>
        <v>4</v>
      </c>
      <c r="FT22" s="118">
        <f t="shared" si="39"/>
        <v>16</v>
      </c>
      <c r="FU22" s="118">
        <f t="shared" si="82"/>
        <v>20</v>
      </c>
      <c r="FV22" s="175">
        <f t="shared" si="82"/>
        <v>8</v>
      </c>
      <c r="FW22" s="118">
        <f t="shared" si="82"/>
        <v>6</v>
      </c>
      <c r="FX22" s="118">
        <f t="shared" si="82"/>
        <v>8</v>
      </c>
      <c r="FY22" s="118">
        <f t="shared" si="82"/>
        <v>3</v>
      </c>
      <c r="FZ22" s="118">
        <f t="shared" si="82"/>
        <v>1</v>
      </c>
      <c r="GA22" s="118">
        <f t="shared" si="83"/>
        <v>10</v>
      </c>
      <c r="GB22" s="118">
        <f t="shared" si="83"/>
        <v>0</v>
      </c>
      <c r="GC22" s="175">
        <f t="shared" si="83"/>
        <v>36.25</v>
      </c>
      <c r="GD22" s="134">
        <f t="shared" si="87"/>
        <v>0.62962962962962965</v>
      </c>
      <c r="GE22" s="121">
        <f t="shared" si="87"/>
        <v>0.30294261174869241</v>
      </c>
      <c r="GF22" s="121">
        <f t="shared" si="87"/>
        <v>0.33333333333333331</v>
      </c>
      <c r="GG22" s="135">
        <f t="shared" si="87"/>
        <v>0.1111111111111111</v>
      </c>
      <c r="GH22" s="208"/>
      <c r="GO22" s="531"/>
    </row>
    <row r="23" spans="1:197" ht="17" thickBot="1" x14ac:dyDescent="0.25">
      <c r="A23" s="139"/>
      <c r="B23" s="139"/>
      <c r="C23" s="231" t="s">
        <v>220</v>
      </c>
      <c r="D23" s="121">
        <f>IFERROR(SUMIFS(D4:D20,B4:B20,"W"),"0")</f>
        <v>72.169999999999987</v>
      </c>
      <c r="E23" s="162">
        <f>IFERROR(SUMIFS(E4:E20,B4:B20,"W"),"0")</f>
        <v>14</v>
      </c>
      <c r="F23" s="143" t="s">
        <v>52</v>
      </c>
      <c r="G23" s="145">
        <f>IFERROR(SUMIFS(G4:G20,B4:B20,"W"),"0")</f>
        <v>35</v>
      </c>
      <c r="H23" s="143" t="s">
        <v>53</v>
      </c>
      <c r="I23" s="118">
        <f>IFERROR(SUMIFS(I4:I20,B4:B20,"W"),"0")</f>
        <v>9</v>
      </c>
      <c r="J23" s="145" t="s">
        <v>54</v>
      </c>
      <c r="K23" s="143">
        <f>IFERROR(SUMIFS(K4:K20,B4:B20,"W"),"0")</f>
        <v>8</v>
      </c>
      <c r="L23" s="143" t="s">
        <v>52</v>
      </c>
      <c r="M23" s="145">
        <f>IFERROR(SUMIFS(M4:M20,B4:B20,"W"),"0")</f>
        <v>12</v>
      </c>
      <c r="N23" s="143" t="s">
        <v>53</v>
      </c>
      <c r="O23" s="118">
        <f>IFERROR(SUMIFS(O4:O20,B4:B20,"W"),"0")</f>
        <v>3</v>
      </c>
      <c r="P23" s="145" t="s">
        <v>54</v>
      </c>
      <c r="Q23" s="111">
        <f>IFERROR(SUMIFS(Q4:Q20,B4:B20,"W"),"0")</f>
        <v>0</v>
      </c>
      <c r="R23" s="143" t="s">
        <v>52</v>
      </c>
      <c r="S23" s="145">
        <f>IFERROR(SUMIFS(S4:S20,B4:B20,"W"),"0")</f>
        <v>4</v>
      </c>
      <c r="T23" s="143" t="s">
        <v>53</v>
      </c>
      <c r="U23" s="118">
        <f>IFERROR(SUMIFS(U4:U20,B4:B20,"W"),"0")</f>
        <v>0</v>
      </c>
      <c r="V23" s="145" t="s">
        <v>54</v>
      </c>
      <c r="W23" s="143">
        <f>IFERROR(SUMIFS(W4:W20,B4:B20,"W"),"0")</f>
        <v>6</v>
      </c>
      <c r="X23" s="143" t="s">
        <v>52</v>
      </c>
      <c r="Y23" s="145">
        <f>IFERROR(SUMIFS(Y4:Y20,B4:B20,"W"),"0")</f>
        <v>19</v>
      </c>
      <c r="Z23" s="143" t="s">
        <v>53</v>
      </c>
      <c r="AA23" s="118">
        <f>IFERROR(SUMIFS(AA4:AA20,B4:B20,"W"),"0")</f>
        <v>6</v>
      </c>
      <c r="AB23" s="111" t="s">
        <v>54</v>
      </c>
      <c r="AC23" s="143">
        <f>IFERROR(SUMIFS(AC4:AC20,B4:B20,"W"),"0")</f>
        <v>6.4</v>
      </c>
      <c r="AD23" s="143" t="s">
        <v>52</v>
      </c>
      <c r="AE23" s="146">
        <f>IFERROR(SUMIFS(AE4:AE20,B4:B20,"W"),"0")</f>
        <v>8</v>
      </c>
      <c r="AF23" s="143"/>
      <c r="AG23" s="144">
        <f>IFERROR(SUMIFS(AG4:AG20,B4:B20,"W"),"0")</f>
        <v>13</v>
      </c>
      <c r="AH23" s="143" t="s">
        <v>52</v>
      </c>
      <c r="AI23" s="145">
        <f>IFERROR(SUMIFS(AI4:AI20,B4:B20,"W"),"0")</f>
        <v>30</v>
      </c>
      <c r="AJ23" s="143" t="s">
        <v>53</v>
      </c>
      <c r="AK23" s="111">
        <f>IFERROR(SUMIFS(AK4:AK20,B4:B20,"W"),"0")</f>
        <v>9</v>
      </c>
      <c r="AL23" s="145" t="s">
        <v>54</v>
      </c>
      <c r="AM23" s="143">
        <f>IFERROR(SUMIFS(AM4:AM20,B4:B20,"W"),"0")</f>
        <v>7</v>
      </c>
      <c r="AN23" s="143" t="s">
        <v>52</v>
      </c>
      <c r="AO23" s="145">
        <f>IFERROR(SUMIFS(AO4:AO20,B4:B20,"W"),"0")</f>
        <v>8</v>
      </c>
      <c r="AP23" s="143" t="s">
        <v>53</v>
      </c>
      <c r="AQ23" s="111">
        <f>IFERROR(SUMIFS(AQ4:AQ20,B4:B20,"W"),"0")</f>
        <v>3</v>
      </c>
      <c r="AR23" s="111" t="s">
        <v>54</v>
      </c>
      <c r="AS23" s="143">
        <f>IFERROR(SUMIFS(AS4:AS20,B4:B20,"W"),"0")</f>
        <v>0</v>
      </c>
      <c r="AT23" s="143" t="s">
        <v>52</v>
      </c>
      <c r="AU23" s="145">
        <f>IFERROR(SUMIFS(AU4:AU20,B4:B20,"W"),"0")</f>
        <v>4</v>
      </c>
      <c r="AV23" s="143" t="s">
        <v>53</v>
      </c>
      <c r="AW23" s="111">
        <f>IFERROR(SUMIFS(AW4:AW20,B4:B20,"W"),"0")</f>
        <v>0</v>
      </c>
      <c r="AX23" s="111" t="s">
        <v>54</v>
      </c>
      <c r="AY23" s="111">
        <f>IFERROR(SUMIFS(AY4:AY20,B4:B20,"W"),"0")</f>
        <v>6</v>
      </c>
      <c r="AZ23" s="143" t="s">
        <v>52</v>
      </c>
      <c r="BA23" s="145">
        <f>IFERROR(SUMIFS(BA4:BA20,B4:B20,"W"),"0")</f>
        <v>18</v>
      </c>
      <c r="BB23" s="143" t="s">
        <v>53</v>
      </c>
      <c r="BC23" s="118">
        <f>IFERROR(SUMIFS(BC4:BC20,B4:B20,"W"),"0")</f>
        <v>6</v>
      </c>
      <c r="BD23" s="111" t="s">
        <v>54</v>
      </c>
      <c r="BE23" s="143">
        <f>IFERROR(SUMIFS(BE4:BE20,B4:B20,"W"),"0")</f>
        <v>0</v>
      </c>
      <c r="BF23" s="143" t="s">
        <v>52</v>
      </c>
      <c r="BG23" s="146">
        <f>IFERROR(SUMIFS(BG4:BG20,B4:B20,"W"),"0")</f>
        <v>0</v>
      </c>
      <c r="BH23" s="143"/>
      <c r="BI23" s="144">
        <f>IFERROR(SUMIFS(BI4:BI20,B4:B20,"W"),"0")</f>
        <v>1</v>
      </c>
      <c r="BJ23" s="143" t="s">
        <v>52</v>
      </c>
      <c r="BK23" s="145">
        <f>IFERROR(SUMIFS(BK4:BK20,B4:B20,"W"),"0")</f>
        <v>5</v>
      </c>
      <c r="BL23" s="143" t="s">
        <v>53</v>
      </c>
      <c r="BM23" s="118">
        <f>IFERROR(SUMIFS(BM4:BM20,B4:B20,"W"),"0")</f>
        <v>0</v>
      </c>
      <c r="BN23" s="145" t="s">
        <v>54</v>
      </c>
      <c r="BO23" s="143">
        <f>IFERROR(SUMIFS(BO4:BO20,B4:B20,"W"),"0")</f>
        <v>1</v>
      </c>
      <c r="BP23" s="143" t="s">
        <v>52</v>
      </c>
      <c r="BQ23" s="145">
        <f>IFERROR(SUMIFS(BQ4:BQ20,B4:B20,"W"),"0")</f>
        <v>4</v>
      </c>
      <c r="BR23" s="143" t="s">
        <v>53</v>
      </c>
      <c r="BS23" s="143">
        <f>IFERROR(SUMIFS(BS4:BS20,B4:B20,"W"),"0")</f>
        <v>0</v>
      </c>
      <c r="BT23" s="111" t="s">
        <v>54</v>
      </c>
      <c r="BU23" s="143">
        <f>IFERROR(SUMIFS(BU4:BU20,B4:B20,"W"),"0")</f>
        <v>0</v>
      </c>
      <c r="BV23" s="143" t="s">
        <v>52</v>
      </c>
      <c r="BW23" s="145">
        <f>IFERROR(SUMIFS(BW4:BW20,B4:B20,"W"),"0")</f>
        <v>0</v>
      </c>
      <c r="BX23" s="143" t="s">
        <v>53</v>
      </c>
      <c r="BY23" s="118">
        <f>IFERROR(SUMIFS(BY4:BY20,B4:B20,"W"),"0")</f>
        <v>0</v>
      </c>
      <c r="BZ23" s="111" t="s">
        <v>54</v>
      </c>
      <c r="CA23" s="143">
        <f>IFERROR(SUMIFS(CA4:CA20,B4:B20,"W"),"0")</f>
        <v>0</v>
      </c>
      <c r="CB23" s="143" t="s">
        <v>52</v>
      </c>
      <c r="CC23" s="145">
        <f>IFERROR(SUMIFS(CC4:CC20,B4:B20,"W"),"0")</f>
        <v>1</v>
      </c>
      <c r="CD23" s="143" t="s">
        <v>53</v>
      </c>
      <c r="CE23" s="118">
        <f>IFERROR(SUMIFS(CE4:CE20,B4:B20,"W"),"0")</f>
        <v>0</v>
      </c>
      <c r="CF23" s="145" t="s">
        <v>54</v>
      </c>
      <c r="CG23" s="143">
        <f>IFERROR(SUMIFS(CG4:CG20,B4:B20,"W"),"0")</f>
        <v>0</v>
      </c>
      <c r="CH23" s="143" t="s">
        <v>52</v>
      </c>
      <c r="CI23" s="146">
        <f>IFERROR(SUMIFS(CI4:CI20,B4:B20,"W"),"0")</f>
        <v>0</v>
      </c>
      <c r="CJ23" s="118">
        <f>IFERROR(SUMIFS(CJ4:CJ20,B4:B20,"W"),"0")</f>
        <v>5</v>
      </c>
      <c r="CK23" s="118">
        <f>IFERROR(SUMIFS(CK4:CK20,B4:B20,"W"),"0")</f>
        <v>8</v>
      </c>
      <c r="CL23" s="118">
        <f t="shared" ref="CL23:CM23" si="89">IFERROR(SUMIFS(CL4:CL20,C4:C20,"W"),"0")</f>
        <v>0</v>
      </c>
      <c r="CM23" s="118">
        <f t="shared" si="89"/>
        <v>0</v>
      </c>
      <c r="CN23" s="118">
        <f>IFERROR(SUMIFS(CN4:CN20,B4:B20,"W"),"0")</f>
        <v>13</v>
      </c>
      <c r="CO23" s="175">
        <f>IFERROR(SUMIFS(CO4:CO20,B4:B20,"W"),"0")</f>
        <v>9</v>
      </c>
      <c r="CP23" s="118">
        <f>IFERROR(SUMIFS(CP4:CP20,B4:B20,"W"),"0")</f>
        <v>15</v>
      </c>
      <c r="CQ23" s="175">
        <f>IFERROR(SUMIFS(CQ4:CQ20,B4:B20,"W"),"0")</f>
        <v>3</v>
      </c>
      <c r="CR23" s="118">
        <f>IFERROR(SUMIFS(CR4:CR20,B4:B20,"W"),"0")</f>
        <v>8</v>
      </c>
      <c r="CS23" s="119">
        <f>IFERROR(SUMIFS(CS4:CS20,B4:B20,"W"),"0")</f>
        <v>6</v>
      </c>
      <c r="CT23" s="118">
        <f>IFERROR(SUMIFS(CT4:CT20,B4:B20,"W"),"0")</f>
        <v>2</v>
      </c>
      <c r="CU23" s="118">
        <f>IFERROR(SUMIFS(CU4:CU20,B4:B20,"W"),"0")</f>
        <v>1</v>
      </c>
      <c r="CV23" s="119">
        <f>IFERROR(SUMIFS(CV4:CV20,B4:B20,"W"),"0")</f>
        <v>40.4</v>
      </c>
      <c r="CW23" s="118"/>
      <c r="CX23" s="136">
        <f>DG23</f>
        <v>0.48571428571428571</v>
      </c>
      <c r="CY23" s="137">
        <f>DN23</f>
        <v>5.8970513733055528E-2</v>
      </c>
      <c r="CZ23" s="137">
        <f>DH23</f>
        <v>0.23809523809523808</v>
      </c>
      <c r="DA23" s="138">
        <f>FA23</f>
        <v>0.22857142857142856</v>
      </c>
      <c r="DB23" s="232" t="s">
        <v>84</v>
      </c>
      <c r="DC23" s="116"/>
      <c r="DG23" s="37">
        <f>IFERROR(((E23-W23)+1.5*W23)/G23,"0")</f>
        <v>0.48571428571428571</v>
      </c>
      <c r="DH23" s="37">
        <f>IFERROR(CJ23/(CJ23+CK22),"0")</f>
        <v>0.23809523809523808</v>
      </c>
      <c r="DN23" s="37">
        <f>IFERROR(CT23/EG23,"0")</f>
        <v>5.8970513733055528E-2</v>
      </c>
      <c r="DS23" s="10"/>
      <c r="DT23" s="10"/>
      <c r="EF23" s="233" t="s">
        <v>89</v>
      </c>
      <c r="EG23" s="28">
        <f>IFERROR(SUMIFS(EG4:EG20,B4:B20,"W"),"0")</f>
        <v>33.915254817916114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IFERROR(SUMIFS(EX4:EX20,B4:B20,"W"),"0")</f>
        <v>6.4</v>
      </c>
      <c r="EY23" s="6">
        <f>IFERROR(SUMIFS(EY4:EY20,B4:B20,"W"),"0")</f>
        <v>8</v>
      </c>
      <c r="EZ23" s="6">
        <f t="shared" ref="EZ23" si="90">IFERROR(E23+(1-(1-(EX23/EY23))^2)*EY23*0.4,"0")</f>
        <v>17.071999999999999</v>
      </c>
      <c r="FA23" s="6">
        <f>IFERROR(EY23/G23,"0")</f>
        <v>0.22857142857142856</v>
      </c>
      <c r="FC23" s="139"/>
      <c r="FD23" s="139"/>
      <c r="FE23" s="116" t="s">
        <v>89</v>
      </c>
      <c r="FF23" s="121">
        <f t="shared" si="86"/>
        <v>72.169999999999987</v>
      </c>
      <c r="FG23" s="169">
        <f t="shared" si="86"/>
        <v>14</v>
      </c>
      <c r="FH23" s="166" t="s">
        <v>52</v>
      </c>
      <c r="FI23" s="170">
        <f t="shared" si="74"/>
        <v>35</v>
      </c>
      <c r="FJ23" s="195">
        <f t="shared" si="75"/>
        <v>0.4</v>
      </c>
      <c r="FK23" s="171">
        <f>W23</f>
        <v>6</v>
      </c>
      <c r="FL23" s="166" t="s">
        <v>52</v>
      </c>
      <c r="FM23" s="172">
        <f>Y23</f>
        <v>19</v>
      </c>
      <c r="FN23" s="195">
        <f t="shared" si="76"/>
        <v>0.31578947368421051</v>
      </c>
      <c r="FO23" s="171">
        <f>IFERROR(SUMIFS(FO4:FO20,B4:B20,"W"),"0")</f>
        <v>0</v>
      </c>
      <c r="FP23" s="166" t="s">
        <v>52</v>
      </c>
      <c r="FQ23" s="167">
        <f>IFERROR(SUMIFS(FQ4:FQ20,B4:B20,"W"),"0")</f>
        <v>0</v>
      </c>
      <c r="FR23" s="198" t="str">
        <f t="shared" si="79"/>
        <v>0</v>
      </c>
      <c r="FS23" s="118">
        <f t="shared" si="39"/>
        <v>5</v>
      </c>
      <c r="FT23" s="118">
        <f t="shared" si="39"/>
        <v>8</v>
      </c>
      <c r="FU23" s="118">
        <f t="shared" si="82"/>
        <v>13</v>
      </c>
      <c r="FV23" s="175">
        <f t="shared" si="82"/>
        <v>9</v>
      </c>
      <c r="FW23" s="118">
        <f t="shared" si="82"/>
        <v>15</v>
      </c>
      <c r="FX23" s="118">
        <f t="shared" si="82"/>
        <v>3</v>
      </c>
      <c r="FY23" s="118">
        <f t="shared" si="82"/>
        <v>8</v>
      </c>
      <c r="FZ23" s="118">
        <f t="shared" si="82"/>
        <v>6</v>
      </c>
      <c r="GA23" s="118">
        <f t="shared" si="83"/>
        <v>2</v>
      </c>
      <c r="GB23" s="118">
        <f t="shared" si="83"/>
        <v>1</v>
      </c>
      <c r="GC23" s="175">
        <f t="shared" si="83"/>
        <v>40.4</v>
      </c>
      <c r="GD23" s="136">
        <f t="shared" si="87"/>
        <v>0.48571428571428571</v>
      </c>
      <c r="GE23" s="137">
        <f t="shared" si="87"/>
        <v>5.8970513733055528E-2</v>
      </c>
      <c r="GF23" s="137">
        <f t="shared" si="87"/>
        <v>0.23809523809523808</v>
      </c>
      <c r="GG23" s="138">
        <f t="shared" si="87"/>
        <v>0.22857142857142856</v>
      </c>
      <c r="GH23" s="115"/>
    </row>
    <row r="24" spans="1:197" x14ac:dyDescent="0.2">
      <c r="A24" s="139"/>
      <c r="B24" s="139"/>
      <c r="C24" s="143"/>
      <c r="D24" s="143"/>
      <c r="E24" s="163"/>
      <c r="F24" s="143"/>
      <c r="G24" s="145"/>
      <c r="H24" s="143"/>
      <c r="I24" s="118"/>
      <c r="J24" s="145"/>
      <c r="K24" s="143"/>
      <c r="L24" s="143"/>
      <c r="M24" s="145"/>
      <c r="N24" s="143"/>
      <c r="O24" s="118"/>
      <c r="P24" s="145"/>
      <c r="Q24" s="111"/>
      <c r="R24" s="143"/>
      <c r="S24" s="145"/>
      <c r="T24" s="143"/>
      <c r="U24" s="118"/>
      <c r="V24" s="145"/>
      <c r="W24" s="143"/>
      <c r="X24" s="143"/>
      <c r="Y24" s="145"/>
      <c r="Z24" s="143"/>
      <c r="AA24" s="118"/>
      <c r="AB24" s="111"/>
      <c r="AC24" s="143"/>
      <c r="AD24" s="143"/>
      <c r="AE24" s="146"/>
      <c r="AF24" s="143"/>
      <c r="AG24" s="144"/>
      <c r="AH24" s="143"/>
      <c r="AI24" s="145"/>
      <c r="AJ24" s="143"/>
      <c r="AK24" s="111"/>
      <c r="AL24" s="145"/>
      <c r="AM24" s="143"/>
      <c r="AN24" s="143"/>
      <c r="AO24" s="145"/>
      <c r="AP24" s="143"/>
      <c r="AQ24" s="111"/>
      <c r="AR24" s="111"/>
      <c r="AS24" s="143"/>
      <c r="AT24" s="143"/>
      <c r="AU24" s="145"/>
      <c r="AV24" s="143"/>
      <c r="AW24" s="111"/>
      <c r="AX24" s="111"/>
      <c r="AY24" s="111"/>
      <c r="AZ24" s="143"/>
      <c r="BA24" s="145"/>
      <c r="BB24" s="143"/>
      <c r="BC24" s="118"/>
      <c r="BD24" s="111"/>
      <c r="BE24" s="143"/>
      <c r="BF24" s="143"/>
      <c r="BG24" s="146"/>
      <c r="BH24" s="145"/>
      <c r="BI24" s="144"/>
      <c r="BJ24" s="143"/>
      <c r="BK24" s="145"/>
      <c r="BL24" s="143"/>
      <c r="BM24" s="118"/>
      <c r="BN24" s="145"/>
      <c r="BO24" s="143"/>
      <c r="BP24" s="143"/>
      <c r="BQ24" s="145"/>
      <c r="BR24" s="143"/>
      <c r="BS24" s="118"/>
      <c r="BT24" s="111"/>
      <c r="BU24" s="143"/>
      <c r="BV24" s="143"/>
      <c r="BW24" s="145"/>
      <c r="BX24" s="143"/>
      <c r="BY24" s="118"/>
      <c r="BZ24" s="111"/>
      <c r="CA24" s="143"/>
      <c r="CB24" s="143"/>
      <c r="CC24" s="145"/>
      <c r="CD24" s="143"/>
      <c r="CE24" s="118"/>
      <c r="CF24" s="145"/>
      <c r="CG24" s="143"/>
      <c r="CH24" s="143"/>
      <c r="CI24" s="146"/>
      <c r="CJ24" s="140"/>
      <c r="CK24" s="147"/>
      <c r="CL24" s="147"/>
      <c r="CM24" s="147"/>
      <c r="CN24" s="140"/>
      <c r="CO24" s="140"/>
      <c r="CP24" s="140"/>
      <c r="CQ24" s="140"/>
      <c r="CR24" s="148"/>
      <c r="CS24" s="148"/>
      <c r="CT24" s="140"/>
      <c r="CU24" s="140"/>
      <c r="CV24" s="148"/>
      <c r="CW24" s="140"/>
      <c r="CX24" s="140"/>
      <c r="CY24" s="140"/>
      <c r="CZ24" s="140"/>
      <c r="DA24" s="140"/>
      <c r="DB24" s="147"/>
      <c r="DC24" s="147"/>
      <c r="DH24" s="8"/>
      <c r="DS24" s="10"/>
      <c r="DT24" s="10"/>
      <c r="EG24" s="6"/>
      <c r="EX24" s="531"/>
      <c r="EY24" s="531"/>
      <c r="EZ24" s="531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</row>
    <row r="25" spans="1:197" x14ac:dyDescent="0.2">
      <c r="C25" s="12" t="s">
        <v>73</v>
      </c>
      <c r="D25" s="28">
        <f>IFERROR(IF(B4="W",D23,D22),"0")</f>
        <v>72.169999999999987</v>
      </c>
      <c r="E25" s="86">
        <f>IFERROR(IF(B4="W",$E$23,$E$22),"0")</f>
        <v>14</v>
      </c>
      <c r="F25" s="33" t="s">
        <v>52</v>
      </c>
      <c r="G25" s="49">
        <f>IFERROR(IF(B4="W",$G$23,$G$22),"0")</f>
        <v>35</v>
      </c>
      <c r="H25" s="12" t="s">
        <v>53</v>
      </c>
      <c r="I25" s="33">
        <f>IFERROR(IF(B4="W",I$23,I$22),"0")</f>
        <v>9</v>
      </c>
      <c r="J25" s="49" t="s">
        <v>54</v>
      </c>
      <c r="K25" s="12">
        <f>IFERROR(IF(B4="W",K$23,K$22),"0")</f>
        <v>8</v>
      </c>
      <c r="L25" s="33" t="s">
        <v>52</v>
      </c>
      <c r="M25" s="49">
        <f>IFERROR(IF(B4="W",M$23,M$22),"0")</f>
        <v>12</v>
      </c>
      <c r="N25" s="12" t="s">
        <v>53</v>
      </c>
      <c r="O25" s="33">
        <f>IFERROR(IF(B4="W",O$23,O$22),"0")</f>
        <v>3</v>
      </c>
      <c r="P25" s="49" t="s">
        <v>54</v>
      </c>
      <c r="Q25" s="12">
        <f>IFERROR(IF(B4="W",Q$23,Q$22),"0")</f>
        <v>0</v>
      </c>
      <c r="R25" s="33" t="s">
        <v>52</v>
      </c>
      <c r="S25" s="49">
        <f>IFERROR(IF(B4="W",S$23,S$22),"0")</f>
        <v>4</v>
      </c>
      <c r="T25" s="12" t="s">
        <v>53</v>
      </c>
      <c r="U25" s="33">
        <f>IFERROR(IF(B4="W",U$23,U$22),"0")</f>
        <v>0</v>
      </c>
      <c r="V25" s="49" t="s">
        <v>54</v>
      </c>
      <c r="W25" s="12">
        <f>IFERROR(IF(B4="W",W$23,W$22),"0")</f>
        <v>6</v>
      </c>
      <c r="X25" s="33" t="s">
        <v>52</v>
      </c>
      <c r="Y25" s="49">
        <f>IFERROR(IF(B4="W",Y$23,Y$22),"0")</f>
        <v>19</v>
      </c>
      <c r="Z25" s="12" t="s">
        <v>53</v>
      </c>
      <c r="AA25" s="33">
        <f>IFERROR(IF(B4="W",AA$23,AA$22),"0")</f>
        <v>6</v>
      </c>
      <c r="AB25" s="49" t="s">
        <v>54</v>
      </c>
      <c r="AC25" s="12">
        <f>IFERROR(IF(B4="W",AC$23,AC$22),"0")</f>
        <v>6.4</v>
      </c>
      <c r="AD25" s="33" t="s">
        <v>52</v>
      </c>
      <c r="AE25" s="53">
        <f>IFERROR(IF(B4="W",AE$23,AE$22),"0")</f>
        <v>8</v>
      </c>
      <c r="AF25" s="12"/>
      <c r="AG25" s="43">
        <f>IFERROR(IF(B4="W",AG$23,AG$22),"0")</f>
        <v>13</v>
      </c>
      <c r="AH25" s="33" t="s">
        <v>52</v>
      </c>
      <c r="AI25" s="49">
        <f>IFERROR(IF(B4="W",AI$23,AI$22),"0")</f>
        <v>30</v>
      </c>
      <c r="AJ25" s="12" t="s">
        <v>53</v>
      </c>
      <c r="AK25" s="33">
        <f>IFERROR(IF(B4="W",AK$23,AK$22),"0")</f>
        <v>9</v>
      </c>
      <c r="AL25" s="49" t="s">
        <v>54</v>
      </c>
      <c r="AM25" s="12">
        <f>IFERROR(IF(B4="W",AM$23,AM$22),"0")</f>
        <v>7</v>
      </c>
      <c r="AN25" s="33" t="s">
        <v>52</v>
      </c>
      <c r="AO25" s="49">
        <f>IFERROR(IF(B4="W",AO$23,AO$22),"0")</f>
        <v>8</v>
      </c>
      <c r="AP25" s="12" t="s">
        <v>53</v>
      </c>
      <c r="AQ25" s="33">
        <f>IFERROR(IF(B4="W",AQ$23,AQ$22),"0")</f>
        <v>3</v>
      </c>
      <c r="AR25" s="49" t="s">
        <v>54</v>
      </c>
      <c r="AS25" s="12">
        <f>IFERROR(IF(B4="W",AS$23,AS$22),"0")</f>
        <v>0</v>
      </c>
      <c r="AT25" s="33" t="s">
        <v>52</v>
      </c>
      <c r="AU25" s="49">
        <f>IFERROR(IF(B4="W",AU$23,AU$22),"0")</f>
        <v>4</v>
      </c>
      <c r="AV25" s="12" t="s">
        <v>53</v>
      </c>
      <c r="AW25" s="33">
        <f>IFERROR(IF(B4="W",AW$23,AW$22),"0")</f>
        <v>0</v>
      </c>
      <c r="AX25" s="49" t="s">
        <v>54</v>
      </c>
      <c r="AY25" s="12">
        <f>IFERROR(IF(B4="W",AY$23,AY$22),"0")</f>
        <v>6</v>
      </c>
      <c r="AZ25" s="33" t="s">
        <v>52</v>
      </c>
      <c r="BA25" s="49">
        <f>IFERROR(IF(B4="W",BA$23,BA$22),"0")</f>
        <v>18</v>
      </c>
      <c r="BB25" s="12" t="s">
        <v>53</v>
      </c>
      <c r="BC25" s="33">
        <f>IFERROR(IF(B4="W",BC$23,BC$22),"0")</f>
        <v>6</v>
      </c>
      <c r="BD25" s="49" t="s">
        <v>54</v>
      </c>
      <c r="BE25" s="12">
        <f>IFERROR(IF(B4="W",BE$23,BE$22),"0")</f>
        <v>0</v>
      </c>
      <c r="BF25" s="33" t="s">
        <v>52</v>
      </c>
      <c r="BG25" s="53">
        <f>IFERROR(IF(B4="W",BG$23,BG$22),"0")</f>
        <v>0</v>
      </c>
      <c r="BH25" s="12"/>
      <c r="BI25" s="43">
        <f>IFERROR(IF($B$4="W",BI23,BI22),"0")</f>
        <v>1</v>
      </c>
      <c r="BJ25" s="33" t="s">
        <v>52</v>
      </c>
      <c r="BK25" s="49">
        <f>IFERROR(IF($B$4="W",BK23,BK22),"0")</f>
        <v>5</v>
      </c>
      <c r="BL25" s="12" t="s">
        <v>53</v>
      </c>
      <c r="BM25" s="33">
        <f>IFERROR(IF($B$4="W",BM23,BM22),"0")</f>
        <v>0</v>
      </c>
      <c r="BN25" s="49" t="s">
        <v>54</v>
      </c>
      <c r="BO25" s="12">
        <f>IFERROR(IF($B$4="W",BO23,BO22),"0")</f>
        <v>1</v>
      </c>
      <c r="BP25" s="33" t="s">
        <v>52</v>
      </c>
      <c r="BQ25" s="49">
        <f>IFERROR(IF($B$4="W",BQ23,BQ22),"0")</f>
        <v>4</v>
      </c>
      <c r="BR25" s="12" t="s">
        <v>53</v>
      </c>
      <c r="BS25" s="33">
        <f>IFERROR(IF($B$4="W",BS23,BS22),"0")</f>
        <v>0</v>
      </c>
      <c r="BT25" s="49" t="s">
        <v>54</v>
      </c>
      <c r="BU25" s="12">
        <f>IFERROR(IF($B$4="W",BU23,BU22),"0")</f>
        <v>0</v>
      </c>
      <c r="BV25" s="33" t="s">
        <v>52</v>
      </c>
      <c r="BW25" s="49">
        <f>IFERROR(IF($B$4="W",BW23,BW22),"0")</f>
        <v>0</v>
      </c>
      <c r="BX25" s="12" t="s">
        <v>53</v>
      </c>
      <c r="BY25" s="33">
        <f>IFERROR(IF($B$4="W",BY23,BY22),"0")</f>
        <v>0</v>
      </c>
      <c r="BZ25" s="49" t="s">
        <v>54</v>
      </c>
      <c r="CA25" s="12">
        <f>IFERROR(IF($B$4="W",CA23,CA22),"0")</f>
        <v>0</v>
      </c>
      <c r="CB25" s="33" t="s">
        <v>52</v>
      </c>
      <c r="CC25" s="49">
        <f>IFERROR(IF($B$4="W",CC23,CC22),"0")</f>
        <v>1</v>
      </c>
      <c r="CD25" s="12" t="s">
        <v>53</v>
      </c>
      <c r="CE25" s="33">
        <f>IFERROR(IF($B$4="W",CE23,CE22),"0")</f>
        <v>0</v>
      </c>
      <c r="CF25" s="49" t="s">
        <v>54</v>
      </c>
      <c r="CG25" s="12">
        <f>IFERROR(IF($B$4="W",CG23,CG22),"0")</f>
        <v>0</v>
      </c>
      <c r="CH25" s="33" t="s">
        <v>52</v>
      </c>
      <c r="CI25" s="53">
        <f t="shared" ref="CI25:CV25" si="91">IFERROR(IF($B$4="W",CI23,CI22),"0")</f>
        <v>0</v>
      </c>
      <c r="CJ25" s="33">
        <f t="shared" si="91"/>
        <v>5</v>
      </c>
      <c r="CK25" s="33">
        <f>IFERROR(IF($B$4="W",CK23,CK22),"0")</f>
        <v>8</v>
      </c>
      <c r="CL25" s="33">
        <f>IFERROR(IF($B$4="W",CL23,CL22),"0")</f>
        <v>0</v>
      </c>
      <c r="CM25" s="33">
        <f t="shared" ref="CM25" si="92">IFERROR(IF($B$4="W",CM23,CM22),"0")</f>
        <v>0</v>
      </c>
      <c r="CN25" s="33">
        <f t="shared" si="91"/>
        <v>13</v>
      </c>
      <c r="CO25" s="33">
        <f t="shared" si="91"/>
        <v>9</v>
      </c>
      <c r="CP25" s="33">
        <f t="shared" si="91"/>
        <v>15</v>
      </c>
      <c r="CQ25" s="33">
        <f t="shared" si="91"/>
        <v>3</v>
      </c>
      <c r="CR25" s="33">
        <f t="shared" si="91"/>
        <v>8</v>
      </c>
      <c r="CS25" s="33">
        <f t="shared" si="91"/>
        <v>6</v>
      </c>
      <c r="CT25" s="33">
        <f t="shared" si="91"/>
        <v>2</v>
      </c>
      <c r="CU25" s="33">
        <f t="shared" si="91"/>
        <v>1</v>
      </c>
      <c r="CV25" s="58">
        <f t="shared" si="91"/>
        <v>40.4</v>
      </c>
      <c r="CW25" s="33"/>
      <c r="CX25" s="4"/>
      <c r="CY25" s="4"/>
      <c r="CZ25" s="4"/>
      <c r="DA25" s="4"/>
      <c r="DB25" s="8"/>
      <c r="DC25" s="8"/>
      <c r="DH25" s="8"/>
      <c r="DS25" s="10"/>
      <c r="DT25" s="10"/>
      <c r="EF25" s="12" t="s">
        <v>73</v>
      </c>
      <c r="EG25" s="6">
        <f t="shared" ref="EG25:EG39" si="93">IFERROR(IF(B4="W",$EG$23,$EG$22),"0")</f>
        <v>33.915254817916114</v>
      </c>
      <c r="EW25" s="12" t="s">
        <v>73</v>
      </c>
      <c r="EX25" s="6">
        <f t="shared" ref="EX25:EX39" si="94">IFERROR(IF(B4="W",$EX$23,$EX$22),"0")</f>
        <v>6.4</v>
      </c>
      <c r="EY25" s="6">
        <f t="shared" ref="EY25:EY39" si="95">IFERROR(IF(B4="W",$EY$23,$EY$22),"0")</f>
        <v>8</v>
      </c>
      <c r="EZ25" s="6">
        <f>IFERROR(IF(B4="W",$EZ$23,$EZ$22),"0")</f>
        <v>17.071999999999999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</row>
    <row r="26" spans="1:197" x14ac:dyDescent="0.2">
      <c r="C26" s="228" t="s">
        <v>74</v>
      </c>
      <c r="D26" s="28">
        <f>IFERROR(IF(B5="W",D23,D22),"0")</f>
        <v>72.169999999999987</v>
      </c>
      <c r="E26" s="86">
        <f t="shared" ref="E26:E39" si="96">IFERROR(IF(B5="W",$E$23,$E$22),"0")</f>
        <v>14</v>
      </c>
      <c r="F26" s="33" t="s">
        <v>52</v>
      </c>
      <c r="G26" s="49">
        <f t="shared" ref="G26:G39" si="97">IFERROR(IF(B5="W",$G$23,$G$22),"0")</f>
        <v>35</v>
      </c>
      <c r="H26" s="12" t="s">
        <v>53</v>
      </c>
      <c r="I26" s="33">
        <f t="shared" ref="I26:I39" si="98">IFERROR(IF(B5="W",I$23,I$22),"0")</f>
        <v>9</v>
      </c>
      <c r="J26" s="49" t="s">
        <v>54</v>
      </c>
      <c r="K26" s="12">
        <f t="shared" ref="K26:K39" si="99">IFERROR(IF(B5="W",K$23,K$22),"0")</f>
        <v>8</v>
      </c>
      <c r="L26" s="33" t="s">
        <v>52</v>
      </c>
      <c r="M26" s="49">
        <f t="shared" ref="M26:M39" si="100">IFERROR(IF(B5="W",M$23,M$22),"0")</f>
        <v>12</v>
      </c>
      <c r="N26" s="12" t="s">
        <v>53</v>
      </c>
      <c r="O26" s="33">
        <f t="shared" ref="O26:O39" si="101">IFERROR(IF(B5="W",O$23,O$22),"0")</f>
        <v>3</v>
      </c>
      <c r="P26" s="49" t="s">
        <v>54</v>
      </c>
      <c r="Q26" s="12">
        <f t="shared" ref="Q26:Q39" si="102">IFERROR(IF(B5="W",Q$23,Q$22),"0")</f>
        <v>0</v>
      </c>
      <c r="R26" s="33" t="s">
        <v>52</v>
      </c>
      <c r="S26" s="49">
        <f t="shared" ref="S26:S39" si="103">IFERROR(IF(B5="W",S$23,S$22),"0")</f>
        <v>4</v>
      </c>
      <c r="T26" s="12" t="s">
        <v>53</v>
      </c>
      <c r="U26" s="33">
        <f t="shared" ref="U26:U39" si="104">IFERROR(IF(B5="W",U$23,U$22),"0")</f>
        <v>0</v>
      </c>
      <c r="V26" s="49" t="s">
        <v>54</v>
      </c>
      <c r="W26" s="12">
        <f t="shared" ref="W26:W39" si="105">IFERROR(IF(B5="W",W$23,W$22),"0")</f>
        <v>6</v>
      </c>
      <c r="X26" s="33" t="s">
        <v>52</v>
      </c>
      <c r="Y26" s="49">
        <f t="shared" ref="Y26:Y39" si="106">IFERROR(IF(B5="W",Y$23,Y$22),"0")</f>
        <v>19</v>
      </c>
      <c r="Z26" s="12" t="s">
        <v>53</v>
      </c>
      <c r="AA26" s="33">
        <f t="shared" ref="AA26:AA39" si="107">IFERROR(IF(B5="W",AA$23,AA$22),"0")</f>
        <v>6</v>
      </c>
      <c r="AB26" s="49" t="s">
        <v>54</v>
      </c>
      <c r="AC26" s="12">
        <f t="shared" ref="AC26:AC39" si="108">IFERROR(IF(B5="W",AC$23,AC$22),"0")</f>
        <v>6.4</v>
      </c>
      <c r="AD26" s="33" t="s">
        <v>52</v>
      </c>
      <c r="AE26" s="53">
        <f t="shared" ref="AE26:AE39" si="109">IFERROR(IF(B5="W",AE$23,AE$22),"0")</f>
        <v>8</v>
      </c>
      <c r="AF26" s="12"/>
      <c r="AG26" s="43">
        <f t="shared" ref="AG26:AG39" si="110">IFERROR(IF(B5="W",AG$23,AG$22),"0")</f>
        <v>13</v>
      </c>
      <c r="AH26" s="33" t="s">
        <v>52</v>
      </c>
      <c r="AI26" s="49">
        <f t="shared" ref="AI26:AI39" si="111">IFERROR(IF(B5="W",AI$23,AI$22),"0")</f>
        <v>30</v>
      </c>
      <c r="AJ26" s="12" t="s">
        <v>53</v>
      </c>
      <c r="AK26" s="33">
        <f t="shared" ref="AK26:AK39" si="112">IFERROR(IF(B5="W",AK$23,AK$22),"0")</f>
        <v>9</v>
      </c>
      <c r="AL26" s="49" t="s">
        <v>54</v>
      </c>
      <c r="AM26" s="12">
        <f t="shared" ref="AM26:AM39" si="113">IFERROR(IF(B5="W",AM$23,AM$22),"0")</f>
        <v>7</v>
      </c>
      <c r="AN26" s="33" t="s">
        <v>52</v>
      </c>
      <c r="AO26" s="49">
        <f t="shared" ref="AO26:AO39" si="114">IFERROR(IF(B5="W",AO$23,AO$22),"0")</f>
        <v>8</v>
      </c>
      <c r="AP26" s="12" t="s">
        <v>53</v>
      </c>
      <c r="AQ26" s="33">
        <f t="shared" ref="AQ26:AQ39" si="115">IFERROR(IF(B5="W",AQ$23,AQ$22),"0")</f>
        <v>3</v>
      </c>
      <c r="AR26" s="49" t="s">
        <v>54</v>
      </c>
      <c r="AS26" s="12">
        <f t="shared" ref="AS26:AS39" si="116">IFERROR(IF(B5="W",AS$23,AS$22),"0")</f>
        <v>0</v>
      </c>
      <c r="AT26" s="33" t="s">
        <v>52</v>
      </c>
      <c r="AU26" s="49">
        <f t="shared" ref="AU26:AU39" si="117">IFERROR(IF(B5="W",AU$23,AU$22),"0")</f>
        <v>4</v>
      </c>
      <c r="AV26" s="12" t="s">
        <v>53</v>
      </c>
      <c r="AW26" s="33">
        <f t="shared" ref="AW26:AW39" si="118">IFERROR(IF(B5="W",AW$23,AW$22),"0")</f>
        <v>0</v>
      </c>
      <c r="AX26" s="49" t="s">
        <v>54</v>
      </c>
      <c r="AY26" s="12">
        <f t="shared" ref="AY26:AY39" si="119">IFERROR(IF(B5="W",AY$23,AY$22),"0")</f>
        <v>6</v>
      </c>
      <c r="AZ26" s="33" t="s">
        <v>52</v>
      </c>
      <c r="BA26" s="49">
        <f t="shared" ref="BA26:BA39" si="120">IFERROR(IF(B5="W",BA$23,BA$22),"0")</f>
        <v>18</v>
      </c>
      <c r="BB26" s="12" t="s">
        <v>53</v>
      </c>
      <c r="BC26" s="33">
        <f t="shared" ref="BC26:BC39" si="121">IFERROR(IF(B5="W",BC$23,BC$22),"0")</f>
        <v>6</v>
      </c>
      <c r="BD26" s="49" t="s">
        <v>54</v>
      </c>
      <c r="BE26" s="12">
        <f t="shared" ref="BE26:BE39" si="122">IFERROR(IF(B5="W",BE$23,BE$22),"0")</f>
        <v>0</v>
      </c>
      <c r="BF26" s="33" t="s">
        <v>52</v>
      </c>
      <c r="BG26" s="53">
        <f t="shared" ref="BG26:BG39" si="123">IFERROR(IF(B5="W",BG$23,BG$22),"0")</f>
        <v>0</v>
      </c>
      <c r="BH26" s="12"/>
      <c r="BI26" s="43">
        <f>IFERROR(IF($B$5="W",BI23,BI22),"0")</f>
        <v>1</v>
      </c>
      <c r="BJ26" s="33" t="s">
        <v>52</v>
      </c>
      <c r="BK26" s="49">
        <f>IFERROR(IF($B$5="W",BK23,BK22),"0")</f>
        <v>5</v>
      </c>
      <c r="BL26" s="12" t="s">
        <v>53</v>
      </c>
      <c r="BM26" s="33">
        <f>IFERROR(IF($B$5="W",BM23,BM22),"0")</f>
        <v>0</v>
      </c>
      <c r="BN26" s="49" t="s">
        <v>54</v>
      </c>
      <c r="BO26" s="12">
        <f>IFERROR(IF($B$5="W",BO23,BO22),"0")</f>
        <v>1</v>
      </c>
      <c r="BP26" s="33" t="s">
        <v>52</v>
      </c>
      <c r="BQ26" s="49">
        <f>IFERROR(IF($B$5="W",BQ23,BQ22),"0")</f>
        <v>4</v>
      </c>
      <c r="BR26" s="12" t="s">
        <v>53</v>
      </c>
      <c r="BS26" s="33">
        <f>IFERROR(IF($B$5="W",BS23,BS22),"0")</f>
        <v>0</v>
      </c>
      <c r="BT26" s="49" t="s">
        <v>54</v>
      </c>
      <c r="BU26" s="12">
        <f>IFERROR(IF($B$5="W",BU23,BU22),"0")</f>
        <v>0</v>
      </c>
      <c r="BV26" s="33" t="s">
        <v>52</v>
      </c>
      <c r="BW26" s="49">
        <f>IFERROR(IF($B$5="W",BW23,BW22),"0")</f>
        <v>0</v>
      </c>
      <c r="BX26" s="12" t="s">
        <v>53</v>
      </c>
      <c r="BY26" s="33">
        <f>IFERROR(IF($B$5="W",BY23,BY22),"0")</f>
        <v>0</v>
      </c>
      <c r="BZ26" s="49" t="s">
        <v>54</v>
      </c>
      <c r="CA26" s="12">
        <f>IFERROR(IF($B$5="W",CA23,CA22),"0")</f>
        <v>0</v>
      </c>
      <c r="CB26" s="33" t="s">
        <v>52</v>
      </c>
      <c r="CC26" s="49">
        <f>IFERROR(IF($B$5="W",CC23,CC22),"0")</f>
        <v>1</v>
      </c>
      <c r="CD26" s="12" t="s">
        <v>53</v>
      </c>
      <c r="CE26" s="33">
        <f>IFERROR(IF($B$5="W",CE23,CE22),"0")</f>
        <v>0</v>
      </c>
      <c r="CF26" s="49" t="s">
        <v>54</v>
      </c>
      <c r="CG26" s="12">
        <f>IFERROR(IF($B$5="W",CG23,CG22),"0")</f>
        <v>0</v>
      </c>
      <c r="CH26" s="33" t="s">
        <v>52</v>
      </c>
      <c r="CI26" s="53">
        <f t="shared" ref="CI26:CV26" si="124">IFERROR(IF($B$5="W",CI23,CI22),"0")</f>
        <v>0</v>
      </c>
      <c r="CJ26" s="33">
        <f t="shared" si="124"/>
        <v>5</v>
      </c>
      <c r="CK26" s="33">
        <f t="shared" si="124"/>
        <v>8</v>
      </c>
      <c r="CL26" s="33">
        <f t="shared" si="124"/>
        <v>0</v>
      </c>
      <c r="CM26" s="33">
        <f t="shared" si="124"/>
        <v>0</v>
      </c>
      <c r="CN26" s="33">
        <f t="shared" si="124"/>
        <v>13</v>
      </c>
      <c r="CO26" s="33">
        <f t="shared" si="124"/>
        <v>9</v>
      </c>
      <c r="CP26" s="33">
        <f t="shared" si="124"/>
        <v>15</v>
      </c>
      <c r="CQ26" s="33">
        <f t="shared" si="124"/>
        <v>3</v>
      </c>
      <c r="CR26" s="33">
        <f t="shared" si="124"/>
        <v>8</v>
      </c>
      <c r="CS26" s="33">
        <f t="shared" si="124"/>
        <v>6</v>
      </c>
      <c r="CT26" s="33">
        <f t="shared" si="124"/>
        <v>2</v>
      </c>
      <c r="CU26" s="33">
        <f t="shared" si="124"/>
        <v>1</v>
      </c>
      <c r="CV26" s="58">
        <f t="shared" si="124"/>
        <v>40.4</v>
      </c>
      <c r="CW26" s="33"/>
      <c r="CX26" s="4"/>
      <c r="CY26" s="4"/>
      <c r="CZ26" s="4"/>
      <c r="DA26" s="4"/>
      <c r="DB26" s="8"/>
      <c r="DC26" s="8"/>
      <c r="DH26" s="8"/>
      <c r="DS26" s="10"/>
      <c r="DT26" s="10"/>
      <c r="EF26" s="228" t="s">
        <v>74</v>
      </c>
      <c r="EG26" s="6">
        <f t="shared" si="93"/>
        <v>33.915254817916114</v>
      </c>
      <c r="EW26" s="228" t="s">
        <v>74</v>
      </c>
      <c r="EX26" s="6">
        <f t="shared" si="94"/>
        <v>6.4</v>
      </c>
      <c r="EY26" s="6">
        <f t="shared" si="95"/>
        <v>8</v>
      </c>
      <c r="EZ26" s="6">
        <f t="shared" ref="EZ26:EZ39" si="125">IFERROR(IF(B5="W",$EZ$23,$EZ$22),"0")</f>
        <v>17.071999999999999</v>
      </c>
    </row>
    <row r="27" spans="1:197" x14ac:dyDescent="0.2">
      <c r="C27" s="228" t="s">
        <v>75</v>
      </c>
      <c r="D27" s="28">
        <f>IFERROR(IF(B6="W",D23,D22),"0")</f>
        <v>72.169999999999987</v>
      </c>
      <c r="E27" s="86">
        <f t="shared" si="96"/>
        <v>14</v>
      </c>
      <c r="F27" s="33" t="s">
        <v>52</v>
      </c>
      <c r="G27" s="49">
        <f t="shared" si="97"/>
        <v>35</v>
      </c>
      <c r="H27" s="12" t="s">
        <v>53</v>
      </c>
      <c r="I27" s="33">
        <f t="shared" si="98"/>
        <v>9</v>
      </c>
      <c r="J27" s="49" t="s">
        <v>54</v>
      </c>
      <c r="K27" s="12">
        <f t="shared" si="99"/>
        <v>8</v>
      </c>
      <c r="L27" s="33" t="s">
        <v>52</v>
      </c>
      <c r="M27" s="49">
        <f t="shared" si="100"/>
        <v>12</v>
      </c>
      <c r="N27" s="12" t="s">
        <v>53</v>
      </c>
      <c r="O27" s="33">
        <f t="shared" si="101"/>
        <v>3</v>
      </c>
      <c r="P27" s="49" t="s">
        <v>54</v>
      </c>
      <c r="Q27" s="12">
        <f t="shared" si="102"/>
        <v>0</v>
      </c>
      <c r="R27" s="33" t="s">
        <v>52</v>
      </c>
      <c r="S27" s="49">
        <f t="shared" si="103"/>
        <v>4</v>
      </c>
      <c r="T27" s="12" t="s">
        <v>53</v>
      </c>
      <c r="U27" s="33">
        <f t="shared" si="104"/>
        <v>0</v>
      </c>
      <c r="V27" s="49" t="s">
        <v>54</v>
      </c>
      <c r="W27" s="12">
        <f t="shared" si="105"/>
        <v>6</v>
      </c>
      <c r="X27" s="33" t="s">
        <v>52</v>
      </c>
      <c r="Y27" s="49">
        <f t="shared" si="106"/>
        <v>19</v>
      </c>
      <c r="Z27" s="12" t="s">
        <v>53</v>
      </c>
      <c r="AA27" s="33">
        <f t="shared" si="107"/>
        <v>6</v>
      </c>
      <c r="AB27" s="49" t="s">
        <v>54</v>
      </c>
      <c r="AC27" s="12">
        <f t="shared" si="108"/>
        <v>6.4</v>
      </c>
      <c r="AD27" s="33" t="s">
        <v>52</v>
      </c>
      <c r="AE27" s="53">
        <f t="shared" si="109"/>
        <v>8</v>
      </c>
      <c r="AF27" s="12"/>
      <c r="AG27" s="43">
        <f t="shared" si="110"/>
        <v>13</v>
      </c>
      <c r="AH27" s="33" t="s">
        <v>52</v>
      </c>
      <c r="AI27" s="49">
        <f t="shared" si="111"/>
        <v>30</v>
      </c>
      <c r="AJ27" s="12" t="s">
        <v>53</v>
      </c>
      <c r="AK27" s="33">
        <f t="shared" si="112"/>
        <v>9</v>
      </c>
      <c r="AL27" s="49" t="s">
        <v>54</v>
      </c>
      <c r="AM27" s="12">
        <f t="shared" si="113"/>
        <v>7</v>
      </c>
      <c r="AN27" s="33" t="s">
        <v>52</v>
      </c>
      <c r="AO27" s="49">
        <f t="shared" si="114"/>
        <v>8</v>
      </c>
      <c r="AP27" s="12" t="s">
        <v>53</v>
      </c>
      <c r="AQ27" s="33">
        <f t="shared" si="115"/>
        <v>3</v>
      </c>
      <c r="AR27" s="49" t="s">
        <v>54</v>
      </c>
      <c r="AS27" s="12">
        <f t="shared" si="116"/>
        <v>0</v>
      </c>
      <c r="AT27" s="33" t="s">
        <v>52</v>
      </c>
      <c r="AU27" s="49">
        <f t="shared" si="117"/>
        <v>4</v>
      </c>
      <c r="AV27" s="12" t="s">
        <v>53</v>
      </c>
      <c r="AW27" s="33">
        <f t="shared" si="118"/>
        <v>0</v>
      </c>
      <c r="AX27" s="49" t="s">
        <v>54</v>
      </c>
      <c r="AY27" s="12">
        <f t="shared" si="119"/>
        <v>6</v>
      </c>
      <c r="AZ27" s="33" t="s">
        <v>52</v>
      </c>
      <c r="BA27" s="49">
        <f t="shared" si="120"/>
        <v>18</v>
      </c>
      <c r="BB27" s="12" t="s">
        <v>53</v>
      </c>
      <c r="BC27" s="33">
        <f t="shared" si="121"/>
        <v>6</v>
      </c>
      <c r="BD27" s="49" t="s">
        <v>54</v>
      </c>
      <c r="BE27" s="12">
        <f t="shared" si="122"/>
        <v>0</v>
      </c>
      <c r="BF27" s="33" t="s">
        <v>52</v>
      </c>
      <c r="BG27" s="53">
        <f t="shared" si="123"/>
        <v>0</v>
      </c>
      <c r="BH27" s="12"/>
      <c r="BI27" s="43">
        <f>IFERROR(IF($B$6="W",BI23,BI22),"0")</f>
        <v>1</v>
      </c>
      <c r="BJ27" s="33" t="s">
        <v>52</v>
      </c>
      <c r="BK27" s="49">
        <f>IFERROR(IF($B$6="W",BK23,BK22),"0")</f>
        <v>5</v>
      </c>
      <c r="BL27" s="12" t="s">
        <v>53</v>
      </c>
      <c r="BM27" s="33">
        <f>IFERROR(IF($B$6="W",BM23,BM22),"0")</f>
        <v>0</v>
      </c>
      <c r="BN27" s="49" t="s">
        <v>54</v>
      </c>
      <c r="BO27" s="12">
        <f>IFERROR(IF($B$6="W",BO23,BO22),"0")</f>
        <v>1</v>
      </c>
      <c r="BP27" s="33" t="s">
        <v>52</v>
      </c>
      <c r="BQ27" s="49">
        <f>IFERROR(IF($B$6="W",BQ23,BQ22),"0")</f>
        <v>4</v>
      </c>
      <c r="BR27" s="12" t="s">
        <v>53</v>
      </c>
      <c r="BS27" s="33">
        <f>IFERROR(IF($B$6="W",BS23,BS22),"0")</f>
        <v>0</v>
      </c>
      <c r="BT27" s="49" t="s">
        <v>54</v>
      </c>
      <c r="BU27" s="12">
        <f>IFERROR(IF($B$6="W",BU23,BU22),"0")</f>
        <v>0</v>
      </c>
      <c r="BV27" s="33" t="s">
        <v>52</v>
      </c>
      <c r="BW27" s="49">
        <f>IFERROR(IF($B$6="W",BW23,BW22),"0")</f>
        <v>0</v>
      </c>
      <c r="BX27" s="12" t="s">
        <v>53</v>
      </c>
      <c r="BY27" s="33">
        <f>IFERROR(IF($B$6="W",BY23,BY22),"0")</f>
        <v>0</v>
      </c>
      <c r="BZ27" s="49" t="s">
        <v>54</v>
      </c>
      <c r="CA27" s="12">
        <f>IFERROR(IF($B$6="W",CA23,CA22),"0")</f>
        <v>0</v>
      </c>
      <c r="CB27" s="33" t="s">
        <v>52</v>
      </c>
      <c r="CC27" s="49">
        <f>IFERROR(IF($B$6="W",CC23,CC22),"0")</f>
        <v>1</v>
      </c>
      <c r="CD27" s="12" t="s">
        <v>53</v>
      </c>
      <c r="CE27" s="33">
        <f>IFERROR(IF($B$6="W",CE23,CE22),"0")</f>
        <v>0</v>
      </c>
      <c r="CF27" s="49" t="s">
        <v>54</v>
      </c>
      <c r="CG27" s="12">
        <f>IFERROR(IF($B$6="W",CG23,CG22),"0")</f>
        <v>0</v>
      </c>
      <c r="CH27" s="33" t="s">
        <v>52</v>
      </c>
      <c r="CI27" s="53">
        <f t="shared" ref="CI27:CV27" si="126">IFERROR(IF($B$6="W",CI23,CI22),"0")</f>
        <v>0</v>
      </c>
      <c r="CJ27" s="33">
        <f t="shared" si="126"/>
        <v>5</v>
      </c>
      <c r="CK27" s="33">
        <f t="shared" si="126"/>
        <v>8</v>
      </c>
      <c r="CL27" s="33">
        <f t="shared" si="126"/>
        <v>0</v>
      </c>
      <c r="CM27" s="33">
        <f t="shared" si="126"/>
        <v>0</v>
      </c>
      <c r="CN27" s="33">
        <f t="shared" si="126"/>
        <v>13</v>
      </c>
      <c r="CO27" s="33">
        <f t="shared" si="126"/>
        <v>9</v>
      </c>
      <c r="CP27" s="33">
        <f t="shared" si="126"/>
        <v>15</v>
      </c>
      <c r="CQ27" s="33">
        <f t="shared" si="126"/>
        <v>3</v>
      </c>
      <c r="CR27" s="33">
        <f t="shared" si="126"/>
        <v>8</v>
      </c>
      <c r="CS27" s="33">
        <f t="shared" si="126"/>
        <v>6</v>
      </c>
      <c r="CT27" s="33">
        <f t="shared" si="126"/>
        <v>2</v>
      </c>
      <c r="CU27" s="33">
        <f t="shared" si="126"/>
        <v>1</v>
      </c>
      <c r="CV27" s="58">
        <f t="shared" si="126"/>
        <v>40.4</v>
      </c>
      <c r="CW27" s="33"/>
      <c r="CX27" s="4"/>
      <c r="CY27" s="4"/>
      <c r="CZ27" s="4"/>
      <c r="DA27" s="4"/>
      <c r="DB27" s="8"/>
      <c r="DC27" s="8"/>
      <c r="DH27" s="8"/>
      <c r="DS27" s="10"/>
      <c r="DT27" s="10"/>
      <c r="EF27" s="228" t="s">
        <v>75</v>
      </c>
      <c r="EG27" s="6">
        <f t="shared" si="93"/>
        <v>33.915254817916114</v>
      </c>
      <c r="EW27" s="228" t="s">
        <v>75</v>
      </c>
      <c r="EX27" s="6">
        <f t="shared" si="94"/>
        <v>6.4</v>
      </c>
      <c r="EY27" s="6">
        <f t="shared" si="95"/>
        <v>8</v>
      </c>
      <c r="EZ27" s="6">
        <f t="shared" si="125"/>
        <v>17.071999999999999</v>
      </c>
    </row>
    <row r="28" spans="1:197" ht="17" thickBot="1" x14ac:dyDescent="0.25">
      <c r="C28" s="228" t="s">
        <v>76</v>
      </c>
      <c r="D28" s="28">
        <f>IFERROR(IF(B7="W",D23,D22),"0")</f>
        <v>72.169999999999987</v>
      </c>
      <c r="E28" s="86">
        <f t="shared" si="96"/>
        <v>14</v>
      </c>
      <c r="F28" s="33" t="s">
        <v>52</v>
      </c>
      <c r="G28" s="49">
        <f t="shared" si="97"/>
        <v>35</v>
      </c>
      <c r="H28" s="12" t="s">
        <v>53</v>
      </c>
      <c r="I28" s="33">
        <f t="shared" si="98"/>
        <v>9</v>
      </c>
      <c r="J28" s="49" t="s">
        <v>54</v>
      </c>
      <c r="K28" s="12">
        <f t="shared" si="99"/>
        <v>8</v>
      </c>
      <c r="L28" s="33" t="s">
        <v>52</v>
      </c>
      <c r="M28" s="49">
        <f t="shared" si="100"/>
        <v>12</v>
      </c>
      <c r="N28" s="12" t="s">
        <v>53</v>
      </c>
      <c r="O28" s="33">
        <f t="shared" si="101"/>
        <v>3</v>
      </c>
      <c r="P28" s="49" t="s">
        <v>54</v>
      </c>
      <c r="Q28" s="12">
        <f t="shared" si="102"/>
        <v>0</v>
      </c>
      <c r="R28" s="33" t="s">
        <v>52</v>
      </c>
      <c r="S28" s="49">
        <f t="shared" si="103"/>
        <v>4</v>
      </c>
      <c r="T28" s="12" t="s">
        <v>53</v>
      </c>
      <c r="U28" s="33">
        <f t="shared" si="104"/>
        <v>0</v>
      </c>
      <c r="V28" s="49" t="s">
        <v>54</v>
      </c>
      <c r="W28" s="12">
        <f t="shared" si="105"/>
        <v>6</v>
      </c>
      <c r="X28" s="33" t="s">
        <v>52</v>
      </c>
      <c r="Y28" s="49">
        <f t="shared" si="106"/>
        <v>19</v>
      </c>
      <c r="Z28" s="12" t="s">
        <v>53</v>
      </c>
      <c r="AA28" s="33">
        <f t="shared" si="107"/>
        <v>6</v>
      </c>
      <c r="AB28" s="49" t="s">
        <v>54</v>
      </c>
      <c r="AC28" s="12">
        <f t="shared" si="108"/>
        <v>6.4</v>
      </c>
      <c r="AD28" s="33" t="s">
        <v>52</v>
      </c>
      <c r="AE28" s="53">
        <f t="shared" si="109"/>
        <v>8</v>
      </c>
      <c r="AF28" s="12"/>
      <c r="AG28" s="43">
        <f t="shared" si="110"/>
        <v>13</v>
      </c>
      <c r="AH28" s="33" t="s">
        <v>52</v>
      </c>
      <c r="AI28" s="49">
        <f t="shared" si="111"/>
        <v>30</v>
      </c>
      <c r="AJ28" s="12" t="s">
        <v>53</v>
      </c>
      <c r="AK28" s="33">
        <f t="shared" si="112"/>
        <v>9</v>
      </c>
      <c r="AL28" s="49" t="s">
        <v>54</v>
      </c>
      <c r="AM28" s="12">
        <f t="shared" si="113"/>
        <v>7</v>
      </c>
      <c r="AN28" s="33" t="s">
        <v>52</v>
      </c>
      <c r="AO28" s="49">
        <f t="shared" si="114"/>
        <v>8</v>
      </c>
      <c r="AP28" s="12" t="s">
        <v>53</v>
      </c>
      <c r="AQ28" s="33">
        <f t="shared" si="115"/>
        <v>3</v>
      </c>
      <c r="AR28" s="49" t="s">
        <v>54</v>
      </c>
      <c r="AS28" s="12">
        <f t="shared" si="116"/>
        <v>0</v>
      </c>
      <c r="AT28" s="33" t="s">
        <v>52</v>
      </c>
      <c r="AU28" s="49">
        <f t="shared" si="117"/>
        <v>4</v>
      </c>
      <c r="AV28" s="12" t="s">
        <v>53</v>
      </c>
      <c r="AW28" s="33">
        <f t="shared" si="118"/>
        <v>0</v>
      </c>
      <c r="AX28" s="49" t="s">
        <v>54</v>
      </c>
      <c r="AY28" s="12">
        <f t="shared" si="119"/>
        <v>6</v>
      </c>
      <c r="AZ28" s="33" t="s">
        <v>52</v>
      </c>
      <c r="BA28" s="49">
        <f t="shared" si="120"/>
        <v>18</v>
      </c>
      <c r="BB28" s="12" t="s">
        <v>53</v>
      </c>
      <c r="BC28" s="33">
        <f t="shared" si="121"/>
        <v>6</v>
      </c>
      <c r="BD28" s="49" t="s">
        <v>54</v>
      </c>
      <c r="BE28" s="12">
        <f t="shared" si="122"/>
        <v>0</v>
      </c>
      <c r="BF28" s="33" t="s">
        <v>52</v>
      </c>
      <c r="BG28" s="53">
        <f t="shared" si="123"/>
        <v>0</v>
      </c>
      <c r="BH28" s="12"/>
      <c r="BI28" s="43">
        <f>IFERROR(IF($B$7="W",BI23,BI22),"0")</f>
        <v>1</v>
      </c>
      <c r="BJ28" s="33" t="s">
        <v>52</v>
      </c>
      <c r="BK28" s="49">
        <f>IFERROR(IF($B$7="W",BK23,BK22),"0")</f>
        <v>5</v>
      </c>
      <c r="BL28" s="12" t="s">
        <v>53</v>
      </c>
      <c r="BM28" s="33">
        <f>IFERROR(IF($B$7="W",BM23,BM22),"0")</f>
        <v>0</v>
      </c>
      <c r="BN28" s="49" t="s">
        <v>54</v>
      </c>
      <c r="BO28" s="12">
        <f>IFERROR(IF($B$7="W",BO23,BO22),"0")</f>
        <v>1</v>
      </c>
      <c r="BP28" s="33" t="s">
        <v>52</v>
      </c>
      <c r="BQ28" s="49">
        <f>IFERROR(IF($B$7="W",BQ23,BQ22),"0")</f>
        <v>4</v>
      </c>
      <c r="BR28" s="12" t="s">
        <v>53</v>
      </c>
      <c r="BS28" s="33">
        <f>IFERROR(IF($B$7="W",BS23,BS22),"0")</f>
        <v>0</v>
      </c>
      <c r="BT28" s="49" t="s">
        <v>54</v>
      </c>
      <c r="BU28" s="12">
        <f>IFERROR(IF($B$7="W",BU23,BU22),"0")</f>
        <v>0</v>
      </c>
      <c r="BV28" s="33" t="s">
        <v>52</v>
      </c>
      <c r="BW28" s="49">
        <f>IFERROR(IF($B$7="W",BW23,BW22),"0")</f>
        <v>0</v>
      </c>
      <c r="BX28" s="12" t="s">
        <v>53</v>
      </c>
      <c r="BY28" s="33">
        <f>IFERROR(IF($B$7="W",BY23,BY22),"0")</f>
        <v>0</v>
      </c>
      <c r="BZ28" s="49" t="s">
        <v>54</v>
      </c>
      <c r="CA28" s="12">
        <f>IFERROR(IF($B$7="W",CA23,CA22),"0")</f>
        <v>0</v>
      </c>
      <c r="CB28" s="33" t="s">
        <v>52</v>
      </c>
      <c r="CC28" s="49">
        <f>IFERROR(IF($B$7="W",CC23,CC22),"0")</f>
        <v>1</v>
      </c>
      <c r="CD28" s="12" t="s">
        <v>53</v>
      </c>
      <c r="CE28" s="33">
        <f>IFERROR(IF($B$7="W",CE23,CE22),"0")</f>
        <v>0</v>
      </c>
      <c r="CF28" s="49" t="s">
        <v>54</v>
      </c>
      <c r="CG28" s="12">
        <f>IFERROR(IF($B$7="W",CG23,CG22),"0")</f>
        <v>0</v>
      </c>
      <c r="CH28" s="33" t="s">
        <v>52</v>
      </c>
      <c r="CI28" s="53">
        <f t="shared" ref="CI28:CV28" si="127">IFERROR(IF($B$7="W",CI23,CI22),"0")</f>
        <v>0</v>
      </c>
      <c r="CJ28" s="33">
        <f t="shared" si="127"/>
        <v>5</v>
      </c>
      <c r="CK28" s="33">
        <f t="shared" si="127"/>
        <v>8</v>
      </c>
      <c r="CL28" s="33">
        <f t="shared" si="127"/>
        <v>0</v>
      </c>
      <c r="CM28" s="33">
        <f t="shared" si="127"/>
        <v>0</v>
      </c>
      <c r="CN28" s="33">
        <f t="shared" si="127"/>
        <v>13</v>
      </c>
      <c r="CO28" s="33">
        <f t="shared" si="127"/>
        <v>9</v>
      </c>
      <c r="CP28" s="33">
        <f t="shared" si="127"/>
        <v>15</v>
      </c>
      <c r="CQ28" s="33">
        <f t="shared" si="127"/>
        <v>3</v>
      </c>
      <c r="CR28" s="33">
        <f t="shared" si="127"/>
        <v>8</v>
      </c>
      <c r="CS28" s="33">
        <f t="shared" si="127"/>
        <v>6</v>
      </c>
      <c r="CT28" s="33">
        <f t="shared" si="127"/>
        <v>2</v>
      </c>
      <c r="CU28" s="33">
        <f t="shared" si="127"/>
        <v>1</v>
      </c>
      <c r="CV28" s="58">
        <f t="shared" si="127"/>
        <v>40.4</v>
      </c>
      <c r="CW28" s="33"/>
      <c r="CX28" s="4"/>
      <c r="CY28" s="4"/>
      <c r="CZ28" s="4"/>
      <c r="DA28" s="4"/>
      <c r="DB28" s="8"/>
      <c r="DC28" s="8"/>
      <c r="DH28" s="8"/>
      <c r="DS28" s="10"/>
      <c r="DT28" s="10"/>
      <c r="EF28" s="228" t="s">
        <v>76</v>
      </c>
      <c r="EG28" s="6">
        <f t="shared" si="93"/>
        <v>33.915254817916114</v>
      </c>
      <c r="EW28" s="228" t="s">
        <v>76</v>
      </c>
      <c r="EX28" s="6">
        <f t="shared" si="94"/>
        <v>6.4</v>
      </c>
      <c r="EY28" s="6">
        <f t="shared" si="95"/>
        <v>8</v>
      </c>
      <c r="EZ28" s="6">
        <f t="shared" si="125"/>
        <v>17.071999999999999</v>
      </c>
    </row>
    <row r="29" spans="1:197" x14ac:dyDescent="0.2">
      <c r="C29" s="228" t="s">
        <v>222</v>
      </c>
      <c r="D29" s="28">
        <f>IFERROR(IF(B8="W",D23,D22),"0")</f>
        <v>72.169999999999987</v>
      </c>
      <c r="E29" s="86">
        <f t="shared" si="96"/>
        <v>15</v>
      </c>
      <c r="F29" s="33" t="s">
        <v>52</v>
      </c>
      <c r="G29" s="49">
        <f t="shared" si="97"/>
        <v>27</v>
      </c>
      <c r="H29" s="12" t="s">
        <v>53</v>
      </c>
      <c r="I29" s="33">
        <f t="shared" si="98"/>
        <v>7</v>
      </c>
      <c r="J29" s="49" t="s">
        <v>54</v>
      </c>
      <c r="K29" s="12">
        <f t="shared" si="99"/>
        <v>11</v>
      </c>
      <c r="L29" s="33" t="s">
        <v>52</v>
      </c>
      <c r="M29" s="49">
        <f t="shared" si="100"/>
        <v>13</v>
      </c>
      <c r="N29" s="12" t="s">
        <v>53</v>
      </c>
      <c r="O29" s="33">
        <f t="shared" si="101"/>
        <v>4</v>
      </c>
      <c r="P29" s="49" t="s">
        <v>54</v>
      </c>
      <c r="Q29" s="12">
        <f t="shared" si="102"/>
        <v>0</v>
      </c>
      <c r="R29" s="33" t="s">
        <v>52</v>
      </c>
      <c r="S29" s="49">
        <f t="shared" si="103"/>
        <v>2</v>
      </c>
      <c r="T29" s="12" t="s">
        <v>53</v>
      </c>
      <c r="U29" s="33">
        <f t="shared" si="104"/>
        <v>0</v>
      </c>
      <c r="V29" s="49" t="s">
        <v>54</v>
      </c>
      <c r="W29" s="12">
        <f t="shared" si="105"/>
        <v>4</v>
      </c>
      <c r="X29" s="33" t="s">
        <v>52</v>
      </c>
      <c r="Y29" s="49">
        <f t="shared" si="106"/>
        <v>12</v>
      </c>
      <c r="Z29" s="12" t="s">
        <v>53</v>
      </c>
      <c r="AA29" s="33">
        <f t="shared" si="107"/>
        <v>3</v>
      </c>
      <c r="AB29" s="49" t="s">
        <v>54</v>
      </c>
      <c r="AC29" s="12">
        <f t="shared" si="108"/>
        <v>2.25</v>
      </c>
      <c r="AD29" s="33" t="s">
        <v>52</v>
      </c>
      <c r="AE29" s="53">
        <f t="shared" si="109"/>
        <v>3</v>
      </c>
      <c r="AF29" s="12"/>
      <c r="AG29" s="43">
        <f t="shared" si="110"/>
        <v>11</v>
      </c>
      <c r="AH29" s="33" t="s">
        <v>52</v>
      </c>
      <c r="AI29" s="49">
        <f t="shared" si="111"/>
        <v>22</v>
      </c>
      <c r="AJ29" s="12" t="s">
        <v>53</v>
      </c>
      <c r="AK29" s="33">
        <f t="shared" si="112"/>
        <v>5</v>
      </c>
      <c r="AL29" s="49" t="s">
        <v>54</v>
      </c>
      <c r="AM29" s="12">
        <f t="shared" si="113"/>
        <v>9</v>
      </c>
      <c r="AN29" s="33" t="s">
        <v>52</v>
      </c>
      <c r="AO29" s="49">
        <f t="shared" si="114"/>
        <v>10</v>
      </c>
      <c r="AP29" s="12" t="s">
        <v>53</v>
      </c>
      <c r="AQ29" s="33">
        <f t="shared" si="115"/>
        <v>3</v>
      </c>
      <c r="AR29" s="49" t="s">
        <v>54</v>
      </c>
      <c r="AS29" s="12">
        <f t="shared" si="116"/>
        <v>0</v>
      </c>
      <c r="AT29" s="33" t="s">
        <v>52</v>
      </c>
      <c r="AU29" s="49">
        <f t="shared" si="117"/>
        <v>2</v>
      </c>
      <c r="AV29" s="12" t="s">
        <v>53</v>
      </c>
      <c r="AW29" s="33">
        <f t="shared" si="118"/>
        <v>0</v>
      </c>
      <c r="AX29" s="49" t="s">
        <v>54</v>
      </c>
      <c r="AY29" s="12">
        <f t="shared" si="119"/>
        <v>2</v>
      </c>
      <c r="AZ29" s="33" t="s">
        <v>52</v>
      </c>
      <c r="BA29" s="49">
        <f t="shared" si="120"/>
        <v>10</v>
      </c>
      <c r="BB29" s="12" t="s">
        <v>53</v>
      </c>
      <c r="BC29" s="33">
        <f t="shared" si="121"/>
        <v>2</v>
      </c>
      <c r="BD29" s="49" t="s">
        <v>54</v>
      </c>
      <c r="BE29" s="12">
        <f t="shared" si="122"/>
        <v>0</v>
      </c>
      <c r="BF29" s="33" t="s">
        <v>52</v>
      </c>
      <c r="BG29" s="53">
        <f t="shared" si="123"/>
        <v>0</v>
      </c>
      <c r="BH29" s="12"/>
      <c r="BI29" s="43">
        <f>IFERROR(IF($B$8="W",BI23,BI22),"0")</f>
        <v>4</v>
      </c>
      <c r="BJ29" s="33" t="s">
        <v>52</v>
      </c>
      <c r="BK29" s="49">
        <f>IFERROR(IF($B$8="W",BK23,BK22),"0")</f>
        <v>5</v>
      </c>
      <c r="BL29" s="12" t="s">
        <v>53</v>
      </c>
      <c r="BM29" s="33">
        <f>IFERROR(IF($B$8="W",BM23,BM22),"0")</f>
        <v>2</v>
      </c>
      <c r="BN29" s="49" t="s">
        <v>54</v>
      </c>
      <c r="BO29" s="12">
        <f>IFERROR(IF($B$8="W",BO23,BO22),"0")</f>
        <v>2</v>
      </c>
      <c r="BP29" s="33" t="s">
        <v>52</v>
      </c>
      <c r="BQ29" s="49">
        <f>IFERROR(IF($B$8="W",BQ23,BQ22),"0")</f>
        <v>3</v>
      </c>
      <c r="BR29" s="12" t="s">
        <v>53</v>
      </c>
      <c r="BS29" s="33">
        <f>IFERROR(IF($B$8="W",BS23,BS22),"0")</f>
        <v>1</v>
      </c>
      <c r="BT29" s="49" t="s">
        <v>54</v>
      </c>
      <c r="BU29" s="12">
        <f>IFERROR(IF($B$8="W",BU23,BU22),"0")</f>
        <v>0</v>
      </c>
      <c r="BV29" s="33" t="s">
        <v>52</v>
      </c>
      <c r="BW29" s="49">
        <f>IFERROR(IF($B$8="W",BW23,BW22),"0")</f>
        <v>0</v>
      </c>
      <c r="BX29" s="12" t="s">
        <v>53</v>
      </c>
      <c r="BY29" s="33">
        <f>IFERROR(IF($B$8="W",BY23,BY22),"0")</f>
        <v>0</v>
      </c>
      <c r="BZ29" s="49" t="s">
        <v>54</v>
      </c>
      <c r="CA29" s="12">
        <f>IFERROR(IF($B$8="W",CA23,CA22),"0")</f>
        <v>2</v>
      </c>
      <c r="CB29" s="33" t="s">
        <v>52</v>
      </c>
      <c r="CC29" s="49">
        <f>IFERROR(IF($B$8="W",CC23,CC22),"0")</f>
        <v>2</v>
      </c>
      <c r="CD29" s="12" t="s">
        <v>53</v>
      </c>
      <c r="CE29" s="33">
        <f>IFERROR(IF($B$8="W",CE23,CE22),"0")</f>
        <v>1</v>
      </c>
      <c r="CF29" s="49" t="s">
        <v>54</v>
      </c>
      <c r="CG29" s="12">
        <f>IFERROR(IF($B$8="W",CG23,CG22),"0")</f>
        <v>0</v>
      </c>
      <c r="CH29" s="33" t="s">
        <v>52</v>
      </c>
      <c r="CI29" s="53">
        <f t="shared" ref="CI29:CV29" si="128">IFERROR(IF($B$8="W",CI23,CI22),"0")</f>
        <v>0</v>
      </c>
      <c r="CJ29" s="33">
        <f t="shared" si="128"/>
        <v>4</v>
      </c>
      <c r="CK29" s="33">
        <f t="shared" si="128"/>
        <v>16</v>
      </c>
      <c r="CL29" s="33">
        <f t="shared" si="128"/>
        <v>0</v>
      </c>
      <c r="CM29" s="33">
        <f t="shared" si="128"/>
        <v>0</v>
      </c>
      <c r="CN29" s="33">
        <f t="shared" si="128"/>
        <v>20</v>
      </c>
      <c r="CO29" s="33">
        <f t="shared" si="128"/>
        <v>8</v>
      </c>
      <c r="CP29" s="33">
        <f t="shared" si="128"/>
        <v>6</v>
      </c>
      <c r="CQ29" s="33">
        <f t="shared" si="128"/>
        <v>8</v>
      </c>
      <c r="CR29" s="33">
        <f t="shared" si="128"/>
        <v>3</v>
      </c>
      <c r="CS29" s="33">
        <f t="shared" si="128"/>
        <v>1</v>
      </c>
      <c r="CT29" s="33">
        <f t="shared" si="128"/>
        <v>10</v>
      </c>
      <c r="CU29" s="33">
        <f t="shared" si="128"/>
        <v>0</v>
      </c>
      <c r="CV29" s="58">
        <f t="shared" si="128"/>
        <v>36.25</v>
      </c>
      <c r="CW29" s="33"/>
      <c r="CX29" s="4"/>
      <c r="CY29" s="551" t="s">
        <v>130</v>
      </c>
      <c r="CZ29" s="552"/>
      <c r="DA29" s="4"/>
      <c r="DB29" s="8"/>
      <c r="DC29" s="8"/>
      <c r="DH29" s="8"/>
      <c r="DS29" s="10"/>
      <c r="DT29" s="10"/>
      <c r="EF29" s="228" t="s">
        <v>222</v>
      </c>
      <c r="EG29" s="6">
        <f t="shared" si="93"/>
        <v>33.009552344836685</v>
      </c>
      <c r="EW29" s="228" t="s">
        <v>222</v>
      </c>
      <c r="EX29" s="6">
        <f t="shared" si="94"/>
        <v>2.25</v>
      </c>
      <c r="EY29" s="6">
        <f t="shared" si="95"/>
        <v>3</v>
      </c>
      <c r="EZ29" s="6">
        <f t="shared" si="125"/>
        <v>16.125</v>
      </c>
    </row>
    <row r="30" spans="1:197" x14ac:dyDescent="0.2">
      <c r="C30" s="228" t="s">
        <v>77</v>
      </c>
      <c r="D30" s="28">
        <f>IFERROR(IF(B9="W",D23,D22),"0")</f>
        <v>72.169999999999987</v>
      </c>
      <c r="E30" s="86">
        <f t="shared" si="96"/>
        <v>15</v>
      </c>
      <c r="F30" s="33" t="s">
        <v>52</v>
      </c>
      <c r="G30" s="49">
        <f t="shared" si="97"/>
        <v>27</v>
      </c>
      <c r="H30" s="12" t="s">
        <v>53</v>
      </c>
      <c r="I30" s="33">
        <f t="shared" si="98"/>
        <v>7</v>
      </c>
      <c r="J30" s="49" t="s">
        <v>54</v>
      </c>
      <c r="K30" s="12">
        <f t="shared" si="99"/>
        <v>11</v>
      </c>
      <c r="L30" s="33" t="s">
        <v>52</v>
      </c>
      <c r="M30" s="49">
        <f t="shared" si="100"/>
        <v>13</v>
      </c>
      <c r="N30" s="12" t="s">
        <v>53</v>
      </c>
      <c r="O30" s="33">
        <f t="shared" si="101"/>
        <v>4</v>
      </c>
      <c r="P30" s="49" t="s">
        <v>54</v>
      </c>
      <c r="Q30" s="12">
        <f t="shared" si="102"/>
        <v>0</v>
      </c>
      <c r="R30" s="33" t="s">
        <v>52</v>
      </c>
      <c r="S30" s="49">
        <f t="shared" si="103"/>
        <v>2</v>
      </c>
      <c r="T30" s="12" t="s">
        <v>53</v>
      </c>
      <c r="U30" s="33">
        <f t="shared" si="104"/>
        <v>0</v>
      </c>
      <c r="V30" s="49" t="s">
        <v>54</v>
      </c>
      <c r="W30" s="12">
        <f t="shared" si="105"/>
        <v>4</v>
      </c>
      <c r="X30" s="33" t="s">
        <v>52</v>
      </c>
      <c r="Y30" s="49">
        <f t="shared" si="106"/>
        <v>12</v>
      </c>
      <c r="Z30" s="12" t="s">
        <v>53</v>
      </c>
      <c r="AA30" s="33">
        <f t="shared" si="107"/>
        <v>3</v>
      </c>
      <c r="AB30" s="49" t="s">
        <v>54</v>
      </c>
      <c r="AC30" s="12">
        <f t="shared" si="108"/>
        <v>2.25</v>
      </c>
      <c r="AD30" s="33" t="s">
        <v>52</v>
      </c>
      <c r="AE30" s="53">
        <f t="shared" si="109"/>
        <v>3</v>
      </c>
      <c r="AF30" s="12"/>
      <c r="AG30" s="43">
        <f t="shared" si="110"/>
        <v>11</v>
      </c>
      <c r="AH30" s="33" t="s">
        <v>52</v>
      </c>
      <c r="AI30" s="49">
        <f t="shared" si="111"/>
        <v>22</v>
      </c>
      <c r="AJ30" s="12" t="s">
        <v>53</v>
      </c>
      <c r="AK30" s="33">
        <f t="shared" si="112"/>
        <v>5</v>
      </c>
      <c r="AL30" s="49" t="s">
        <v>54</v>
      </c>
      <c r="AM30" s="12">
        <f t="shared" si="113"/>
        <v>9</v>
      </c>
      <c r="AN30" s="33" t="s">
        <v>52</v>
      </c>
      <c r="AO30" s="49">
        <f t="shared" si="114"/>
        <v>10</v>
      </c>
      <c r="AP30" s="12" t="s">
        <v>53</v>
      </c>
      <c r="AQ30" s="33">
        <f t="shared" si="115"/>
        <v>3</v>
      </c>
      <c r="AR30" s="49" t="s">
        <v>54</v>
      </c>
      <c r="AS30" s="12">
        <f t="shared" si="116"/>
        <v>0</v>
      </c>
      <c r="AT30" s="33" t="s">
        <v>52</v>
      </c>
      <c r="AU30" s="49">
        <f t="shared" si="117"/>
        <v>2</v>
      </c>
      <c r="AV30" s="12" t="s">
        <v>53</v>
      </c>
      <c r="AW30" s="33">
        <f t="shared" si="118"/>
        <v>0</v>
      </c>
      <c r="AX30" s="49" t="s">
        <v>54</v>
      </c>
      <c r="AY30" s="12">
        <f t="shared" si="119"/>
        <v>2</v>
      </c>
      <c r="AZ30" s="33" t="s">
        <v>52</v>
      </c>
      <c r="BA30" s="49">
        <f t="shared" si="120"/>
        <v>10</v>
      </c>
      <c r="BB30" s="12" t="s">
        <v>53</v>
      </c>
      <c r="BC30" s="33">
        <f t="shared" si="121"/>
        <v>2</v>
      </c>
      <c r="BD30" s="49" t="s">
        <v>54</v>
      </c>
      <c r="BE30" s="12">
        <f t="shared" si="122"/>
        <v>0</v>
      </c>
      <c r="BF30" s="33" t="s">
        <v>52</v>
      </c>
      <c r="BG30" s="53">
        <f t="shared" si="123"/>
        <v>0</v>
      </c>
      <c r="BH30" s="12"/>
      <c r="BI30" s="43">
        <f>IFERROR(IF($B$9="W",BI23,BI22),"0")</f>
        <v>4</v>
      </c>
      <c r="BJ30" s="33" t="s">
        <v>52</v>
      </c>
      <c r="BK30" s="49">
        <f>IFERROR(IF($B$9="W",BK23,BK22),"0")</f>
        <v>5</v>
      </c>
      <c r="BL30" s="12" t="s">
        <v>53</v>
      </c>
      <c r="BM30" s="33">
        <f>IFERROR(IF($B$9="W",BM23,BM22),"0")</f>
        <v>2</v>
      </c>
      <c r="BN30" s="49" t="s">
        <v>54</v>
      </c>
      <c r="BO30" s="12">
        <f>IFERROR(IF($B$9="W",BO23,BO22),"0")</f>
        <v>2</v>
      </c>
      <c r="BP30" s="33" t="s">
        <v>52</v>
      </c>
      <c r="BQ30" s="49">
        <f>IFERROR(IF($B$9="W",BQ23,BQ22),"0")</f>
        <v>3</v>
      </c>
      <c r="BR30" s="12" t="s">
        <v>53</v>
      </c>
      <c r="BS30" s="33">
        <f>IFERROR(IF($B$9="W",BS23,BS22),"0")</f>
        <v>1</v>
      </c>
      <c r="BT30" s="49" t="s">
        <v>54</v>
      </c>
      <c r="BU30" s="12">
        <f>IFERROR(IF($B$9="W",BU23,BU22),"0")</f>
        <v>0</v>
      </c>
      <c r="BV30" s="33" t="s">
        <v>52</v>
      </c>
      <c r="BW30" s="49">
        <f>IFERROR(IF($B$9="W",BW23,BW22),"0")</f>
        <v>0</v>
      </c>
      <c r="BX30" s="12" t="s">
        <v>53</v>
      </c>
      <c r="BY30" s="33">
        <f>IFERROR(IF($B$9="W",BY23,BY22),"0")</f>
        <v>0</v>
      </c>
      <c r="BZ30" s="49" t="s">
        <v>54</v>
      </c>
      <c r="CA30" s="12">
        <f>IFERROR(IF($B$9="W",CA23,CA22),"0")</f>
        <v>2</v>
      </c>
      <c r="CB30" s="33" t="s">
        <v>52</v>
      </c>
      <c r="CC30" s="49">
        <f>IFERROR(IF($B$9="W",CC23,CC22),"0")</f>
        <v>2</v>
      </c>
      <c r="CD30" s="12" t="s">
        <v>53</v>
      </c>
      <c r="CE30" s="33">
        <f>IFERROR(IF($B$9="W",CE23,CE22),"0")</f>
        <v>1</v>
      </c>
      <c r="CF30" s="49" t="s">
        <v>54</v>
      </c>
      <c r="CG30" s="12">
        <f>IFERROR(IF($B$9="W",CG23,CG22),"0")</f>
        <v>0</v>
      </c>
      <c r="CH30" s="33" t="s">
        <v>52</v>
      </c>
      <c r="CI30" s="53">
        <f t="shared" ref="CI30:CV30" si="129">IFERROR(IF($B$9="W",CI23,CI22),"0")</f>
        <v>0</v>
      </c>
      <c r="CJ30" s="33">
        <f t="shared" si="129"/>
        <v>4</v>
      </c>
      <c r="CK30" s="33">
        <f t="shared" si="129"/>
        <v>16</v>
      </c>
      <c r="CL30" s="33">
        <f t="shared" si="129"/>
        <v>0</v>
      </c>
      <c r="CM30" s="33">
        <f t="shared" si="129"/>
        <v>0</v>
      </c>
      <c r="CN30" s="33">
        <f t="shared" si="129"/>
        <v>20</v>
      </c>
      <c r="CO30" s="33">
        <f t="shared" si="129"/>
        <v>8</v>
      </c>
      <c r="CP30" s="33">
        <f t="shared" si="129"/>
        <v>6</v>
      </c>
      <c r="CQ30" s="33">
        <f t="shared" si="129"/>
        <v>8</v>
      </c>
      <c r="CR30" s="33">
        <f t="shared" si="129"/>
        <v>3</v>
      </c>
      <c r="CS30" s="33">
        <f t="shared" si="129"/>
        <v>1</v>
      </c>
      <c r="CT30" s="33">
        <f t="shared" si="129"/>
        <v>10</v>
      </c>
      <c r="CU30" s="33">
        <f t="shared" si="129"/>
        <v>0</v>
      </c>
      <c r="CV30" s="58">
        <f t="shared" si="129"/>
        <v>36.25</v>
      </c>
      <c r="CW30" s="33"/>
      <c r="CX30" s="4"/>
      <c r="CY30" s="287" t="s">
        <v>131</v>
      </c>
      <c r="CZ30" s="288" t="s">
        <v>132</v>
      </c>
      <c r="DA30" s="4"/>
      <c r="DB30" s="8"/>
      <c r="DC30" s="8"/>
      <c r="DH30" s="8"/>
      <c r="DS30" s="10"/>
      <c r="DT30" s="10"/>
      <c r="EF30" s="228" t="s">
        <v>77</v>
      </c>
      <c r="EG30" s="6">
        <f t="shared" si="93"/>
        <v>33.009552344836685</v>
      </c>
      <c r="EW30" s="228" t="s">
        <v>77</v>
      </c>
      <c r="EX30" s="6">
        <f t="shared" si="94"/>
        <v>2.25</v>
      </c>
      <c r="EY30" s="6">
        <f t="shared" si="95"/>
        <v>3</v>
      </c>
      <c r="EZ30" s="6">
        <f t="shared" si="125"/>
        <v>16.125</v>
      </c>
    </row>
    <row r="31" spans="1:197" ht="17" thickBot="1" x14ac:dyDescent="0.25">
      <c r="C31" s="228" t="s">
        <v>78</v>
      </c>
      <c r="D31" s="28">
        <f>IFERROR(IF(B10="W",D23,D22),"0")</f>
        <v>72.169999999999987</v>
      </c>
      <c r="E31" s="86">
        <f t="shared" si="96"/>
        <v>14</v>
      </c>
      <c r="F31" s="33" t="s">
        <v>52</v>
      </c>
      <c r="G31" s="49">
        <f t="shared" si="97"/>
        <v>35</v>
      </c>
      <c r="H31" s="12" t="s">
        <v>53</v>
      </c>
      <c r="I31" s="33">
        <f t="shared" si="98"/>
        <v>9</v>
      </c>
      <c r="J31" s="49" t="s">
        <v>54</v>
      </c>
      <c r="K31" s="12">
        <f t="shared" si="99"/>
        <v>8</v>
      </c>
      <c r="L31" s="33" t="s">
        <v>52</v>
      </c>
      <c r="M31" s="49">
        <f t="shared" si="100"/>
        <v>12</v>
      </c>
      <c r="N31" s="12" t="s">
        <v>53</v>
      </c>
      <c r="O31" s="33">
        <f t="shared" si="101"/>
        <v>3</v>
      </c>
      <c r="P31" s="49" t="s">
        <v>54</v>
      </c>
      <c r="Q31" s="12">
        <f t="shared" si="102"/>
        <v>0</v>
      </c>
      <c r="R31" s="33" t="s">
        <v>52</v>
      </c>
      <c r="S31" s="49">
        <f t="shared" si="103"/>
        <v>4</v>
      </c>
      <c r="T31" s="12" t="s">
        <v>53</v>
      </c>
      <c r="U31" s="33">
        <f t="shared" si="104"/>
        <v>0</v>
      </c>
      <c r="V31" s="49" t="s">
        <v>54</v>
      </c>
      <c r="W31" s="12">
        <f t="shared" si="105"/>
        <v>6</v>
      </c>
      <c r="X31" s="33" t="s">
        <v>52</v>
      </c>
      <c r="Y31" s="49">
        <f t="shared" si="106"/>
        <v>19</v>
      </c>
      <c r="Z31" s="12" t="s">
        <v>53</v>
      </c>
      <c r="AA31" s="33">
        <f t="shared" si="107"/>
        <v>6</v>
      </c>
      <c r="AB31" s="49" t="s">
        <v>54</v>
      </c>
      <c r="AC31" s="12">
        <f t="shared" si="108"/>
        <v>6.4</v>
      </c>
      <c r="AD31" s="33" t="s">
        <v>52</v>
      </c>
      <c r="AE31" s="53">
        <f t="shared" si="109"/>
        <v>8</v>
      </c>
      <c r="AF31" s="12"/>
      <c r="AG31" s="43">
        <f t="shared" si="110"/>
        <v>13</v>
      </c>
      <c r="AH31" s="33" t="s">
        <v>52</v>
      </c>
      <c r="AI31" s="49">
        <f t="shared" si="111"/>
        <v>30</v>
      </c>
      <c r="AJ31" s="12" t="s">
        <v>53</v>
      </c>
      <c r="AK31" s="33">
        <f t="shared" si="112"/>
        <v>9</v>
      </c>
      <c r="AL31" s="49" t="s">
        <v>54</v>
      </c>
      <c r="AM31" s="12">
        <f t="shared" si="113"/>
        <v>7</v>
      </c>
      <c r="AN31" s="33" t="s">
        <v>52</v>
      </c>
      <c r="AO31" s="49">
        <f t="shared" si="114"/>
        <v>8</v>
      </c>
      <c r="AP31" s="12" t="s">
        <v>53</v>
      </c>
      <c r="AQ31" s="33">
        <f t="shared" si="115"/>
        <v>3</v>
      </c>
      <c r="AR31" s="49" t="s">
        <v>54</v>
      </c>
      <c r="AS31" s="12">
        <f t="shared" si="116"/>
        <v>0</v>
      </c>
      <c r="AT31" s="33" t="s">
        <v>52</v>
      </c>
      <c r="AU31" s="49">
        <f t="shared" si="117"/>
        <v>4</v>
      </c>
      <c r="AV31" s="12" t="s">
        <v>53</v>
      </c>
      <c r="AW31" s="33">
        <f t="shared" si="118"/>
        <v>0</v>
      </c>
      <c r="AX31" s="49" t="s">
        <v>54</v>
      </c>
      <c r="AY31" s="12">
        <f t="shared" si="119"/>
        <v>6</v>
      </c>
      <c r="AZ31" s="33" t="s">
        <v>52</v>
      </c>
      <c r="BA31" s="49">
        <f t="shared" si="120"/>
        <v>18</v>
      </c>
      <c r="BB31" s="12" t="s">
        <v>53</v>
      </c>
      <c r="BC31" s="33">
        <f t="shared" si="121"/>
        <v>6</v>
      </c>
      <c r="BD31" s="49" t="s">
        <v>54</v>
      </c>
      <c r="BE31" s="12">
        <f t="shared" si="122"/>
        <v>0</v>
      </c>
      <c r="BF31" s="33" t="s">
        <v>52</v>
      </c>
      <c r="BG31" s="53">
        <f t="shared" si="123"/>
        <v>0</v>
      </c>
      <c r="BH31" s="12"/>
      <c r="BI31" s="43">
        <f>IFERROR(IF($B$10="W",BI23,BI22),"0")</f>
        <v>1</v>
      </c>
      <c r="BJ31" s="33" t="s">
        <v>52</v>
      </c>
      <c r="BK31" s="49">
        <f>IFERROR(IF($B$10="W",BK23,BK22),"0")</f>
        <v>5</v>
      </c>
      <c r="BL31" s="12" t="s">
        <v>53</v>
      </c>
      <c r="BM31" s="33">
        <f>IFERROR(IF($B$10="W",BM23,BM22),"0")</f>
        <v>0</v>
      </c>
      <c r="BN31" s="49" t="s">
        <v>54</v>
      </c>
      <c r="BO31" s="12">
        <f>IFERROR(IF($B$10="W",BO23,BO22),"0")</f>
        <v>1</v>
      </c>
      <c r="BP31" s="33" t="s">
        <v>52</v>
      </c>
      <c r="BQ31" s="49">
        <f>IFERROR(IF($B$10="W",BQ23,BQ22),"0")</f>
        <v>4</v>
      </c>
      <c r="BR31" s="12" t="s">
        <v>53</v>
      </c>
      <c r="BS31" s="33">
        <f>IFERROR(IF($B$10="W",BS23,BS22),"0")</f>
        <v>0</v>
      </c>
      <c r="BT31" s="49" t="s">
        <v>54</v>
      </c>
      <c r="BU31" s="12">
        <f>IFERROR(IF($B$10="W",BU23,BU22),"0")</f>
        <v>0</v>
      </c>
      <c r="BV31" s="33" t="s">
        <v>52</v>
      </c>
      <c r="BW31" s="49">
        <f>IFERROR(IF($B$10="W",BW23,BW22),"0")</f>
        <v>0</v>
      </c>
      <c r="BX31" s="12" t="s">
        <v>53</v>
      </c>
      <c r="BY31" s="33">
        <f>IFERROR(IF($B$10="W",BY23,BY22),"0")</f>
        <v>0</v>
      </c>
      <c r="BZ31" s="49" t="s">
        <v>54</v>
      </c>
      <c r="CA31" s="12">
        <f>IFERROR(IF($B$10="W",CA23,CA22),"0")</f>
        <v>0</v>
      </c>
      <c r="CB31" s="33" t="s">
        <v>52</v>
      </c>
      <c r="CC31" s="49">
        <f>IFERROR(IF($B$10="W",CC23,CC22),"0")</f>
        <v>1</v>
      </c>
      <c r="CD31" s="12" t="s">
        <v>53</v>
      </c>
      <c r="CE31" s="33">
        <f>IFERROR(IF($B$10="W",CE23,CE22),"0")</f>
        <v>0</v>
      </c>
      <c r="CF31" s="49" t="s">
        <v>54</v>
      </c>
      <c r="CG31" s="12">
        <f>IFERROR(IF($B$10="W",CG23,CG22),"0")</f>
        <v>0</v>
      </c>
      <c r="CH31" s="33" t="s">
        <v>52</v>
      </c>
      <c r="CI31" s="53">
        <f t="shared" ref="CI31:CV31" si="130">IFERROR(IF($B$10="W",CI23,CI22),"0")</f>
        <v>0</v>
      </c>
      <c r="CJ31" s="33">
        <f t="shared" si="130"/>
        <v>5</v>
      </c>
      <c r="CK31" s="33">
        <f t="shared" si="130"/>
        <v>8</v>
      </c>
      <c r="CL31" s="33">
        <f t="shared" si="130"/>
        <v>0</v>
      </c>
      <c r="CM31" s="33">
        <f t="shared" si="130"/>
        <v>0</v>
      </c>
      <c r="CN31" s="33">
        <f t="shared" si="130"/>
        <v>13</v>
      </c>
      <c r="CO31" s="33">
        <f t="shared" si="130"/>
        <v>9</v>
      </c>
      <c r="CP31" s="33">
        <f t="shared" si="130"/>
        <v>15</v>
      </c>
      <c r="CQ31" s="33">
        <f t="shared" si="130"/>
        <v>3</v>
      </c>
      <c r="CR31" s="33">
        <f t="shared" si="130"/>
        <v>8</v>
      </c>
      <c r="CS31" s="33">
        <f t="shared" si="130"/>
        <v>6</v>
      </c>
      <c r="CT31" s="33">
        <f t="shared" si="130"/>
        <v>2</v>
      </c>
      <c r="CU31" s="33">
        <f t="shared" si="130"/>
        <v>1</v>
      </c>
      <c r="CV31" s="58">
        <f t="shared" si="130"/>
        <v>40.4</v>
      </c>
      <c r="CW31" s="33"/>
      <c r="CX31" s="4"/>
      <c r="CY31" s="289">
        <f>(G21-E21)+((SUM(EW4:EW18))-(SUM(EV4:EV18)))</f>
        <v>33</v>
      </c>
      <c r="CZ31" s="290">
        <f>CN21</f>
        <v>33</v>
      </c>
      <c r="DA31" s="4"/>
      <c r="DB31" s="8"/>
      <c r="DC31" s="8"/>
      <c r="DH31" s="8"/>
      <c r="DS31" s="10"/>
      <c r="DT31" s="10"/>
      <c r="EF31" s="228" t="s">
        <v>78</v>
      </c>
      <c r="EG31" s="6">
        <f t="shared" si="93"/>
        <v>33.915254817916114</v>
      </c>
      <c r="EW31" s="228" t="s">
        <v>78</v>
      </c>
      <c r="EX31" s="6">
        <f t="shared" si="94"/>
        <v>6.4</v>
      </c>
      <c r="EY31" s="6">
        <f t="shared" si="95"/>
        <v>8</v>
      </c>
      <c r="EZ31" s="6">
        <f t="shared" si="125"/>
        <v>17.071999999999999</v>
      </c>
    </row>
    <row r="32" spans="1:197" x14ac:dyDescent="0.2">
      <c r="C32" s="228" t="s">
        <v>79</v>
      </c>
      <c r="D32" s="28">
        <f>IFERROR(IF(B11="W",D23,D22),"0")</f>
        <v>72.169999999999987</v>
      </c>
      <c r="E32" s="86">
        <f t="shared" si="96"/>
        <v>15</v>
      </c>
      <c r="F32" s="33" t="s">
        <v>52</v>
      </c>
      <c r="G32" s="49">
        <f t="shared" si="97"/>
        <v>27</v>
      </c>
      <c r="H32" s="12" t="s">
        <v>53</v>
      </c>
      <c r="I32" s="33">
        <f t="shared" si="98"/>
        <v>7</v>
      </c>
      <c r="J32" s="49" t="s">
        <v>54</v>
      </c>
      <c r="K32" s="12">
        <f t="shared" si="99"/>
        <v>11</v>
      </c>
      <c r="L32" s="33" t="s">
        <v>52</v>
      </c>
      <c r="M32" s="49">
        <f t="shared" si="100"/>
        <v>13</v>
      </c>
      <c r="N32" s="12" t="s">
        <v>53</v>
      </c>
      <c r="O32" s="33">
        <f t="shared" si="101"/>
        <v>4</v>
      </c>
      <c r="P32" s="49" t="s">
        <v>54</v>
      </c>
      <c r="Q32" s="12">
        <f t="shared" si="102"/>
        <v>0</v>
      </c>
      <c r="R32" s="33" t="s">
        <v>52</v>
      </c>
      <c r="S32" s="49">
        <f t="shared" si="103"/>
        <v>2</v>
      </c>
      <c r="T32" s="12" t="s">
        <v>53</v>
      </c>
      <c r="U32" s="33">
        <f t="shared" si="104"/>
        <v>0</v>
      </c>
      <c r="V32" s="49" t="s">
        <v>54</v>
      </c>
      <c r="W32" s="12">
        <f t="shared" si="105"/>
        <v>4</v>
      </c>
      <c r="X32" s="33" t="s">
        <v>52</v>
      </c>
      <c r="Y32" s="49">
        <f t="shared" si="106"/>
        <v>12</v>
      </c>
      <c r="Z32" s="12" t="s">
        <v>53</v>
      </c>
      <c r="AA32" s="33">
        <f t="shared" si="107"/>
        <v>3</v>
      </c>
      <c r="AB32" s="49" t="s">
        <v>54</v>
      </c>
      <c r="AC32" s="12">
        <f t="shared" si="108"/>
        <v>2.25</v>
      </c>
      <c r="AD32" s="33" t="s">
        <v>52</v>
      </c>
      <c r="AE32" s="53">
        <f t="shared" si="109"/>
        <v>3</v>
      </c>
      <c r="AF32" s="12"/>
      <c r="AG32" s="43">
        <f t="shared" si="110"/>
        <v>11</v>
      </c>
      <c r="AH32" s="33" t="s">
        <v>52</v>
      </c>
      <c r="AI32" s="49">
        <f t="shared" si="111"/>
        <v>22</v>
      </c>
      <c r="AJ32" s="12" t="s">
        <v>53</v>
      </c>
      <c r="AK32" s="33">
        <f t="shared" si="112"/>
        <v>5</v>
      </c>
      <c r="AL32" s="49" t="s">
        <v>54</v>
      </c>
      <c r="AM32" s="12">
        <f t="shared" si="113"/>
        <v>9</v>
      </c>
      <c r="AN32" s="33" t="s">
        <v>52</v>
      </c>
      <c r="AO32" s="49">
        <f t="shared" si="114"/>
        <v>10</v>
      </c>
      <c r="AP32" s="12" t="s">
        <v>53</v>
      </c>
      <c r="AQ32" s="33">
        <f t="shared" si="115"/>
        <v>3</v>
      </c>
      <c r="AR32" s="49" t="s">
        <v>54</v>
      </c>
      <c r="AS32" s="12">
        <f t="shared" si="116"/>
        <v>0</v>
      </c>
      <c r="AT32" s="33" t="s">
        <v>52</v>
      </c>
      <c r="AU32" s="49">
        <f t="shared" si="117"/>
        <v>2</v>
      </c>
      <c r="AV32" s="12" t="s">
        <v>53</v>
      </c>
      <c r="AW32" s="33">
        <f t="shared" si="118"/>
        <v>0</v>
      </c>
      <c r="AX32" s="49" t="s">
        <v>54</v>
      </c>
      <c r="AY32" s="12">
        <f t="shared" si="119"/>
        <v>2</v>
      </c>
      <c r="AZ32" s="33" t="s">
        <v>52</v>
      </c>
      <c r="BA32" s="49">
        <f t="shared" si="120"/>
        <v>10</v>
      </c>
      <c r="BB32" s="12" t="s">
        <v>53</v>
      </c>
      <c r="BC32" s="33">
        <f t="shared" si="121"/>
        <v>2</v>
      </c>
      <c r="BD32" s="49" t="s">
        <v>54</v>
      </c>
      <c r="BE32" s="12">
        <f t="shared" si="122"/>
        <v>0</v>
      </c>
      <c r="BF32" s="33" t="s">
        <v>52</v>
      </c>
      <c r="BG32" s="53">
        <f t="shared" si="123"/>
        <v>0</v>
      </c>
      <c r="BH32" s="12"/>
      <c r="BI32" s="43">
        <f>IFERROR(IF($B$11="W",BI23,BI22),"0")</f>
        <v>4</v>
      </c>
      <c r="BJ32" s="33" t="s">
        <v>52</v>
      </c>
      <c r="BK32" s="49">
        <f>IFERROR(IF($B$11="W",BK23,BK22),"0")</f>
        <v>5</v>
      </c>
      <c r="BL32" s="12" t="s">
        <v>53</v>
      </c>
      <c r="BM32" s="33">
        <f>IFERROR(IF($B$11="W",BM23,BM22),"0")</f>
        <v>2</v>
      </c>
      <c r="BN32" s="49" t="s">
        <v>54</v>
      </c>
      <c r="BO32" s="12">
        <f>IFERROR(IF($B$11="W",BO23,BO22),"0")</f>
        <v>2</v>
      </c>
      <c r="BP32" s="33" t="s">
        <v>52</v>
      </c>
      <c r="BQ32" s="49">
        <f>IFERROR(IF($B$11="W",BQ23,BQ22),"0")</f>
        <v>3</v>
      </c>
      <c r="BR32" s="12" t="s">
        <v>53</v>
      </c>
      <c r="BS32" s="33">
        <f>IFERROR(IF($B$11="W",BS23,BS22),"0")</f>
        <v>1</v>
      </c>
      <c r="BT32" s="49" t="s">
        <v>54</v>
      </c>
      <c r="BU32" s="12">
        <f>IFERROR(IF($B$11="W",BU23,BU22),"0")</f>
        <v>0</v>
      </c>
      <c r="BV32" s="33" t="s">
        <v>52</v>
      </c>
      <c r="BW32" s="49">
        <f>IFERROR(IF($B$11="W",BW23,BW22),"0")</f>
        <v>0</v>
      </c>
      <c r="BX32" s="12" t="s">
        <v>53</v>
      </c>
      <c r="BY32" s="33">
        <f>IFERROR(IF($B$11="W",BY23,BY22),"0")</f>
        <v>0</v>
      </c>
      <c r="BZ32" s="49" t="s">
        <v>54</v>
      </c>
      <c r="CA32" s="12">
        <f>IFERROR(IF($B$11="W",CA23,CA22),"0")</f>
        <v>2</v>
      </c>
      <c r="CB32" s="33" t="s">
        <v>52</v>
      </c>
      <c r="CC32" s="49">
        <f>IFERROR(IF($B$11="W",CC23,CC22),"0")</f>
        <v>2</v>
      </c>
      <c r="CD32" s="12" t="s">
        <v>53</v>
      </c>
      <c r="CE32" s="33">
        <f>IFERROR(IF($B$11="W",CE23,CE22),"0")</f>
        <v>1</v>
      </c>
      <c r="CF32" s="49" t="s">
        <v>54</v>
      </c>
      <c r="CG32" s="12">
        <f>IFERROR(IF($B$11="W",CG23,CG22),"0")</f>
        <v>0</v>
      </c>
      <c r="CH32" s="33" t="s">
        <v>52</v>
      </c>
      <c r="CI32" s="53">
        <f t="shared" ref="CI32:CV32" si="131">IFERROR(IF($B$11="W",CI23,CI22),"0")</f>
        <v>0</v>
      </c>
      <c r="CJ32" s="33">
        <f t="shared" si="131"/>
        <v>4</v>
      </c>
      <c r="CK32" s="33">
        <f t="shared" si="131"/>
        <v>16</v>
      </c>
      <c r="CL32" s="33">
        <f t="shared" si="131"/>
        <v>0</v>
      </c>
      <c r="CM32" s="33">
        <f t="shared" si="131"/>
        <v>0</v>
      </c>
      <c r="CN32" s="33">
        <f t="shared" si="131"/>
        <v>20</v>
      </c>
      <c r="CO32" s="33">
        <f t="shared" si="131"/>
        <v>8</v>
      </c>
      <c r="CP32" s="33">
        <f t="shared" si="131"/>
        <v>6</v>
      </c>
      <c r="CQ32" s="33">
        <f t="shared" si="131"/>
        <v>8</v>
      </c>
      <c r="CR32" s="33">
        <f t="shared" si="131"/>
        <v>3</v>
      </c>
      <c r="CS32" s="33">
        <f t="shared" si="131"/>
        <v>1</v>
      </c>
      <c r="CT32" s="33">
        <f t="shared" si="131"/>
        <v>10</v>
      </c>
      <c r="CU32" s="33">
        <f t="shared" si="131"/>
        <v>0</v>
      </c>
      <c r="CV32" s="58">
        <f t="shared" si="131"/>
        <v>36.25</v>
      </c>
      <c r="CW32" s="33"/>
      <c r="CX32" s="4"/>
      <c r="CY32" s="4"/>
      <c r="CZ32" s="4"/>
      <c r="DA32" s="4"/>
      <c r="DB32" s="8"/>
      <c r="DC32" s="8"/>
      <c r="DH32" s="8"/>
      <c r="DS32" s="10"/>
      <c r="DT32" s="10"/>
      <c r="EF32" s="228" t="s">
        <v>79</v>
      </c>
      <c r="EG32" s="6">
        <f t="shared" si="93"/>
        <v>33.009552344836685</v>
      </c>
      <c r="EW32" s="228" t="s">
        <v>79</v>
      </c>
      <c r="EX32" s="6">
        <f t="shared" si="94"/>
        <v>2.25</v>
      </c>
      <c r="EY32" s="6">
        <f t="shared" si="95"/>
        <v>3</v>
      </c>
      <c r="EZ32" s="6">
        <f t="shared" si="125"/>
        <v>16.125</v>
      </c>
    </row>
    <row r="33" spans="3:156" x14ac:dyDescent="0.2">
      <c r="C33" s="228" t="s">
        <v>114</v>
      </c>
      <c r="D33" s="28">
        <f>IFERROR(IF(B12="W",D23,D22),"0")</f>
        <v>72.169999999999987</v>
      </c>
      <c r="E33" s="86">
        <f t="shared" si="96"/>
        <v>14</v>
      </c>
      <c r="F33" s="33" t="s">
        <v>52</v>
      </c>
      <c r="G33" s="49">
        <f t="shared" si="97"/>
        <v>35</v>
      </c>
      <c r="H33" s="12" t="s">
        <v>53</v>
      </c>
      <c r="I33" s="33">
        <f t="shared" si="98"/>
        <v>9</v>
      </c>
      <c r="J33" s="49" t="s">
        <v>54</v>
      </c>
      <c r="K33" s="12">
        <f t="shared" si="99"/>
        <v>8</v>
      </c>
      <c r="L33" s="33" t="s">
        <v>52</v>
      </c>
      <c r="M33" s="49">
        <f t="shared" si="100"/>
        <v>12</v>
      </c>
      <c r="N33" s="12" t="s">
        <v>53</v>
      </c>
      <c r="O33" s="33">
        <f t="shared" si="101"/>
        <v>3</v>
      </c>
      <c r="P33" s="49" t="s">
        <v>54</v>
      </c>
      <c r="Q33" s="12">
        <f t="shared" si="102"/>
        <v>0</v>
      </c>
      <c r="R33" s="33" t="s">
        <v>52</v>
      </c>
      <c r="S33" s="49">
        <f t="shared" si="103"/>
        <v>4</v>
      </c>
      <c r="T33" s="12" t="s">
        <v>53</v>
      </c>
      <c r="U33" s="33">
        <f t="shared" si="104"/>
        <v>0</v>
      </c>
      <c r="V33" s="49" t="s">
        <v>54</v>
      </c>
      <c r="W33" s="12">
        <f t="shared" si="105"/>
        <v>6</v>
      </c>
      <c r="X33" s="33" t="s">
        <v>52</v>
      </c>
      <c r="Y33" s="49">
        <f t="shared" si="106"/>
        <v>19</v>
      </c>
      <c r="Z33" s="12" t="s">
        <v>53</v>
      </c>
      <c r="AA33" s="33">
        <f t="shared" si="107"/>
        <v>6</v>
      </c>
      <c r="AB33" s="49" t="s">
        <v>54</v>
      </c>
      <c r="AC33" s="12">
        <f t="shared" si="108"/>
        <v>6.4</v>
      </c>
      <c r="AD33" s="33" t="s">
        <v>52</v>
      </c>
      <c r="AE33" s="53">
        <f t="shared" si="109"/>
        <v>8</v>
      </c>
      <c r="AF33" s="12"/>
      <c r="AG33" s="43">
        <f t="shared" si="110"/>
        <v>13</v>
      </c>
      <c r="AH33" s="33" t="s">
        <v>52</v>
      </c>
      <c r="AI33" s="49">
        <f t="shared" si="111"/>
        <v>30</v>
      </c>
      <c r="AJ33" s="12" t="s">
        <v>53</v>
      </c>
      <c r="AK33" s="33">
        <f t="shared" si="112"/>
        <v>9</v>
      </c>
      <c r="AL33" s="49" t="s">
        <v>54</v>
      </c>
      <c r="AM33" s="12">
        <f t="shared" si="113"/>
        <v>7</v>
      </c>
      <c r="AN33" s="33" t="s">
        <v>52</v>
      </c>
      <c r="AO33" s="49">
        <f t="shared" si="114"/>
        <v>8</v>
      </c>
      <c r="AP33" s="12" t="s">
        <v>53</v>
      </c>
      <c r="AQ33" s="33">
        <f t="shared" si="115"/>
        <v>3</v>
      </c>
      <c r="AR33" s="49" t="s">
        <v>54</v>
      </c>
      <c r="AS33" s="12">
        <f t="shared" si="116"/>
        <v>0</v>
      </c>
      <c r="AT33" s="33" t="s">
        <v>52</v>
      </c>
      <c r="AU33" s="49">
        <f t="shared" si="117"/>
        <v>4</v>
      </c>
      <c r="AV33" s="12" t="s">
        <v>53</v>
      </c>
      <c r="AW33" s="33">
        <f t="shared" si="118"/>
        <v>0</v>
      </c>
      <c r="AX33" s="49" t="s">
        <v>54</v>
      </c>
      <c r="AY33" s="12">
        <f t="shared" si="119"/>
        <v>6</v>
      </c>
      <c r="AZ33" s="33" t="s">
        <v>52</v>
      </c>
      <c r="BA33" s="49">
        <f t="shared" si="120"/>
        <v>18</v>
      </c>
      <c r="BB33" s="12" t="s">
        <v>53</v>
      </c>
      <c r="BC33" s="33">
        <f t="shared" si="121"/>
        <v>6</v>
      </c>
      <c r="BD33" s="49" t="s">
        <v>54</v>
      </c>
      <c r="BE33" s="12">
        <f t="shared" si="122"/>
        <v>0</v>
      </c>
      <c r="BF33" s="33" t="s">
        <v>52</v>
      </c>
      <c r="BG33" s="53">
        <f t="shared" si="123"/>
        <v>0</v>
      </c>
      <c r="BH33" s="12"/>
      <c r="BI33" s="43">
        <f>IFERROR(IF($B$12="W",BI23,BI22),"0")</f>
        <v>1</v>
      </c>
      <c r="BJ33" s="33" t="s">
        <v>52</v>
      </c>
      <c r="BK33" s="49">
        <f>IFERROR(IF($B$12="W",BK23,BK22),"0")</f>
        <v>5</v>
      </c>
      <c r="BL33" s="12" t="s">
        <v>53</v>
      </c>
      <c r="BM33" s="33">
        <f>IFERROR(IF($B$12="W",BM23,BM22),"0")</f>
        <v>0</v>
      </c>
      <c r="BN33" s="49" t="s">
        <v>54</v>
      </c>
      <c r="BO33" s="12">
        <f>IFERROR(IF($B$12="W",BO23,BO22),"0")</f>
        <v>1</v>
      </c>
      <c r="BP33" s="33" t="s">
        <v>52</v>
      </c>
      <c r="BQ33" s="49">
        <f>IFERROR(IF($B$12="W",BQ23,BQ22),"0")</f>
        <v>4</v>
      </c>
      <c r="BR33" s="12" t="s">
        <v>53</v>
      </c>
      <c r="BS33" s="33">
        <f>IFERROR(IF($B$12="W",BS23,BS22),"0")</f>
        <v>0</v>
      </c>
      <c r="BT33" s="49" t="s">
        <v>54</v>
      </c>
      <c r="BU33" s="12">
        <f>IFERROR(IF($B$12="W",BU23,BU22),"0")</f>
        <v>0</v>
      </c>
      <c r="BV33" s="33" t="s">
        <v>52</v>
      </c>
      <c r="BW33" s="49">
        <f>IFERROR(IF($B$12="W",BW23,BW22),"0")</f>
        <v>0</v>
      </c>
      <c r="BX33" s="12" t="s">
        <v>53</v>
      </c>
      <c r="BY33" s="33">
        <f>IFERROR(IF($B$12="W",BY23,BY22),"0")</f>
        <v>0</v>
      </c>
      <c r="BZ33" s="49" t="s">
        <v>54</v>
      </c>
      <c r="CA33" s="12">
        <f>IFERROR(IF($B$12="W",CA23,CA22),"0")</f>
        <v>0</v>
      </c>
      <c r="CB33" s="33" t="s">
        <v>52</v>
      </c>
      <c r="CC33" s="49">
        <f>IFERROR(IF($B$12="W",CC23,CC22),"0")</f>
        <v>1</v>
      </c>
      <c r="CD33" s="12" t="s">
        <v>53</v>
      </c>
      <c r="CE33" s="33">
        <f>IFERROR(IF($B$12="W",CE23,CE22),"0")</f>
        <v>0</v>
      </c>
      <c r="CF33" s="49" t="s">
        <v>54</v>
      </c>
      <c r="CG33" s="12">
        <f>IFERROR(IF($B$12="W",CG23,CG22),"0")</f>
        <v>0</v>
      </c>
      <c r="CH33" s="33" t="s">
        <v>52</v>
      </c>
      <c r="CI33" s="53">
        <f t="shared" ref="CI33:CV33" si="132">IFERROR(IF($B$12="W",CI23,CI22),"0")</f>
        <v>0</v>
      </c>
      <c r="CJ33" s="33">
        <f t="shared" si="132"/>
        <v>5</v>
      </c>
      <c r="CK33" s="33">
        <f t="shared" si="132"/>
        <v>8</v>
      </c>
      <c r="CL33" s="33">
        <f t="shared" si="132"/>
        <v>0</v>
      </c>
      <c r="CM33" s="33">
        <f t="shared" si="132"/>
        <v>0</v>
      </c>
      <c r="CN33" s="33">
        <f t="shared" si="132"/>
        <v>13</v>
      </c>
      <c r="CO33" s="33">
        <f t="shared" si="132"/>
        <v>9</v>
      </c>
      <c r="CP33" s="33">
        <f t="shared" si="132"/>
        <v>15</v>
      </c>
      <c r="CQ33" s="33">
        <f t="shared" si="132"/>
        <v>3</v>
      </c>
      <c r="CR33" s="33">
        <f t="shared" si="132"/>
        <v>8</v>
      </c>
      <c r="CS33" s="33">
        <f t="shared" si="132"/>
        <v>6</v>
      </c>
      <c r="CT33" s="33">
        <f t="shared" si="132"/>
        <v>2</v>
      </c>
      <c r="CU33" s="33">
        <f t="shared" si="132"/>
        <v>1</v>
      </c>
      <c r="CV33" s="58">
        <f t="shared" si="132"/>
        <v>40.4</v>
      </c>
      <c r="CW33" s="33"/>
      <c r="CX33" s="4"/>
      <c r="CY33" s="4"/>
      <c r="CZ33" s="4"/>
      <c r="DA33" s="4"/>
      <c r="DB33" s="8"/>
      <c r="DC33" s="8"/>
      <c r="DH33" s="8"/>
      <c r="DS33" s="10"/>
      <c r="DT33" s="10"/>
      <c r="EF33" s="228" t="s">
        <v>114</v>
      </c>
      <c r="EG33" s="6">
        <f t="shared" si="93"/>
        <v>33.915254817916114</v>
      </c>
      <c r="EW33" s="228" t="s">
        <v>114</v>
      </c>
      <c r="EX33" s="6">
        <f t="shared" si="94"/>
        <v>6.4</v>
      </c>
      <c r="EY33" s="6">
        <f t="shared" si="95"/>
        <v>8</v>
      </c>
      <c r="EZ33" s="6">
        <f t="shared" si="125"/>
        <v>17.071999999999999</v>
      </c>
    </row>
    <row r="34" spans="3:156" x14ac:dyDescent="0.2">
      <c r="C34" s="228" t="s">
        <v>223</v>
      </c>
      <c r="D34" s="28">
        <f>IFERROR(IF(B13="W",D23,D22),"0")</f>
        <v>72.169999999999987</v>
      </c>
      <c r="E34" s="86">
        <f t="shared" si="96"/>
        <v>14</v>
      </c>
      <c r="F34" s="33" t="s">
        <v>52</v>
      </c>
      <c r="G34" s="49">
        <f t="shared" si="97"/>
        <v>35</v>
      </c>
      <c r="H34" s="12" t="s">
        <v>53</v>
      </c>
      <c r="I34" s="33">
        <f t="shared" si="98"/>
        <v>9</v>
      </c>
      <c r="J34" s="49" t="s">
        <v>54</v>
      </c>
      <c r="K34" s="12">
        <f t="shared" si="99"/>
        <v>8</v>
      </c>
      <c r="L34" s="33" t="s">
        <v>52</v>
      </c>
      <c r="M34" s="49">
        <f t="shared" si="100"/>
        <v>12</v>
      </c>
      <c r="N34" s="12" t="s">
        <v>53</v>
      </c>
      <c r="O34" s="33">
        <f t="shared" si="101"/>
        <v>3</v>
      </c>
      <c r="P34" s="49" t="s">
        <v>54</v>
      </c>
      <c r="Q34" s="12">
        <f t="shared" si="102"/>
        <v>0</v>
      </c>
      <c r="R34" s="33" t="s">
        <v>52</v>
      </c>
      <c r="S34" s="49">
        <f t="shared" si="103"/>
        <v>4</v>
      </c>
      <c r="T34" s="12" t="s">
        <v>53</v>
      </c>
      <c r="U34" s="33">
        <f t="shared" si="104"/>
        <v>0</v>
      </c>
      <c r="V34" s="49" t="s">
        <v>54</v>
      </c>
      <c r="W34" s="12">
        <f t="shared" si="105"/>
        <v>6</v>
      </c>
      <c r="X34" s="33" t="s">
        <v>52</v>
      </c>
      <c r="Y34" s="49">
        <f t="shared" si="106"/>
        <v>19</v>
      </c>
      <c r="Z34" s="12" t="s">
        <v>53</v>
      </c>
      <c r="AA34" s="33">
        <f t="shared" si="107"/>
        <v>6</v>
      </c>
      <c r="AB34" s="49" t="s">
        <v>54</v>
      </c>
      <c r="AC34" s="12">
        <f t="shared" si="108"/>
        <v>6.4</v>
      </c>
      <c r="AD34" s="33" t="s">
        <v>52</v>
      </c>
      <c r="AE34" s="53">
        <f t="shared" si="109"/>
        <v>8</v>
      </c>
      <c r="AF34" s="12"/>
      <c r="AG34" s="43">
        <f t="shared" si="110"/>
        <v>13</v>
      </c>
      <c r="AH34" s="33" t="s">
        <v>52</v>
      </c>
      <c r="AI34" s="49">
        <f t="shared" si="111"/>
        <v>30</v>
      </c>
      <c r="AJ34" s="12" t="s">
        <v>53</v>
      </c>
      <c r="AK34" s="33">
        <f t="shared" si="112"/>
        <v>9</v>
      </c>
      <c r="AL34" s="49" t="s">
        <v>54</v>
      </c>
      <c r="AM34" s="12">
        <f t="shared" si="113"/>
        <v>7</v>
      </c>
      <c r="AN34" s="33" t="s">
        <v>52</v>
      </c>
      <c r="AO34" s="49">
        <f t="shared" si="114"/>
        <v>8</v>
      </c>
      <c r="AP34" s="12" t="s">
        <v>53</v>
      </c>
      <c r="AQ34" s="33">
        <f t="shared" si="115"/>
        <v>3</v>
      </c>
      <c r="AR34" s="49" t="s">
        <v>54</v>
      </c>
      <c r="AS34" s="12">
        <f t="shared" si="116"/>
        <v>0</v>
      </c>
      <c r="AT34" s="33" t="s">
        <v>52</v>
      </c>
      <c r="AU34" s="49">
        <f t="shared" si="117"/>
        <v>4</v>
      </c>
      <c r="AV34" s="12" t="s">
        <v>53</v>
      </c>
      <c r="AW34" s="33">
        <f t="shared" si="118"/>
        <v>0</v>
      </c>
      <c r="AX34" s="49" t="s">
        <v>54</v>
      </c>
      <c r="AY34" s="12">
        <f t="shared" si="119"/>
        <v>6</v>
      </c>
      <c r="AZ34" s="33" t="s">
        <v>52</v>
      </c>
      <c r="BA34" s="49">
        <f t="shared" si="120"/>
        <v>18</v>
      </c>
      <c r="BB34" s="12" t="s">
        <v>53</v>
      </c>
      <c r="BC34" s="33">
        <f t="shared" si="121"/>
        <v>6</v>
      </c>
      <c r="BD34" s="49" t="s">
        <v>54</v>
      </c>
      <c r="BE34" s="12">
        <f t="shared" si="122"/>
        <v>0</v>
      </c>
      <c r="BF34" s="33" t="s">
        <v>52</v>
      </c>
      <c r="BG34" s="53">
        <f t="shared" si="123"/>
        <v>0</v>
      </c>
      <c r="BH34" s="12"/>
      <c r="BI34" s="43">
        <f>IFERROR(IF($B$13="W",BI23,BI22),"0")</f>
        <v>1</v>
      </c>
      <c r="BJ34" s="33" t="s">
        <v>52</v>
      </c>
      <c r="BK34" s="49">
        <f>IFERROR(IF($B$13="W",BK23,BK22),"0")</f>
        <v>5</v>
      </c>
      <c r="BL34" s="12" t="s">
        <v>53</v>
      </c>
      <c r="BM34" s="33">
        <f>IFERROR(IF($B$13="W",BM23,BM22),"0")</f>
        <v>0</v>
      </c>
      <c r="BN34" s="49" t="s">
        <v>54</v>
      </c>
      <c r="BO34" s="12">
        <f>IFERROR(IF($B$13="W",BO23,BO22),"0")</f>
        <v>1</v>
      </c>
      <c r="BP34" s="33" t="s">
        <v>52</v>
      </c>
      <c r="BQ34" s="49">
        <f>IFERROR(IF($B$13="W",BQ23,BQ22),"0")</f>
        <v>4</v>
      </c>
      <c r="BR34" s="12" t="s">
        <v>53</v>
      </c>
      <c r="BS34" s="33">
        <f>IFERROR(IF($B$13="W",BS23,BS22),"0")</f>
        <v>0</v>
      </c>
      <c r="BT34" s="49" t="s">
        <v>54</v>
      </c>
      <c r="BU34" s="12">
        <f>IFERROR(IF($B$13="W",BU23,BU22),"0")</f>
        <v>0</v>
      </c>
      <c r="BV34" s="33" t="s">
        <v>52</v>
      </c>
      <c r="BW34" s="49">
        <f>IFERROR(IF($B$13="W",BW23,BW22),"0")</f>
        <v>0</v>
      </c>
      <c r="BX34" s="12" t="s">
        <v>53</v>
      </c>
      <c r="BY34" s="33">
        <f>IFERROR(IF($B$13="W",BY23,BY22),"0")</f>
        <v>0</v>
      </c>
      <c r="BZ34" s="49" t="s">
        <v>54</v>
      </c>
      <c r="CA34" s="12">
        <f>IFERROR(IF($B$13="W",CA23,CA22),"0")</f>
        <v>0</v>
      </c>
      <c r="CB34" s="33" t="s">
        <v>52</v>
      </c>
      <c r="CC34" s="49">
        <f>IFERROR(IF($B$13="W",CC23,CC22),"0")</f>
        <v>1</v>
      </c>
      <c r="CD34" s="12" t="s">
        <v>53</v>
      </c>
      <c r="CE34" s="33">
        <f>IFERROR(IF($B$13="W",CE23,CE22),"0")</f>
        <v>0</v>
      </c>
      <c r="CF34" s="49" t="s">
        <v>54</v>
      </c>
      <c r="CG34" s="12">
        <f>IFERROR(IF($B$13="W",CG23,CG22),"0")</f>
        <v>0</v>
      </c>
      <c r="CH34" s="33" t="s">
        <v>52</v>
      </c>
      <c r="CI34" s="53">
        <f t="shared" ref="CI34:CV34" si="133">IFERROR(IF($B$13="W",CI23,CI22),"0")</f>
        <v>0</v>
      </c>
      <c r="CJ34" s="33">
        <f t="shared" si="133"/>
        <v>5</v>
      </c>
      <c r="CK34" s="33">
        <f t="shared" si="133"/>
        <v>8</v>
      </c>
      <c r="CL34" s="33">
        <f t="shared" si="133"/>
        <v>0</v>
      </c>
      <c r="CM34" s="33">
        <f t="shared" si="133"/>
        <v>0</v>
      </c>
      <c r="CN34" s="33">
        <f t="shared" si="133"/>
        <v>13</v>
      </c>
      <c r="CO34" s="33">
        <f t="shared" si="133"/>
        <v>9</v>
      </c>
      <c r="CP34" s="33">
        <f t="shared" si="133"/>
        <v>15</v>
      </c>
      <c r="CQ34" s="33">
        <f t="shared" si="133"/>
        <v>3</v>
      </c>
      <c r="CR34" s="33">
        <f t="shared" si="133"/>
        <v>8</v>
      </c>
      <c r="CS34" s="33">
        <f t="shared" si="133"/>
        <v>6</v>
      </c>
      <c r="CT34" s="33">
        <f t="shared" si="133"/>
        <v>2</v>
      </c>
      <c r="CU34" s="33">
        <f t="shared" si="133"/>
        <v>1</v>
      </c>
      <c r="CV34" s="58">
        <f t="shared" si="133"/>
        <v>40.4</v>
      </c>
      <c r="CW34" s="33"/>
      <c r="CX34" s="4"/>
      <c r="CY34" s="4"/>
      <c r="CZ34" s="4"/>
      <c r="DA34" s="4"/>
      <c r="DB34" s="8"/>
      <c r="DC34" s="8"/>
      <c r="DH34" s="8"/>
      <c r="DS34" s="10"/>
      <c r="DT34" s="10"/>
      <c r="EF34" s="228" t="s">
        <v>223</v>
      </c>
      <c r="EG34" s="6">
        <f t="shared" si="93"/>
        <v>33.915254817916114</v>
      </c>
      <c r="EW34" s="228" t="s">
        <v>223</v>
      </c>
      <c r="EX34" s="6">
        <f t="shared" si="94"/>
        <v>6.4</v>
      </c>
      <c r="EY34" s="6">
        <f t="shared" si="95"/>
        <v>8</v>
      </c>
      <c r="EZ34" s="6">
        <f t="shared" si="125"/>
        <v>17.071999999999999</v>
      </c>
    </row>
    <row r="35" spans="3:156" x14ac:dyDescent="0.2">
      <c r="C35" s="228" t="s">
        <v>80</v>
      </c>
      <c r="D35" s="28">
        <f>IFERROR(IF(B14="W",D23,D22),"0")</f>
        <v>72.169999999999987</v>
      </c>
      <c r="E35" s="86">
        <f t="shared" si="96"/>
        <v>15</v>
      </c>
      <c r="F35" s="33" t="s">
        <v>52</v>
      </c>
      <c r="G35" s="49">
        <f t="shared" si="97"/>
        <v>27</v>
      </c>
      <c r="H35" s="12" t="s">
        <v>53</v>
      </c>
      <c r="I35" s="33">
        <f t="shared" si="98"/>
        <v>7</v>
      </c>
      <c r="J35" s="49" t="s">
        <v>54</v>
      </c>
      <c r="K35" s="12">
        <f t="shared" si="99"/>
        <v>11</v>
      </c>
      <c r="L35" s="33" t="s">
        <v>52</v>
      </c>
      <c r="M35" s="49">
        <f t="shared" si="100"/>
        <v>13</v>
      </c>
      <c r="N35" s="12" t="s">
        <v>53</v>
      </c>
      <c r="O35" s="33">
        <f t="shared" si="101"/>
        <v>4</v>
      </c>
      <c r="P35" s="49" t="s">
        <v>54</v>
      </c>
      <c r="Q35" s="12">
        <f t="shared" si="102"/>
        <v>0</v>
      </c>
      <c r="R35" s="33" t="s">
        <v>52</v>
      </c>
      <c r="S35" s="49">
        <f t="shared" si="103"/>
        <v>2</v>
      </c>
      <c r="T35" s="12" t="s">
        <v>53</v>
      </c>
      <c r="U35" s="33">
        <f t="shared" si="104"/>
        <v>0</v>
      </c>
      <c r="V35" s="49" t="s">
        <v>54</v>
      </c>
      <c r="W35" s="12">
        <f t="shared" si="105"/>
        <v>4</v>
      </c>
      <c r="X35" s="33" t="s">
        <v>52</v>
      </c>
      <c r="Y35" s="49">
        <f t="shared" si="106"/>
        <v>12</v>
      </c>
      <c r="Z35" s="12" t="s">
        <v>53</v>
      </c>
      <c r="AA35" s="33">
        <f t="shared" si="107"/>
        <v>3</v>
      </c>
      <c r="AB35" s="49" t="s">
        <v>54</v>
      </c>
      <c r="AC35" s="12">
        <f t="shared" si="108"/>
        <v>2.25</v>
      </c>
      <c r="AD35" s="33" t="s">
        <v>52</v>
      </c>
      <c r="AE35" s="53">
        <f t="shared" si="109"/>
        <v>3</v>
      </c>
      <c r="AF35" s="12"/>
      <c r="AG35" s="43">
        <f t="shared" si="110"/>
        <v>11</v>
      </c>
      <c r="AH35" s="33" t="s">
        <v>52</v>
      </c>
      <c r="AI35" s="49">
        <f t="shared" si="111"/>
        <v>22</v>
      </c>
      <c r="AJ35" s="12" t="s">
        <v>53</v>
      </c>
      <c r="AK35" s="33">
        <f t="shared" si="112"/>
        <v>5</v>
      </c>
      <c r="AL35" s="49" t="s">
        <v>54</v>
      </c>
      <c r="AM35" s="12">
        <f t="shared" si="113"/>
        <v>9</v>
      </c>
      <c r="AN35" s="33" t="s">
        <v>52</v>
      </c>
      <c r="AO35" s="49">
        <f t="shared" si="114"/>
        <v>10</v>
      </c>
      <c r="AP35" s="12" t="s">
        <v>53</v>
      </c>
      <c r="AQ35" s="33">
        <f t="shared" si="115"/>
        <v>3</v>
      </c>
      <c r="AR35" s="49" t="s">
        <v>54</v>
      </c>
      <c r="AS35" s="12">
        <f t="shared" si="116"/>
        <v>0</v>
      </c>
      <c r="AT35" s="33" t="s">
        <v>52</v>
      </c>
      <c r="AU35" s="49">
        <f t="shared" si="117"/>
        <v>2</v>
      </c>
      <c r="AV35" s="12" t="s">
        <v>53</v>
      </c>
      <c r="AW35" s="33">
        <f t="shared" si="118"/>
        <v>0</v>
      </c>
      <c r="AX35" s="49" t="s">
        <v>54</v>
      </c>
      <c r="AY35" s="12">
        <f t="shared" si="119"/>
        <v>2</v>
      </c>
      <c r="AZ35" s="33" t="s">
        <v>52</v>
      </c>
      <c r="BA35" s="49">
        <f t="shared" si="120"/>
        <v>10</v>
      </c>
      <c r="BB35" s="12" t="s">
        <v>53</v>
      </c>
      <c r="BC35" s="33">
        <f t="shared" si="121"/>
        <v>2</v>
      </c>
      <c r="BD35" s="49" t="s">
        <v>54</v>
      </c>
      <c r="BE35" s="12">
        <f t="shared" si="122"/>
        <v>0</v>
      </c>
      <c r="BF35" s="33" t="s">
        <v>52</v>
      </c>
      <c r="BG35" s="53">
        <f t="shared" si="123"/>
        <v>0</v>
      </c>
      <c r="BH35" s="12"/>
      <c r="BI35" s="43">
        <f>IFERROR(IF($B$14="W",BI23,BI22),"0")</f>
        <v>4</v>
      </c>
      <c r="BJ35" s="12" t="str">
        <f t="shared" ref="BJ35:CI35" si="134">IFERROR(IF($B$14="W",BJ23,BJ22),"0")</f>
        <v>-</v>
      </c>
      <c r="BK35" s="49">
        <f t="shared" si="134"/>
        <v>5</v>
      </c>
      <c r="BL35" s="12" t="str">
        <f t="shared" si="134"/>
        <v>(</v>
      </c>
      <c r="BM35" s="33">
        <f t="shared" si="134"/>
        <v>2</v>
      </c>
      <c r="BN35" s="49" t="str">
        <f t="shared" si="134"/>
        <v>)</v>
      </c>
      <c r="BO35" s="12">
        <f t="shared" si="134"/>
        <v>2</v>
      </c>
      <c r="BP35" s="12" t="str">
        <f t="shared" si="134"/>
        <v>-</v>
      </c>
      <c r="BQ35" s="49">
        <f t="shared" si="134"/>
        <v>3</v>
      </c>
      <c r="BR35" s="12" t="str">
        <f t="shared" si="134"/>
        <v>(</v>
      </c>
      <c r="BS35" s="33">
        <f t="shared" si="134"/>
        <v>1</v>
      </c>
      <c r="BT35" s="49" t="str">
        <f t="shared" si="134"/>
        <v>)</v>
      </c>
      <c r="BU35" s="12">
        <f t="shared" si="134"/>
        <v>0</v>
      </c>
      <c r="BV35" s="12" t="str">
        <f t="shared" si="134"/>
        <v>-</v>
      </c>
      <c r="BW35" s="49">
        <f t="shared" si="134"/>
        <v>0</v>
      </c>
      <c r="BX35" s="12" t="str">
        <f t="shared" si="134"/>
        <v>(</v>
      </c>
      <c r="BY35" s="33">
        <f t="shared" si="134"/>
        <v>0</v>
      </c>
      <c r="BZ35" s="49" t="str">
        <f t="shared" si="134"/>
        <v>)</v>
      </c>
      <c r="CA35" s="12">
        <f t="shared" si="134"/>
        <v>2</v>
      </c>
      <c r="CB35" s="12" t="str">
        <f t="shared" si="134"/>
        <v>-</v>
      </c>
      <c r="CC35" s="49">
        <f t="shared" si="134"/>
        <v>2</v>
      </c>
      <c r="CD35" s="12" t="str">
        <f t="shared" si="134"/>
        <v>(</v>
      </c>
      <c r="CE35" s="33">
        <f t="shared" si="134"/>
        <v>1</v>
      </c>
      <c r="CF35" s="49" t="str">
        <f t="shared" si="134"/>
        <v>)</v>
      </c>
      <c r="CG35" s="12">
        <f t="shared" si="134"/>
        <v>0</v>
      </c>
      <c r="CH35" s="12" t="str">
        <f t="shared" si="134"/>
        <v>-</v>
      </c>
      <c r="CI35" s="53">
        <f t="shared" si="134"/>
        <v>0</v>
      </c>
      <c r="CJ35" s="33">
        <f>IFERROR(IF($B$14="W",CJ23,CJ22),"0")</f>
        <v>4</v>
      </c>
      <c r="CK35" s="33">
        <f t="shared" ref="CK35:CV35" si="135">IFERROR(IF($B$14="W",CK23,CK22),"0")</f>
        <v>16</v>
      </c>
      <c r="CL35" s="33">
        <f t="shared" si="135"/>
        <v>0</v>
      </c>
      <c r="CM35" s="33">
        <f t="shared" si="135"/>
        <v>0</v>
      </c>
      <c r="CN35" s="33">
        <f t="shared" si="135"/>
        <v>20</v>
      </c>
      <c r="CO35" s="33">
        <f t="shared" si="135"/>
        <v>8</v>
      </c>
      <c r="CP35" s="33">
        <f t="shared" si="135"/>
        <v>6</v>
      </c>
      <c r="CQ35" s="33">
        <f t="shared" si="135"/>
        <v>8</v>
      </c>
      <c r="CR35" s="33">
        <f t="shared" si="135"/>
        <v>3</v>
      </c>
      <c r="CS35" s="33">
        <f t="shared" si="135"/>
        <v>1</v>
      </c>
      <c r="CT35" s="33">
        <f t="shared" si="135"/>
        <v>10</v>
      </c>
      <c r="CU35" s="33">
        <f t="shared" si="135"/>
        <v>0</v>
      </c>
      <c r="CV35" s="33">
        <f t="shared" si="135"/>
        <v>36.25</v>
      </c>
      <c r="CW35" s="33"/>
      <c r="CX35" s="4"/>
      <c r="CY35" s="4"/>
      <c r="CZ35" s="4"/>
      <c r="DA35" s="4"/>
      <c r="DB35" s="8"/>
      <c r="DC35" s="8"/>
      <c r="DH35" s="8"/>
      <c r="DS35" s="10"/>
      <c r="DT35" s="10"/>
      <c r="EF35" s="228" t="s">
        <v>80</v>
      </c>
      <c r="EG35" s="6">
        <f t="shared" si="93"/>
        <v>33.009552344836685</v>
      </c>
      <c r="EW35" s="228" t="s">
        <v>80</v>
      </c>
      <c r="EX35" s="6">
        <f t="shared" si="94"/>
        <v>2.25</v>
      </c>
      <c r="EY35" s="6">
        <f t="shared" si="95"/>
        <v>3</v>
      </c>
      <c r="EZ35" s="6">
        <f t="shared" si="125"/>
        <v>16.125</v>
      </c>
    </row>
    <row r="36" spans="3:156" x14ac:dyDescent="0.2">
      <c r="C36" s="228" t="s">
        <v>224</v>
      </c>
      <c r="D36" s="28">
        <f>IFERROR(IF(B15="W",D23,D22),"0")</f>
        <v>72.169999999999987</v>
      </c>
      <c r="E36" s="86">
        <f t="shared" si="96"/>
        <v>14</v>
      </c>
      <c r="F36" s="33" t="s">
        <v>52</v>
      </c>
      <c r="G36" s="49">
        <f t="shared" si="97"/>
        <v>35</v>
      </c>
      <c r="H36" s="12" t="s">
        <v>53</v>
      </c>
      <c r="I36" s="33">
        <f t="shared" si="98"/>
        <v>9</v>
      </c>
      <c r="J36" s="49" t="s">
        <v>54</v>
      </c>
      <c r="K36" s="12">
        <f t="shared" si="99"/>
        <v>8</v>
      </c>
      <c r="L36" s="33" t="s">
        <v>52</v>
      </c>
      <c r="M36" s="49">
        <f t="shared" si="100"/>
        <v>12</v>
      </c>
      <c r="N36" s="12" t="s">
        <v>53</v>
      </c>
      <c r="O36" s="33">
        <f t="shared" si="101"/>
        <v>3</v>
      </c>
      <c r="P36" s="49" t="s">
        <v>54</v>
      </c>
      <c r="Q36" s="12">
        <f t="shared" si="102"/>
        <v>0</v>
      </c>
      <c r="R36" s="33" t="s">
        <v>52</v>
      </c>
      <c r="S36" s="49">
        <f t="shared" si="103"/>
        <v>4</v>
      </c>
      <c r="T36" s="12" t="s">
        <v>53</v>
      </c>
      <c r="U36" s="33">
        <f t="shared" si="104"/>
        <v>0</v>
      </c>
      <c r="V36" s="49" t="s">
        <v>54</v>
      </c>
      <c r="W36" s="12">
        <f t="shared" si="105"/>
        <v>6</v>
      </c>
      <c r="X36" s="33" t="s">
        <v>52</v>
      </c>
      <c r="Y36" s="49">
        <f t="shared" si="106"/>
        <v>19</v>
      </c>
      <c r="Z36" s="12" t="s">
        <v>53</v>
      </c>
      <c r="AA36" s="33">
        <f t="shared" si="107"/>
        <v>6</v>
      </c>
      <c r="AB36" s="49" t="s">
        <v>54</v>
      </c>
      <c r="AC36" s="12">
        <f t="shared" si="108"/>
        <v>6.4</v>
      </c>
      <c r="AD36" s="33" t="s">
        <v>52</v>
      </c>
      <c r="AE36" s="53">
        <f t="shared" si="109"/>
        <v>8</v>
      </c>
      <c r="AF36" s="12"/>
      <c r="AG36" s="43">
        <f t="shared" si="110"/>
        <v>13</v>
      </c>
      <c r="AH36" s="33" t="s">
        <v>52</v>
      </c>
      <c r="AI36" s="49">
        <f t="shared" si="111"/>
        <v>30</v>
      </c>
      <c r="AJ36" s="12" t="s">
        <v>53</v>
      </c>
      <c r="AK36" s="33">
        <f t="shared" si="112"/>
        <v>9</v>
      </c>
      <c r="AL36" s="49" t="s">
        <v>54</v>
      </c>
      <c r="AM36" s="12">
        <f t="shared" si="113"/>
        <v>7</v>
      </c>
      <c r="AN36" s="33" t="s">
        <v>52</v>
      </c>
      <c r="AO36" s="49">
        <f t="shared" si="114"/>
        <v>8</v>
      </c>
      <c r="AP36" s="12" t="s">
        <v>53</v>
      </c>
      <c r="AQ36" s="33">
        <f t="shared" si="115"/>
        <v>3</v>
      </c>
      <c r="AR36" s="49" t="s">
        <v>54</v>
      </c>
      <c r="AS36" s="12">
        <f t="shared" si="116"/>
        <v>0</v>
      </c>
      <c r="AT36" s="33" t="s">
        <v>52</v>
      </c>
      <c r="AU36" s="49">
        <f t="shared" si="117"/>
        <v>4</v>
      </c>
      <c r="AV36" s="12" t="s">
        <v>53</v>
      </c>
      <c r="AW36" s="33">
        <f t="shared" si="118"/>
        <v>0</v>
      </c>
      <c r="AX36" s="49" t="s">
        <v>54</v>
      </c>
      <c r="AY36" s="12">
        <f t="shared" si="119"/>
        <v>6</v>
      </c>
      <c r="AZ36" s="33" t="s">
        <v>52</v>
      </c>
      <c r="BA36" s="49">
        <f t="shared" si="120"/>
        <v>18</v>
      </c>
      <c r="BB36" s="12" t="s">
        <v>53</v>
      </c>
      <c r="BC36" s="33">
        <f t="shared" si="121"/>
        <v>6</v>
      </c>
      <c r="BD36" s="49" t="s">
        <v>54</v>
      </c>
      <c r="BE36" s="12">
        <f t="shared" si="122"/>
        <v>0</v>
      </c>
      <c r="BF36" s="33" t="s">
        <v>52</v>
      </c>
      <c r="BG36" s="53">
        <f t="shared" si="123"/>
        <v>0</v>
      </c>
      <c r="BH36" s="12"/>
      <c r="BI36" s="43">
        <f>IFERROR(IF($B$15="W",BI23,BI22),"0")</f>
        <v>1</v>
      </c>
      <c r="BJ36" s="12" t="str">
        <f t="shared" ref="BJ36:CI36" si="136">IFERROR(IF($B$15="W",BJ23,BJ22),"0")</f>
        <v>-</v>
      </c>
      <c r="BK36" s="49">
        <f t="shared" si="136"/>
        <v>5</v>
      </c>
      <c r="BL36" s="12" t="str">
        <f t="shared" si="136"/>
        <v>(</v>
      </c>
      <c r="BM36" s="33">
        <f t="shared" si="136"/>
        <v>0</v>
      </c>
      <c r="BN36" s="49" t="str">
        <f t="shared" si="136"/>
        <v>)</v>
      </c>
      <c r="BO36" s="12">
        <f t="shared" si="136"/>
        <v>1</v>
      </c>
      <c r="BP36" s="12" t="str">
        <f t="shared" si="136"/>
        <v>-</v>
      </c>
      <c r="BQ36" s="49">
        <f t="shared" si="136"/>
        <v>4</v>
      </c>
      <c r="BR36" s="12" t="str">
        <f t="shared" si="136"/>
        <v>(</v>
      </c>
      <c r="BS36" s="33">
        <f t="shared" si="136"/>
        <v>0</v>
      </c>
      <c r="BT36" s="49" t="str">
        <f t="shared" si="136"/>
        <v>)</v>
      </c>
      <c r="BU36" s="12">
        <f t="shared" si="136"/>
        <v>0</v>
      </c>
      <c r="BV36" s="12" t="str">
        <f t="shared" si="136"/>
        <v>-</v>
      </c>
      <c r="BW36" s="49">
        <f t="shared" si="136"/>
        <v>0</v>
      </c>
      <c r="BX36" s="12" t="str">
        <f t="shared" si="136"/>
        <v>(</v>
      </c>
      <c r="BY36" s="33">
        <f t="shared" si="136"/>
        <v>0</v>
      </c>
      <c r="BZ36" s="49" t="str">
        <f t="shared" si="136"/>
        <v>)</v>
      </c>
      <c r="CA36" s="12">
        <f t="shared" si="136"/>
        <v>0</v>
      </c>
      <c r="CB36" s="12" t="str">
        <f t="shared" si="136"/>
        <v>-</v>
      </c>
      <c r="CC36" s="49">
        <f t="shared" si="136"/>
        <v>1</v>
      </c>
      <c r="CD36" s="12" t="str">
        <f t="shared" si="136"/>
        <v>(</v>
      </c>
      <c r="CE36" s="33">
        <f t="shared" si="136"/>
        <v>0</v>
      </c>
      <c r="CF36" s="49" t="str">
        <f t="shared" si="136"/>
        <v>)</v>
      </c>
      <c r="CG36" s="12">
        <f t="shared" si="136"/>
        <v>0</v>
      </c>
      <c r="CH36" s="12" t="str">
        <f t="shared" si="136"/>
        <v>-</v>
      </c>
      <c r="CI36" s="53">
        <f t="shared" si="136"/>
        <v>0</v>
      </c>
      <c r="CJ36" s="33">
        <f>IFERROR(IF($B$15="W",CJ23,CJ22),"0")</f>
        <v>5</v>
      </c>
      <c r="CK36" s="33">
        <f t="shared" ref="CK36:CV36" si="137">IFERROR(IF($B$15="W",CK23,CK22),"0")</f>
        <v>8</v>
      </c>
      <c r="CL36" s="33">
        <f t="shared" si="137"/>
        <v>0</v>
      </c>
      <c r="CM36" s="33">
        <f t="shared" si="137"/>
        <v>0</v>
      </c>
      <c r="CN36" s="33">
        <f t="shared" si="137"/>
        <v>13</v>
      </c>
      <c r="CO36" s="33">
        <f t="shared" si="137"/>
        <v>9</v>
      </c>
      <c r="CP36" s="33">
        <f t="shared" si="137"/>
        <v>15</v>
      </c>
      <c r="CQ36" s="33">
        <f t="shared" si="137"/>
        <v>3</v>
      </c>
      <c r="CR36" s="33">
        <f t="shared" si="137"/>
        <v>8</v>
      </c>
      <c r="CS36" s="33">
        <f t="shared" si="137"/>
        <v>6</v>
      </c>
      <c r="CT36" s="33">
        <f t="shared" si="137"/>
        <v>2</v>
      </c>
      <c r="CU36" s="33">
        <f t="shared" si="137"/>
        <v>1</v>
      </c>
      <c r="CV36" s="33">
        <f t="shared" si="137"/>
        <v>40.4</v>
      </c>
      <c r="CW36" s="33"/>
      <c r="CX36" s="4"/>
      <c r="CY36" s="4"/>
      <c r="CZ36" s="4"/>
      <c r="DA36" s="4"/>
      <c r="DB36" s="8"/>
      <c r="DC36" s="8"/>
      <c r="DH36" s="8"/>
      <c r="DS36" s="10"/>
      <c r="DT36" s="10"/>
      <c r="EF36" s="228" t="s">
        <v>224</v>
      </c>
      <c r="EG36" s="6">
        <f t="shared" si="93"/>
        <v>33.915254817916114</v>
      </c>
      <c r="EW36" s="228" t="s">
        <v>224</v>
      </c>
      <c r="EX36" s="6">
        <f t="shared" si="94"/>
        <v>6.4</v>
      </c>
      <c r="EY36" s="6">
        <f t="shared" si="95"/>
        <v>8</v>
      </c>
      <c r="EZ36" s="6">
        <f t="shared" si="125"/>
        <v>17.071999999999999</v>
      </c>
    </row>
    <row r="37" spans="3:156" x14ac:dyDescent="0.2">
      <c r="C37" s="228" t="s">
        <v>112</v>
      </c>
      <c r="D37" s="28">
        <f>IFERROR(IF(B16="W",D23,D22),"0")</f>
        <v>72.169999999999987</v>
      </c>
      <c r="E37" s="86">
        <f t="shared" si="96"/>
        <v>15</v>
      </c>
      <c r="F37" s="33" t="s">
        <v>52</v>
      </c>
      <c r="G37" s="49">
        <f t="shared" si="97"/>
        <v>27</v>
      </c>
      <c r="H37" s="12" t="s">
        <v>53</v>
      </c>
      <c r="I37" s="33">
        <f t="shared" si="98"/>
        <v>7</v>
      </c>
      <c r="J37" s="49" t="s">
        <v>54</v>
      </c>
      <c r="K37" s="12">
        <f t="shared" si="99"/>
        <v>11</v>
      </c>
      <c r="L37" s="33" t="s">
        <v>52</v>
      </c>
      <c r="M37" s="49">
        <f t="shared" si="100"/>
        <v>13</v>
      </c>
      <c r="N37" s="12" t="s">
        <v>53</v>
      </c>
      <c r="O37" s="33">
        <f t="shared" si="101"/>
        <v>4</v>
      </c>
      <c r="P37" s="49" t="s">
        <v>54</v>
      </c>
      <c r="Q37" s="12">
        <f t="shared" si="102"/>
        <v>0</v>
      </c>
      <c r="R37" s="33" t="s">
        <v>52</v>
      </c>
      <c r="S37" s="49">
        <f t="shared" si="103"/>
        <v>2</v>
      </c>
      <c r="T37" s="12" t="s">
        <v>53</v>
      </c>
      <c r="U37" s="33">
        <f t="shared" si="104"/>
        <v>0</v>
      </c>
      <c r="V37" s="49" t="s">
        <v>54</v>
      </c>
      <c r="W37" s="12">
        <f t="shared" si="105"/>
        <v>4</v>
      </c>
      <c r="X37" s="33" t="s">
        <v>52</v>
      </c>
      <c r="Y37" s="49">
        <f t="shared" si="106"/>
        <v>12</v>
      </c>
      <c r="Z37" s="12" t="s">
        <v>53</v>
      </c>
      <c r="AA37" s="33">
        <f t="shared" si="107"/>
        <v>3</v>
      </c>
      <c r="AB37" s="49" t="s">
        <v>54</v>
      </c>
      <c r="AC37" s="12">
        <f t="shared" si="108"/>
        <v>2.25</v>
      </c>
      <c r="AD37" s="33" t="s">
        <v>52</v>
      </c>
      <c r="AE37" s="53">
        <f t="shared" si="109"/>
        <v>3</v>
      </c>
      <c r="AF37" s="12"/>
      <c r="AG37" s="43">
        <f t="shared" si="110"/>
        <v>11</v>
      </c>
      <c r="AH37" s="33" t="s">
        <v>52</v>
      </c>
      <c r="AI37" s="49">
        <f t="shared" si="111"/>
        <v>22</v>
      </c>
      <c r="AJ37" s="12" t="s">
        <v>53</v>
      </c>
      <c r="AK37" s="33">
        <f t="shared" si="112"/>
        <v>5</v>
      </c>
      <c r="AL37" s="49" t="s">
        <v>54</v>
      </c>
      <c r="AM37" s="12">
        <f t="shared" si="113"/>
        <v>9</v>
      </c>
      <c r="AN37" s="33" t="s">
        <v>52</v>
      </c>
      <c r="AO37" s="49">
        <f t="shared" si="114"/>
        <v>10</v>
      </c>
      <c r="AP37" s="12" t="s">
        <v>53</v>
      </c>
      <c r="AQ37" s="33">
        <f t="shared" si="115"/>
        <v>3</v>
      </c>
      <c r="AR37" s="49" t="s">
        <v>54</v>
      </c>
      <c r="AS37" s="12">
        <f t="shared" si="116"/>
        <v>0</v>
      </c>
      <c r="AT37" s="33" t="s">
        <v>52</v>
      </c>
      <c r="AU37" s="49">
        <f t="shared" si="117"/>
        <v>2</v>
      </c>
      <c r="AV37" s="12" t="s">
        <v>53</v>
      </c>
      <c r="AW37" s="33">
        <f t="shared" si="118"/>
        <v>0</v>
      </c>
      <c r="AX37" s="49" t="s">
        <v>54</v>
      </c>
      <c r="AY37" s="12">
        <f t="shared" si="119"/>
        <v>2</v>
      </c>
      <c r="AZ37" s="33" t="s">
        <v>52</v>
      </c>
      <c r="BA37" s="49">
        <f t="shared" si="120"/>
        <v>10</v>
      </c>
      <c r="BB37" s="12" t="s">
        <v>53</v>
      </c>
      <c r="BC37" s="33">
        <f t="shared" si="121"/>
        <v>2</v>
      </c>
      <c r="BD37" s="49" t="s">
        <v>54</v>
      </c>
      <c r="BE37" s="12">
        <f t="shared" si="122"/>
        <v>0</v>
      </c>
      <c r="BF37" s="33" t="s">
        <v>52</v>
      </c>
      <c r="BG37" s="53">
        <f t="shared" si="123"/>
        <v>0</v>
      </c>
      <c r="BH37" s="12"/>
      <c r="BI37" s="43">
        <f>IFERROR(IF($B$16="W",BI23,BI22),"0")</f>
        <v>4</v>
      </c>
      <c r="BJ37" s="12" t="str">
        <f t="shared" ref="BJ37:CI37" si="138">IFERROR(IF($B$16="W",BJ23,BJ22),"0")</f>
        <v>-</v>
      </c>
      <c r="BK37" s="49">
        <f t="shared" si="138"/>
        <v>5</v>
      </c>
      <c r="BL37" s="12" t="str">
        <f t="shared" si="138"/>
        <v>(</v>
      </c>
      <c r="BM37" s="33">
        <f t="shared" si="138"/>
        <v>2</v>
      </c>
      <c r="BN37" s="49" t="str">
        <f t="shared" si="138"/>
        <v>)</v>
      </c>
      <c r="BO37" s="12">
        <f t="shared" si="138"/>
        <v>2</v>
      </c>
      <c r="BP37" s="12" t="str">
        <f t="shared" si="138"/>
        <v>-</v>
      </c>
      <c r="BQ37" s="49">
        <f t="shared" si="138"/>
        <v>3</v>
      </c>
      <c r="BR37" s="12" t="str">
        <f t="shared" si="138"/>
        <v>(</v>
      </c>
      <c r="BS37" s="33">
        <f t="shared" si="138"/>
        <v>1</v>
      </c>
      <c r="BT37" s="49" t="str">
        <f t="shared" si="138"/>
        <v>)</v>
      </c>
      <c r="BU37" s="12">
        <f t="shared" si="138"/>
        <v>0</v>
      </c>
      <c r="BV37" s="12" t="str">
        <f t="shared" si="138"/>
        <v>-</v>
      </c>
      <c r="BW37" s="49">
        <f t="shared" si="138"/>
        <v>0</v>
      </c>
      <c r="BX37" s="12" t="str">
        <f t="shared" si="138"/>
        <v>(</v>
      </c>
      <c r="BY37" s="33">
        <f t="shared" si="138"/>
        <v>0</v>
      </c>
      <c r="BZ37" s="49" t="str">
        <f t="shared" si="138"/>
        <v>)</v>
      </c>
      <c r="CA37" s="12">
        <f t="shared" si="138"/>
        <v>2</v>
      </c>
      <c r="CB37" s="12" t="str">
        <f t="shared" si="138"/>
        <v>-</v>
      </c>
      <c r="CC37" s="49">
        <f t="shared" si="138"/>
        <v>2</v>
      </c>
      <c r="CD37" s="12" t="str">
        <f t="shared" si="138"/>
        <v>(</v>
      </c>
      <c r="CE37" s="33">
        <f t="shared" si="138"/>
        <v>1</v>
      </c>
      <c r="CF37" s="49" t="str">
        <f t="shared" si="138"/>
        <v>)</v>
      </c>
      <c r="CG37" s="12">
        <f t="shared" si="138"/>
        <v>0</v>
      </c>
      <c r="CH37" s="12" t="str">
        <f t="shared" si="138"/>
        <v>-</v>
      </c>
      <c r="CI37" s="53">
        <f t="shared" si="138"/>
        <v>0</v>
      </c>
      <c r="CJ37" s="33">
        <f>IFERROR(IF($B$16="W",CJ23,CJ22),"0")</f>
        <v>4</v>
      </c>
      <c r="CK37" s="33">
        <f t="shared" ref="CK37:CV37" si="139">IFERROR(IF($B$16="W",CK23,CK22),"0")</f>
        <v>16</v>
      </c>
      <c r="CL37" s="33">
        <f t="shared" si="139"/>
        <v>0</v>
      </c>
      <c r="CM37" s="33">
        <f t="shared" si="139"/>
        <v>0</v>
      </c>
      <c r="CN37" s="33">
        <f t="shared" si="139"/>
        <v>20</v>
      </c>
      <c r="CO37" s="33">
        <f t="shared" si="139"/>
        <v>8</v>
      </c>
      <c r="CP37" s="33">
        <f t="shared" si="139"/>
        <v>6</v>
      </c>
      <c r="CQ37" s="33">
        <f t="shared" si="139"/>
        <v>8</v>
      </c>
      <c r="CR37" s="33">
        <f t="shared" si="139"/>
        <v>3</v>
      </c>
      <c r="CS37" s="33">
        <f t="shared" si="139"/>
        <v>1</v>
      </c>
      <c r="CT37" s="33">
        <f t="shared" si="139"/>
        <v>10</v>
      </c>
      <c r="CU37" s="33">
        <f t="shared" si="139"/>
        <v>0</v>
      </c>
      <c r="CV37" s="33">
        <f t="shared" si="139"/>
        <v>36.25</v>
      </c>
      <c r="CW37" s="33"/>
      <c r="CX37" s="4"/>
      <c r="CY37" s="4"/>
      <c r="CZ37" s="4"/>
      <c r="DA37" s="4"/>
      <c r="DB37" s="8"/>
      <c r="DC37" s="8"/>
      <c r="DH37" s="8"/>
      <c r="DS37" s="10"/>
      <c r="DT37" s="10"/>
      <c r="EF37" s="228" t="s">
        <v>112</v>
      </c>
      <c r="EG37" s="6">
        <f t="shared" si="93"/>
        <v>33.009552344836685</v>
      </c>
      <c r="EW37" s="228" t="s">
        <v>112</v>
      </c>
      <c r="EX37" s="6">
        <f t="shared" si="94"/>
        <v>2.25</v>
      </c>
      <c r="EY37" s="6">
        <f t="shared" si="95"/>
        <v>3</v>
      </c>
      <c r="EZ37" s="6">
        <f>IFERROR(IF(B16="W",$EZ$23,$EZ$22),"0")</f>
        <v>16.125</v>
      </c>
    </row>
    <row r="38" spans="3:156" x14ac:dyDescent="0.2">
      <c r="C38" s="229" t="s">
        <v>81</v>
      </c>
      <c r="D38" s="28">
        <f>IFERROR(IF(B17="W",D23,D22),"0")</f>
        <v>72.169999999999987</v>
      </c>
      <c r="E38" s="86">
        <f t="shared" si="96"/>
        <v>15</v>
      </c>
      <c r="F38" s="33" t="s">
        <v>52</v>
      </c>
      <c r="G38" s="49">
        <f t="shared" si="97"/>
        <v>27</v>
      </c>
      <c r="H38" s="12" t="s">
        <v>53</v>
      </c>
      <c r="I38" s="33">
        <f t="shared" si="98"/>
        <v>7</v>
      </c>
      <c r="J38" s="49" t="s">
        <v>54</v>
      </c>
      <c r="K38" s="12">
        <f t="shared" si="99"/>
        <v>11</v>
      </c>
      <c r="L38" s="33" t="s">
        <v>52</v>
      </c>
      <c r="M38" s="49">
        <f t="shared" si="100"/>
        <v>13</v>
      </c>
      <c r="N38" s="12" t="s">
        <v>53</v>
      </c>
      <c r="O38" s="33">
        <f t="shared" si="101"/>
        <v>4</v>
      </c>
      <c r="P38" s="49" t="s">
        <v>54</v>
      </c>
      <c r="Q38" s="12">
        <f t="shared" si="102"/>
        <v>0</v>
      </c>
      <c r="R38" s="33" t="s">
        <v>52</v>
      </c>
      <c r="S38" s="49">
        <f t="shared" si="103"/>
        <v>2</v>
      </c>
      <c r="T38" s="12" t="s">
        <v>53</v>
      </c>
      <c r="U38" s="33">
        <f t="shared" si="104"/>
        <v>0</v>
      </c>
      <c r="V38" s="49" t="s">
        <v>54</v>
      </c>
      <c r="W38" s="12">
        <f t="shared" si="105"/>
        <v>4</v>
      </c>
      <c r="X38" s="33" t="s">
        <v>52</v>
      </c>
      <c r="Y38" s="49">
        <f t="shared" si="106"/>
        <v>12</v>
      </c>
      <c r="Z38" s="12" t="s">
        <v>53</v>
      </c>
      <c r="AA38" s="33">
        <f t="shared" si="107"/>
        <v>3</v>
      </c>
      <c r="AB38" s="49" t="s">
        <v>54</v>
      </c>
      <c r="AC38" s="12">
        <f t="shared" si="108"/>
        <v>2.25</v>
      </c>
      <c r="AD38" s="33" t="s">
        <v>52</v>
      </c>
      <c r="AE38" s="53">
        <f t="shared" si="109"/>
        <v>3</v>
      </c>
      <c r="AF38" s="12"/>
      <c r="AG38" s="43">
        <f t="shared" si="110"/>
        <v>11</v>
      </c>
      <c r="AH38" s="33" t="s">
        <v>52</v>
      </c>
      <c r="AI38" s="49">
        <f t="shared" si="111"/>
        <v>22</v>
      </c>
      <c r="AJ38" s="12" t="s">
        <v>53</v>
      </c>
      <c r="AK38" s="33">
        <f t="shared" si="112"/>
        <v>5</v>
      </c>
      <c r="AL38" s="49" t="s">
        <v>54</v>
      </c>
      <c r="AM38" s="12">
        <f t="shared" si="113"/>
        <v>9</v>
      </c>
      <c r="AN38" s="33" t="s">
        <v>52</v>
      </c>
      <c r="AO38" s="49">
        <f t="shared" si="114"/>
        <v>10</v>
      </c>
      <c r="AP38" s="12" t="s">
        <v>53</v>
      </c>
      <c r="AQ38" s="33">
        <f t="shared" si="115"/>
        <v>3</v>
      </c>
      <c r="AR38" s="49" t="s">
        <v>54</v>
      </c>
      <c r="AS38" s="12">
        <f t="shared" si="116"/>
        <v>0</v>
      </c>
      <c r="AT38" s="33" t="s">
        <v>52</v>
      </c>
      <c r="AU38" s="49">
        <f t="shared" si="117"/>
        <v>2</v>
      </c>
      <c r="AV38" s="12" t="s">
        <v>53</v>
      </c>
      <c r="AW38" s="33">
        <f t="shared" si="118"/>
        <v>0</v>
      </c>
      <c r="AX38" s="49" t="s">
        <v>54</v>
      </c>
      <c r="AY38" s="12">
        <f t="shared" si="119"/>
        <v>2</v>
      </c>
      <c r="AZ38" s="33" t="s">
        <v>52</v>
      </c>
      <c r="BA38" s="49">
        <f t="shared" si="120"/>
        <v>10</v>
      </c>
      <c r="BB38" s="12" t="s">
        <v>53</v>
      </c>
      <c r="BC38" s="33">
        <f t="shared" si="121"/>
        <v>2</v>
      </c>
      <c r="BD38" s="49" t="s">
        <v>54</v>
      </c>
      <c r="BE38" s="12">
        <f t="shared" si="122"/>
        <v>0</v>
      </c>
      <c r="BF38" s="33" t="s">
        <v>52</v>
      </c>
      <c r="BG38" s="53">
        <f t="shared" si="123"/>
        <v>0</v>
      </c>
      <c r="BH38" s="12"/>
      <c r="BI38" s="43">
        <f>IFERROR(IF($B$17="W",BI23,BI22),"0")</f>
        <v>4</v>
      </c>
      <c r="BJ38" s="12" t="str">
        <f t="shared" ref="BJ38:CI38" si="140">IFERROR(IF($B$17="W",BJ23,BJ22),"0")</f>
        <v>-</v>
      </c>
      <c r="BK38" s="49">
        <f t="shared" si="140"/>
        <v>5</v>
      </c>
      <c r="BL38" s="12" t="str">
        <f t="shared" si="140"/>
        <v>(</v>
      </c>
      <c r="BM38" s="33">
        <f t="shared" si="140"/>
        <v>2</v>
      </c>
      <c r="BN38" s="49" t="str">
        <f t="shared" si="140"/>
        <v>)</v>
      </c>
      <c r="BO38" s="12">
        <f t="shared" si="140"/>
        <v>2</v>
      </c>
      <c r="BP38" s="12" t="str">
        <f t="shared" si="140"/>
        <v>-</v>
      </c>
      <c r="BQ38" s="49">
        <f t="shared" si="140"/>
        <v>3</v>
      </c>
      <c r="BR38" s="12" t="str">
        <f t="shared" si="140"/>
        <v>(</v>
      </c>
      <c r="BS38" s="33">
        <f t="shared" si="140"/>
        <v>1</v>
      </c>
      <c r="BT38" s="49" t="str">
        <f t="shared" si="140"/>
        <v>)</v>
      </c>
      <c r="BU38" s="12">
        <f t="shared" si="140"/>
        <v>0</v>
      </c>
      <c r="BV38" s="12" t="str">
        <f t="shared" si="140"/>
        <v>-</v>
      </c>
      <c r="BW38" s="49">
        <f t="shared" si="140"/>
        <v>0</v>
      </c>
      <c r="BX38" s="12" t="str">
        <f t="shared" si="140"/>
        <v>(</v>
      </c>
      <c r="BY38" s="33">
        <f t="shared" si="140"/>
        <v>0</v>
      </c>
      <c r="BZ38" s="49" t="str">
        <f t="shared" si="140"/>
        <v>)</v>
      </c>
      <c r="CA38" s="12">
        <f t="shared" si="140"/>
        <v>2</v>
      </c>
      <c r="CB38" s="12" t="str">
        <f t="shared" si="140"/>
        <v>-</v>
      </c>
      <c r="CC38" s="49">
        <f t="shared" si="140"/>
        <v>2</v>
      </c>
      <c r="CD38" s="12" t="str">
        <f t="shared" si="140"/>
        <v>(</v>
      </c>
      <c r="CE38" s="33">
        <f t="shared" si="140"/>
        <v>1</v>
      </c>
      <c r="CF38" s="49" t="str">
        <f t="shared" si="140"/>
        <v>)</v>
      </c>
      <c r="CG38" s="12">
        <f t="shared" si="140"/>
        <v>0</v>
      </c>
      <c r="CH38" s="12" t="str">
        <f t="shared" si="140"/>
        <v>-</v>
      </c>
      <c r="CI38" s="53">
        <f t="shared" si="140"/>
        <v>0</v>
      </c>
      <c r="CJ38" s="33">
        <f>IFERROR(IF($B$17="W",CJ23,CJ22),"0")</f>
        <v>4</v>
      </c>
      <c r="CK38" s="33">
        <f t="shared" ref="CK38:CV38" si="141">IFERROR(IF($B$17="W",CK23,CK22),"0")</f>
        <v>16</v>
      </c>
      <c r="CL38" s="33">
        <f t="shared" si="141"/>
        <v>0</v>
      </c>
      <c r="CM38" s="33">
        <f t="shared" si="141"/>
        <v>0</v>
      </c>
      <c r="CN38" s="33">
        <f t="shared" si="141"/>
        <v>20</v>
      </c>
      <c r="CO38" s="33">
        <f t="shared" si="141"/>
        <v>8</v>
      </c>
      <c r="CP38" s="33">
        <f t="shared" si="141"/>
        <v>6</v>
      </c>
      <c r="CQ38" s="33">
        <f t="shared" si="141"/>
        <v>8</v>
      </c>
      <c r="CR38" s="33">
        <f t="shared" si="141"/>
        <v>3</v>
      </c>
      <c r="CS38" s="33">
        <f t="shared" si="141"/>
        <v>1</v>
      </c>
      <c r="CT38" s="33">
        <f t="shared" si="141"/>
        <v>10</v>
      </c>
      <c r="CU38" s="33">
        <f t="shared" si="141"/>
        <v>0</v>
      </c>
      <c r="CV38" s="33">
        <f t="shared" si="141"/>
        <v>36.25</v>
      </c>
      <c r="CW38" s="33"/>
      <c r="CX38" s="4"/>
      <c r="CY38" s="4"/>
      <c r="CZ38" s="4"/>
      <c r="DA38" s="4"/>
      <c r="DB38" s="8"/>
      <c r="DC38" s="8"/>
      <c r="DH38" s="8"/>
      <c r="DS38" s="10"/>
      <c r="DT38" s="10"/>
      <c r="EF38" s="229" t="s">
        <v>81</v>
      </c>
      <c r="EG38" s="6">
        <f t="shared" si="93"/>
        <v>33.009552344836685</v>
      </c>
      <c r="EW38" s="229" t="s">
        <v>81</v>
      </c>
      <c r="EX38" s="6">
        <f t="shared" si="94"/>
        <v>2.25</v>
      </c>
      <c r="EY38" s="6">
        <f t="shared" si="95"/>
        <v>3</v>
      </c>
      <c r="EZ38" s="6">
        <f t="shared" si="125"/>
        <v>16.125</v>
      </c>
    </row>
    <row r="39" spans="3:156" x14ac:dyDescent="0.2">
      <c r="C39" s="229" t="s">
        <v>225</v>
      </c>
      <c r="D39" s="28">
        <f>IFERROR(IF(B18="W",D23,D22),"0")</f>
        <v>72.169999999999987</v>
      </c>
      <c r="E39" s="86">
        <f t="shared" si="96"/>
        <v>15</v>
      </c>
      <c r="F39" s="33" t="s">
        <v>52</v>
      </c>
      <c r="G39" s="49">
        <f t="shared" si="97"/>
        <v>27</v>
      </c>
      <c r="H39" s="12" t="s">
        <v>53</v>
      </c>
      <c r="I39" s="33">
        <f t="shared" si="98"/>
        <v>7</v>
      </c>
      <c r="J39" s="49" t="s">
        <v>54</v>
      </c>
      <c r="K39" s="12">
        <f t="shared" si="99"/>
        <v>11</v>
      </c>
      <c r="L39" s="33" t="s">
        <v>52</v>
      </c>
      <c r="M39" s="49">
        <f t="shared" si="100"/>
        <v>13</v>
      </c>
      <c r="N39" s="12" t="s">
        <v>53</v>
      </c>
      <c r="O39" s="33">
        <f t="shared" si="101"/>
        <v>4</v>
      </c>
      <c r="P39" s="49" t="s">
        <v>54</v>
      </c>
      <c r="Q39" s="12">
        <f t="shared" si="102"/>
        <v>0</v>
      </c>
      <c r="R39" s="33" t="s">
        <v>52</v>
      </c>
      <c r="S39" s="49">
        <f t="shared" si="103"/>
        <v>2</v>
      </c>
      <c r="T39" s="12" t="s">
        <v>53</v>
      </c>
      <c r="U39" s="33">
        <f t="shared" si="104"/>
        <v>0</v>
      </c>
      <c r="V39" s="49" t="s">
        <v>54</v>
      </c>
      <c r="W39" s="12">
        <f t="shared" si="105"/>
        <v>4</v>
      </c>
      <c r="X39" s="33" t="s">
        <v>52</v>
      </c>
      <c r="Y39" s="49">
        <f t="shared" si="106"/>
        <v>12</v>
      </c>
      <c r="Z39" s="12" t="s">
        <v>53</v>
      </c>
      <c r="AA39" s="33">
        <f t="shared" si="107"/>
        <v>3</v>
      </c>
      <c r="AB39" s="49" t="s">
        <v>54</v>
      </c>
      <c r="AC39" s="12">
        <f t="shared" si="108"/>
        <v>2.25</v>
      </c>
      <c r="AD39" s="33" t="s">
        <v>52</v>
      </c>
      <c r="AE39" s="53">
        <f t="shared" si="109"/>
        <v>3</v>
      </c>
      <c r="AF39" s="12"/>
      <c r="AG39" s="43">
        <f t="shared" si="110"/>
        <v>11</v>
      </c>
      <c r="AH39" s="33" t="s">
        <v>52</v>
      </c>
      <c r="AI39" s="49">
        <f t="shared" si="111"/>
        <v>22</v>
      </c>
      <c r="AJ39" s="12" t="s">
        <v>53</v>
      </c>
      <c r="AK39" s="33">
        <f t="shared" si="112"/>
        <v>5</v>
      </c>
      <c r="AL39" s="49" t="s">
        <v>54</v>
      </c>
      <c r="AM39" s="12">
        <f t="shared" si="113"/>
        <v>9</v>
      </c>
      <c r="AN39" s="33" t="s">
        <v>52</v>
      </c>
      <c r="AO39" s="49">
        <f t="shared" si="114"/>
        <v>10</v>
      </c>
      <c r="AP39" s="12" t="s">
        <v>53</v>
      </c>
      <c r="AQ39" s="33">
        <f t="shared" si="115"/>
        <v>3</v>
      </c>
      <c r="AR39" s="49" t="s">
        <v>54</v>
      </c>
      <c r="AS39" s="12">
        <f t="shared" si="116"/>
        <v>0</v>
      </c>
      <c r="AT39" s="33" t="s">
        <v>52</v>
      </c>
      <c r="AU39" s="49">
        <f t="shared" si="117"/>
        <v>2</v>
      </c>
      <c r="AV39" s="12" t="s">
        <v>53</v>
      </c>
      <c r="AW39" s="33">
        <f t="shared" si="118"/>
        <v>0</v>
      </c>
      <c r="AX39" s="49" t="s">
        <v>54</v>
      </c>
      <c r="AY39" s="12">
        <f t="shared" si="119"/>
        <v>2</v>
      </c>
      <c r="AZ39" s="33" t="s">
        <v>52</v>
      </c>
      <c r="BA39" s="49">
        <f t="shared" si="120"/>
        <v>10</v>
      </c>
      <c r="BB39" s="12" t="s">
        <v>53</v>
      </c>
      <c r="BC39" s="33">
        <f t="shared" si="121"/>
        <v>2</v>
      </c>
      <c r="BD39" s="49" t="s">
        <v>54</v>
      </c>
      <c r="BE39" s="12">
        <f t="shared" si="122"/>
        <v>0</v>
      </c>
      <c r="BF39" s="33" t="s">
        <v>52</v>
      </c>
      <c r="BG39" s="53">
        <f t="shared" si="123"/>
        <v>0</v>
      </c>
      <c r="BH39" s="12"/>
      <c r="BI39" s="43">
        <f>IFERROR(IF($B$18="W",BI23,BI22),"0")</f>
        <v>4</v>
      </c>
      <c r="BJ39" s="12" t="str">
        <f t="shared" ref="BJ39:CI39" si="142">IFERROR(IF($B$18="W",BJ23,BJ22),"0")</f>
        <v>-</v>
      </c>
      <c r="BK39" s="49">
        <f t="shared" si="142"/>
        <v>5</v>
      </c>
      <c r="BL39" s="12" t="str">
        <f t="shared" si="142"/>
        <v>(</v>
      </c>
      <c r="BM39" s="33">
        <f t="shared" si="142"/>
        <v>2</v>
      </c>
      <c r="BN39" s="49" t="str">
        <f t="shared" si="142"/>
        <v>)</v>
      </c>
      <c r="BO39" s="12">
        <f t="shared" si="142"/>
        <v>2</v>
      </c>
      <c r="BP39" s="12" t="str">
        <f t="shared" si="142"/>
        <v>-</v>
      </c>
      <c r="BQ39" s="49">
        <f t="shared" si="142"/>
        <v>3</v>
      </c>
      <c r="BR39" s="12" t="str">
        <f t="shared" si="142"/>
        <v>(</v>
      </c>
      <c r="BS39" s="33">
        <f t="shared" si="142"/>
        <v>1</v>
      </c>
      <c r="BT39" s="49" t="str">
        <f t="shared" si="142"/>
        <v>)</v>
      </c>
      <c r="BU39" s="12">
        <f t="shared" si="142"/>
        <v>0</v>
      </c>
      <c r="BV39" s="12" t="str">
        <f t="shared" si="142"/>
        <v>-</v>
      </c>
      <c r="BW39" s="49">
        <f t="shared" si="142"/>
        <v>0</v>
      </c>
      <c r="BX39" s="12" t="str">
        <f t="shared" si="142"/>
        <v>(</v>
      </c>
      <c r="BY39" s="33">
        <f t="shared" si="142"/>
        <v>0</v>
      </c>
      <c r="BZ39" s="49" t="str">
        <f t="shared" si="142"/>
        <v>)</v>
      </c>
      <c r="CA39" s="12">
        <f t="shared" si="142"/>
        <v>2</v>
      </c>
      <c r="CB39" s="12" t="str">
        <f t="shared" si="142"/>
        <v>-</v>
      </c>
      <c r="CC39" s="49">
        <f t="shared" si="142"/>
        <v>2</v>
      </c>
      <c r="CD39" s="12" t="str">
        <f t="shared" si="142"/>
        <v>(</v>
      </c>
      <c r="CE39" s="33">
        <f t="shared" si="142"/>
        <v>1</v>
      </c>
      <c r="CF39" s="49" t="str">
        <f t="shared" si="142"/>
        <v>)</v>
      </c>
      <c r="CG39" s="12">
        <f t="shared" si="142"/>
        <v>0</v>
      </c>
      <c r="CH39" s="12" t="str">
        <f t="shared" si="142"/>
        <v>-</v>
      </c>
      <c r="CI39" s="53">
        <f t="shared" si="142"/>
        <v>0</v>
      </c>
      <c r="CJ39" s="33">
        <f>IFERROR(IF($B$18="W",CJ23,CJ22),"0")</f>
        <v>4</v>
      </c>
      <c r="CK39" s="33">
        <f t="shared" ref="CK39:CV39" si="143">IFERROR(IF($B$18="W",CK23,CK22),"0")</f>
        <v>16</v>
      </c>
      <c r="CL39" s="33">
        <f t="shared" si="143"/>
        <v>0</v>
      </c>
      <c r="CM39" s="33">
        <f t="shared" si="143"/>
        <v>0</v>
      </c>
      <c r="CN39" s="33">
        <f t="shared" si="143"/>
        <v>20</v>
      </c>
      <c r="CO39" s="33">
        <f t="shared" si="143"/>
        <v>8</v>
      </c>
      <c r="CP39" s="33">
        <f t="shared" si="143"/>
        <v>6</v>
      </c>
      <c r="CQ39" s="33">
        <f t="shared" si="143"/>
        <v>8</v>
      </c>
      <c r="CR39" s="33">
        <f t="shared" si="143"/>
        <v>3</v>
      </c>
      <c r="CS39" s="33">
        <f t="shared" si="143"/>
        <v>1</v>
      </c>
      <c r="CT39" s="33">
        <f t="shared" si="143"/>
        <v>10</v>
      </c>
      <c r="CU39" s="33">
        <f t="shared" si="143"/>
        <v>0</v>
      </c>
      <c r="CV39" s="33">
        <f t="shared" si="143"/>
        <v>36.25</v>
      </c>
      <c r="CW39" s="33"/>
      <c r="CX39" s="4"/>
      <c r="CY39" s="4"/>
      <c r="CZ39" s="4"/>
      <c r="DA39" s="4"/>
      <c r="DB39" s="8"/>
      <c r="DC39" s="8"/>
      <c r="DH39" s="8"/>
      <c r="DS39" s="10"/>
      <c r="DT39" s="10"/>
      <c r="EF39" s="229" t="s">
        <v>225</v>
      </c>
      <c r="EG39" s="6">
        <f t="shared" si="93"/>
        <v>33.009552344836685</v>
      </c>
      <c r="EW39" s="229" t="s">
        <v>225</v>
      </c>
      <c r="EX39" s="6">
        <f t="shared" si="94"/>
        <v>2.25</v>
      </c>
      <c r="EY39" s="6">
        <f t="shared" si="95"/>
        <v>3</v>
      </c>
      <c r="EZ39" s="6">
        <f t="shared" si="125"/>
        <v>16.125</v>
      </c>
    </row>
    <row r="40" spans="3:156" x14ac:dyDescent="0.2">
      <c r="C40" s="38" t="s">
        <v>42</v>
      </c>
      <c r="D40" s="28">
        <f t="shared" ref="D40:D54" si="144">IFERROR(IF(B4="W",D$22,D$23),"0")</f>
        <v>72.169999999999987</v>
      </c>
      <c r="E40" s="86">
        <f>IFERROR(IF(B4="W",$E$22,$E$23),"0")</f>
        <v>15</v>
      </c>
      <c r="F40" s="33" t="s">
        <v>52</v>
      </c>
      <c r="G40" s="49">
        <f>IFERROR(IF(B4="W",$G$22,$G$23),"0")</f>
        <v>27</v>
      </c>
      <c r="H40" s="12" t="s">
        <v>53</v>
      </c>
      <c r="I40" s="33">
        <f>IFERROR(IF(B4="W",I$22,I$23),"0")</f>
        <v>7</v>
      </c>
      <c r="J40" s="49" t="s">
        <v>54</v>
      </c>
      <c r="K40" s="12">
        <f>IFERROR(IF(B4="W",K$22,K$23),"0")</f>
        <v>11</v>
      </c>
      <c r="L40" s="33" t="s">
        <v>52</v>
      </c>
      <c r="M40" s="49">
        <f>IFERROR(IF(B4="W",M$22,M$23),"0")</f>
        <v>13</v>
      </c>
      <c r="N40" s="12" t="s">
        <v>53</v>
      </c>
      <c r="O40" s="33">
        <f>IFERROR(IF(B4="W",O$22,O$23),"0")</f>
        <v>4</v>
      </c>
      <c r="P40" s="49" t="s">
        <v>54</v>
      </c>
      <c r="Q40" s="12">
        <f>IFERROR(IF(B4="W",Q$22,Q$23),"0")</f>
        <v>0</v>
      </c>
      <c r="R40" s="33" t="s">
        <v>52</v>
      </c>
      <c r="S40" s="49">
        <f>IFERROR(IF(B4="W",S$22,S$23),"0")</f>
        <v>2</v>
      </c>
      <c r="T40" s="12" t="s">
        <v>53</v>
      </c>
      <c r="U40" s="33">
        <f>IFERROR(IF(B4="W",U$22,U$23),"0")</f>
        <v>0</v>
      </c>
      <c r="V40" s="49" t="s">
        <v>54</v>
      </c>
      <c r="W40" s="12">
        <f>IFERROR(IF(B4="W",W$22,W$23),"0")</f>
        <v>4</v>
      </c>
      <c r="X40" s="33" t="s">
        <v>52</v>
      </c>
      <c r="Y40" s="49">
        <f>IFERROR(IF(B4="W",Y$22,Y$23),"0")</f>
        <v>12</v>
      </c>
      <c r="Z40" s="12" t="s">
        <v>53</v>
      </c>
      <c r="AA40" s="33">
        <f>IFERROR(IF(B4="W",AA$22,AA$23),"0")</f>
        <v>3</v>
      </c>
      <c r="AB40" s="49" t="s">
        <v>54</v>
      </c>
      <c r="AC40" s="12">
        <f>IFERROR(IF(B4="W",AC$22,AC$23),"0")</f>
        <v>2.25</v>
      </c>
      <c r="AD40" s="33" t="s">
        <v>52</v>
      </c>
      <c r="AE40" s="53">
        <f>IFERROR(IF(B4="W",AE$22,AE$23),"0")</f>
        <v>3</v>
      </c>
      <c r="AF40" s="12"/>
      <c r="AG40" s="43">
        <f>IFERROR(IF(B4="W",AG$22,AG$23),"0")</f>
        <v>11</v>
      </c>
      <c r="AH40" s="33" t="s">
        <v>52</v>
      </c>
      <c r="AI40" s="49">
        <f>IFERROR(IF(B4="W",AI$22,AI$23),"0")</f>
        <v>22</v>
      </c>
      <c r="AJ40" s="12" t="s">
        <v>53</v>
      </c>
      <c r="AK40" s="33">
        <f>IFERROR(IF(B4="W",AK$22,AK$23),"0")</f>
        <v>5</v>
      </c>
      <c r="AL40" s="49" t="s">
        <v>54</v>
      </c>
      <c r="AM40" s="12">
        <f>IFERROR(IF(B4="W",AM$22,AM$23),"0")</f>
        <v>9</v>
      </c>
      <c r="AN40" s="33" t="s">
        <v>52</v>
      </c>
      <c r="AO40" s="49">
        <f>IFERROR(IF(B4="W",AO$22,AO$23),"0")</f>
        <v>10</v>
      </c>
      <c r="AP40" s="12" t="s">
        <v>53</v>
      </c>
      <c r="AQ40" s="33">
        <f>IFERROR(IF(B4="W",AQ$22,AQ$23),"0")</f>
        <v>3</v>
      </c>
      <c r="AR40" s="49" t="s">
        <v>54</v>
      </c>
      <c r="AS40" s="12">
        <f>IFERROR(IF(B4="W",AS$22,AS$23),"0")</f>
        <v>0</v>
      </c>
      <c r="AT40" s="33" t="s">
        <v>52</v>
      </c>
      <c r="AU40" s="49">
        <f>IFERROR(IF(B4="W",AU$22,AU$23),"0")</f>
        <v>2</v>
      </c>
      <c r="AV40" s="12" t="s">
        <v>53</v>
      </c>
      <c r="AW40" s="33">
        <f>IFERROR(IF(B4="W",AW$22,AW$23),"0")</f>
        <v>0</v>
      </c>
      <c r="AX40" s="49" t="s">
        <v>54</v>
      </c>
      <c r="AY40" s="12">
        <f>IFERROR(IF(B4="W",AY$22,AY$23),"0")</f>
        <v>2</v>
      </c>
      <c r="AZ40" s="33" t="s">
        <v>52</v>
      </c>
      <c r="BA40" s="49">
        <f>IFERROR(IF(B4="W",BA$22,BA$23),"0")</f>
        <v>10</v>
      </c>
      <c r="BB40" s="12" t="s">
        <v>53</v>
      </c>
      <c r="BC40" s="33">
        <f>IFERROR(IF(B4="W",BC$22,BC$23),"0")</f>
        <v>2</v>
      </c>
      <c r="BD40" s="49" t="s">
        <v>54</v>
      </c>
      <c r="BE40" s="12">
        <f>IFERROR(IF(B4="W",BE$22,BE$23),"0")</f>
        <v>0</v>
      </c>
      <c r="BF40" s="33" t="s">
        <v>52</v>
      </c>
      <c r="BG40" s="53">
        <f>IFERROR(IF(B4="W",BG$22,BG$23),"0")</f>
        <v>0</v>
      </c>
      <c r="BH40" s="12"/>
      <c r="BI40" s="43">
        <f>IFERROR(IF($B$4="W",BI22,BI23),"0")</f>
        <v>4</v>
      </c>
      <c r="BJ40" s="33" t="s">
        <v>52</v>
      </c>
      <c r="BK40" s="49">
        <f>IFERROR(IF($B$4="W",BK22,BK23),"0")</f>
        <v>5</v>
      </c>
      <c r="BL40" s="12" t="s">
        <v>53</v>
      </c>
      <c r="BM40" s="33">
        <f>IFERROR(IF($B$4="W",BM22,BM23),"0")</f>
        <v>2</v>
      </c>
      <c r="BN40" s="49" t="s">
        <v>54</v>
      </c>
      <c r="BO40" s="12">
        <f>IFERROR(IF($B$4="W",BO22,BO23),"0")</f>
        <v>2</v>
      </c>
      <c r="BP40" s="33" t="s">
        <v>52</v>
      </c>
      <c r="BQ40" s="49">
        <f>IFERROR(IF($B$4="W",BQ22,BQ23),"0")</f>
        <v>3</v>
      </c>
      <c r="BR40" s="12" t="s">
        <v>53</v>
      </c>
      <c r="BS40" s="33">
        <f>IFERROR(IF($B$4="W",BS22,BS23),"0")</f>
        <v>1</v>
      </c>
      <c r="BT40" s="49" t="s">
        <v>54</v>
      </c>
      <c r="BU40" s="12">
        <f>IFERROR(IF($B$4="W",BU22,BU23),"0")</f>
        <v>0</v>
      </c>
      <c r="BV40" s="33" t="s">
        <v>52</v>
      </c>
      <c r="BW40" s="49">
        <f>IFERROR(IF($B$4="W",BW22,BW23),"0")</f>
        <v>0</v>
      </c>
      <c r="BX40" s="12" t="s">
        <v>53</v>
      </c>
      <c r="BY40" s="33">
        <f>IFERROR(IF($B$4="W",BY22,BY23),"0")</f>
        <v>0</v>
      </c>
      <c r="BZ40" s="49" t="s">
        <v>54</v>
      </c>
      <c r="CA40" s="12">
        <f>IFERROR(IF($B$4="W",CA22,CA23),"0")</f>
        <v>2</v>
      </c>
      <c r="CB40" s="33" t="s">
        <v>52</v>
      </c>
      <c r="CC40" s="49">
        <f>IFERROR(IF($B$4="W",CC22,CC23),"0")</f>
        <v>2</v>
      </c>
      <c r="CD40" s="12" t="s">
        <v>53</v>
      </c>
      <c r="CE40" s="33">
        <f>IFERROR(IF($B$4="W",CE22,CE23),"0")</f>
        <v>1</v>
      </c>
      <c r="CF40" s="49" t="s">
        <v>54</v>
      </c>
      <c r="CG40" s="12">
        <f>IFERROR(IF($B$4="W",CG22,CG23),"0")</f>
        <v>0</v>
      </c>
      <c r="CH40" s="33" t="s">
        <v>52</v>
      </c>
      <c r="CI40" s="53">
        <f t="shared" ref="CI40:CV40" si="145">IFERROR(IF($B$4="W",CI22,CI23),"0")</f>
        <v>0</v>
      </c>
      <c r="CJ40" s="33">
        <f t="shared" si="145"/>
        <v>4</v>
      </c>
      <c r="CK40" s="33">
        <f t="shared" si="145"/>
        <v>16</v>
      </c>
      <c r="CL40" s="33">
        <f t="shared" si="145"/>
        <v>0</v>
      </c>
      <c r="CM40" s="33">
        <f t="shared" si="145"/>
        <v>0</v>
      </c>
      <c r="CN40" s="33">
        <f t="shared" si="145"/>
        <v>20</v>
      </c>
      <c r="CO40" s="33">
        <f t="shared" si="145"/>
        <v>8</v>
      </c>
      <c r="CP40" s="33">
        <f t="shared" si="145"/>
        <v>6</v>
      </c>
      <c r="CQ40" s="33">
        <f t="shared" si="145"/>
        <v>8</v>
      </c>
      <c r="CR40" s="33">
        <f t="shared" si="145"/>
        <v>3</v>
      </c>
      <c r="CS40" s="33">
        <f t="shared" si="145"/>
        <v>1</v>
      </c>
      <c r="CT40" s="33">
        <f t="shared" si="145"/>
        <v>10</v>
      </c>
      <c r="CU40" s="33">
        <f t="shared" si="145"/>
        <v>0</v>
      </c>
      <c r="CV40" s="58">
        <f t="shared" si="145"/>
        <v>36.25</v>
      </c>
      <c r="CW40" s="33"/>
      <c r="CX40" s="4"/>
      <c r="CY40" s="4"/>
      <c r="CZ40" s="4"/>
      <c r="DA40" s="4"/>
      <c r="DB40" s="8"/>
      <c r="DC40" s="8"/>
      <c r="DH40" s="8"/>
      <c r="DS40" s="10"/>
      <c r="DT40" s="10"/>
      <c r="EF40" s="38" t="s">
        <v>42</v>
      </c>
      <c r="EG40" s="6">
        <f t="shared" ref="EG40:EG54" si="146">IFERROR(IF(B4="W",$EG$22,$EG$23),"0")</f>
        <v>33.009552344836685</v>
      </c>
      <c r="EW40" s="38" t="s">
        <v>42</v>
      </c>
      <c r="EX40" s="6">
        <f t="shared" ref="EX40:EX54" si="147">IFERROR(IF(B4="W",$EX$22,$EX$23),"0")</f>
        <v>2.25</v>
      </c>
      <c r="EY40" s="6">
        <f>IFERROR(IF(B4="W",$EY$22,$EY$23),"0")</f>
        <v>3</v>
      </c>
      <c r="EZ40" s="6">
        <f>IFERROR(IF(B4="W",$EZ$22,$EZ$23),"0")</f>
        <v>16.125</v>
      </c>
    </row>
    <row r="41" spans="3:156" x14ac:dyDescent="0.2">
      <c r="C41" s="38" t="s">
        <v>43</v>
      </c>
      <c r="D41" s="28">
        <f t="shared" si="144"/>
        <v>72.169999999999987</v>
      </c>
      <c r="E41" s="86">
        <f t="shared" ref="E41:E54" si="148">IFERROR(IF(B5="W",$E$22,$E$23),"0")</f>
        <v>15</v>
      </c>
      <c r="F41" s="33" t="s">
        <v>52</v>
      </c>
      <c r="G41" s="49">
        <f t="shared" ref="G41:G54" si="149">IFERROR(IF(B5="W",$G$22,$G$23),"0")</f>
        <v>27</v>
      </c>
      <c r="H41" s="12" t="s">
        <v>53</v>
      </c>
      <c r="I41" s="33">
        <f t="shared" ref="I41:I54" si="150">IFERROR(IF(B5="W",I$22,I$23),"0")</f>
        <v>7</v>
      </c>
      <c r="J41" s="49" t="s">
        <v>54</v>
      </c>
      <c r="K41" s="12">
        <f t="shared" ref="K41:K54" si="151">IFERROR(IF(B5="W",K$22,K$23),"0")</f>
        <v>11</v>
      </c>
      <c r="L41" s="33" t="s">
        <v>52</v>
      </c>
      <c r="M41" s="49">
        <f t="shared" ref="M41:M54" si="152">IFERROR(IF(B5="W",M$22,M$23),"0")</f>
        <v>13</v>
      </c>
      <c r="N41" s="12" t="s">
        <v>53</v>
      </c>
      <c r="O41" s="33">
        <f t="shared" ref="O41:O54" si="153">IFERROR(IF(B5="W",O$22,O$23),"0")</f>
        <v>4</v>
      </c>
      <c r="P41" s="49" t="s">
        <v>54</v>
      </c>
      <c r="Q41" s="12">
        <f t="shared" ref="Q41:Q54" si="154">IFERROR(IF(B5="W",Q$22,Q$23),"0")</f>
        <v>0</v>
      </c>
      <c r="R41" s="33" t="s">
        <v>52</v>
      </c>
      <c r="S41" s="49">
        <f t="shared" ref="S41:S54" si="155">IFERROR(IF(B5="W",S$22,S$23),"0")</f>
        <v>2</v>
      </c>
      <c r="T41" s="12" t="s">
        <v>53</v>
      </c>
      <c r="U41" s="33">
        <f t="shared" ref="U41:U54" si="156">IFERROR(IF(B5="W",U$22,U$23),"0")</f>
        <v>0</v>
      </c>
      <c r="V41" s="49" t="s">
        <v>54</v>
      </c>
      <c r="W41" s="12">
        <f t="shared" ref="W41:W54" si="157">IFERROR(IF(B5="W",W$22,W$23),"0")</f>
        <v>4</v>
      </c>
      <c r="X41" s="33" t="s">
        <v>52</v>
      </c>
      <c r="Y41" s="49">
        <f t="shared" ref="Y41:Y54" si="158">IFERROR(IF(B5="W",Y$22,Y$23),"0")</f>
        <v>12</v>
      </c>
      <c r="Z41" s="12" t="s">
        <v>53</v>
      </c>
      <c r="AA41" s="33">
        <f t="shared" ref="AA41:AA54" si="159">IFERROR(IF(B5="W",AA$22,AA$23),"0")</f>
        <v>3</v>
      </c>
      <c r="AB41" s="49" t="s">
        <v>54</v>
      </c>
      <c r="AC41" s="12">
        <f t="shared" ref="AC41:AC54" si="160">IFERROR(IF(B5="W",AC$22,AC$23),"0")</f>
        <v>2.25</v>
      </c>
      <c r="AD41" s="33" t="s">
        <v>52</v>
      </c>
      <c r="AE41" s="53">
        <f t="shared" ref="AE41:AE54" si="161">IFERROR(IF(B5="W",AE$22,AE$23),"0")</f>
        <v>3</v>
      </c>
      <c r="AF41" s="12"/>
      <c r="AG41" s="43">
        <f t="shared" ref="AG41:AG54" si="162">IFERROR(IF(B5="W",AG$22,AG$23),"0")</f>
        <v>11</v>
      </c>
      <c r="AH41" s="33" t="s">
        <v>52</v>
      </c>
      <c r="AI41" s="49">
        <f t="shared" ref="AI41:AI54" si="163">IFERROR(IF(B5="W",AI$22,AI$23),"0")</f>
        <v>22</v>
      </c>
      <c r="AJ41" s="12" t="s">
        <v>53</v>
      </c>
      <c r="AK41" s="33">
        <f t="shared" ref="AK41:AK54" si="164">IFERROR(IF(B5="W",AK$22,AK$23),"0")</f>
        <v>5</v>
      </c>
      <c r="AL41" s="49" t="s">
        <v>54</v>
      </c>
      <c r="AM41" s="12">
        <f t="shared" ref="AM41:AM54" si="165">IFERROR(IF(B5="W",AM$22,AM$23),"0")</f>
        <v>9</v>
      </c>
      <c r="AN41" s="33" t="s">
        <v>52</v>
      </c>
      <c r="AO41" s="49">
        <f t="shared" ref="AO41:AO54" si="166">IFERROR(IF(B5="W",AO$22,AO$23),"0")</f>
        <v>10</v>
      </c>
      <c r="AP41" s="12" t="s">
        <v>53</v>
      </c>
      <c r="AQ41" s="33">
        <f t="shared" ref="AQ41:AQ54" si="167">IFERROR(IF(B5="W",AQ$22,AQ$23),"0")</f>
        <v>3</v>
      </c>
      <c r="AR41" s="49" t="s">
        <v>54</v>
      </c>
      <c r="AS41" s="12">
        <f t="shared" ref="AS41:AS54" si="168">IFERROR(IF(B5="W",AS$22,AS$23),"0")</f>
        <v>0</v>
      </c>
      <c r="AT41" s="33" t="s">
        <v>52</v>
      </c>
      <c r="AU41" s="49">
        <f t="shared" ref="AU41:AU54" si="169">IFERROR(IF(B5="W",AU$22,AU$23),"0")</f>
        <v>2</v>
      </c>
      <c r="AV41" s="12" t="s">
        <v>53</v>
      </c>
      <c r="AW41" s="33">
        <f t="shared" ref="AW41:AW54" si="170">IFERROR(IF(B5="W",AW$22,AW$23),"0")</f>
        <v>0</v>
      </c>
      <c r="AX41" s="49" t="s">
        <v>54</v>
      </c>
      <c r="AY41" s="12">
        <f t="shared" ref="AY41:AY54" si="171">IFERROR(IF(B5="W",AY$22,AY$23),"0")</f>
        <v>2</v>
      </c>
      <c r="AZ41" s="33" t="s">
        <v>52</v>
      </c>
      <c r="BA41" s="49">
        <f t="shared" ref="BA41:BA54" si="172">IFERROR(IF(B5="W",BA$22,BA$23),"0")</f>
        <v>10</v>
      </c>
      <c r="BB41" s="12" t="s">
        <v>53</v>
      </c>
      <c r="BC41" s="33">
        <f t="shared" ref="BC41:BC54" si="173">IFERROR(IF(B5="W",BC$22,BC$23),"0")</f>
        <v>2</v>
      </c>
      <c r="BD41" s="49" t="s">
        <v>54</v>
      </c>
      <c r="BE41" s="12">
        <f t="shared" ref="BE41:BE54" si="174">IFERROR(IF(B5="W",BE$22,BE$23),"0")</f>
        <v>0</v>
      </c>
      <c r="BF41" s="33" t="s">
        <v>52</v>
      </c>
      <c r="BG41" s="53">
        <f t="shared" ref="BG41:BG54" si="175">IFERROR(IF(B5="W",BG$22,BG$23),"0")</f>
        <v>0</v>
      </c>
      <c r="BH41" s="12"/>
      <c r="BI41" s="43">
        <f>IFERROR(IF($B$5="W",BI22,BI23),"0")</f>
        <v>4</v>
      </c>
      <c r="BJ41" s="33" t="s">
        <v>52</v>
      </c>
      <c r="BK41" s="49">
        <f>IFERROR(IF($B$5="W",BK22,BK23),"0")</f>
        <v>5</v>
      </c>
      <c r="BL41" s="12" t="s">
        <v>53</v>
      </c>
      <c r="BM41" s="33">
        <f>IFERROR(IF($B$5="W",BM22,BM23),"0")</f>
        <v>2</v>
      </c>
      <c r="BN41" s="49" t="s">
        <v>54</v>
      </c>
      <c r="BO41" s="12">
        <f>IFERROR(IF($B$5="W",BO22,BO23),"0")</f>
        <v>2</v>
      </c>
      <c r="BP41" s="33" t="s">
        <v>52</v>
      </c>
      <c r="BQ41" s="49">
        <f>IFERROR(IF($B$5="W",BQ22,BQ23),"0")</f>
        <v>3</v>
      </c>
      <c r="BR41" s="12" t="s">
        <v>53</v>
      </c>
      <c r="BS41" s="33">
        <f>IFERROR(IF($B$5="W",BS22,BS23),"0")</f>
        <v>1</v>
      </c>
      <c r="BT41" s="49" t="s">
        <v>54</v>
      </c>
      <c r="BU41" s="12">
        <f>IFERROR(IF($B$5="W",BU22,BU23),"0")</f>
        <v>0</v>
      </c>
      <c r="BV41" s="33" t="s">
        <v>52</v>
      </c>
      <c r="BW41" s="49">
        <f>IFERROR(IF($B$5="W",BW22,BW23),"0")</f>
        <v>0</v>
      </c>
      <c r="BX41" s="12" t="s">
        <v>53</v>
      </c>
      <c r="BY41" s="33">
        <f>IFERROR(IF($B$5="W",BY22,BY23),"0")</f>
        <v>0</v>
      </c>
      <c r="BZ41" s="49" t="s">
        <v>54</v>
      </c>
      <c r="CA41" s="12">
        <f>IFERROR(IF($B$5="W",CA22,CA23),"0")</f>
        <v>2</v>
      </c>
      <c r="CB41" s="33" t="s">
        <v>52</v>
      </c>
      <c r="CC41" s="49">
        <f>IFERROR(IF($B$5="W",CC22,CC23),"0")</f>
        <v>2</v>
      </c>
      <c r="CD41" s="12" t="s">
        <v>53</v>
      </c>
      <c r="CE41" s="33">
        <f>IFERROR(IF($B$5="W",CE22,CE23),"0")</f>
        <v>1</v>
      </c>
      <c r="CF41" s="49" t="s">
        <v>54</v>
      </c>
      <c r="CG41" s="12">
        <f>IFERROR(IF($B$5="W",CG22,CG23),"0")</f>
        <v>0</v>
      </c>
      <c r="CH41" s="33" t="s">
        <v>52</v>
      </c>
      <c r="CI41" s="53">
        <f t="shared" ref="CI41:CV41" si="176">IFERROR(IF($B$5="W",CI22,CI23),"0")</f>
        <v>0</v>
      </c>
      <c r="CJ41" s="33">
        <f t="shared" si="176"/>
        <v>4</v>
      </c>
      <c r="CK41" s="33">
        <f t="shared" si="176"/>
        <v>16</v>
      </c>
      <c r="CL41" s="33">
        <f t="shared" si="176"/>
        <v>0</v>
      </c>
      <c r="CM41" s="33">
        <f t="shared" si="176"/>
        <v>0</v>
      </c>
      <c r="CN41" s="33">
        <f t="shared" si="176"/>
        <v>20</v>
      </c>
      <c r="CO41" s="33">
        <f t="shared" si="176"/>
        <v>8</v>
      </c>
      <c r="CP41" s="33">
        <f t="shared" si="176"/>
        <v>6</v>
      </c>
      <c r="CQ41" s="33">
        <f t="shared" si="176"/>
        <v>8</v>
      </c>
      <c r="CR41" s="33">
        <f t="shared" si="176"/>
        <v>3</v>
      </c>
      <c r="CS41" s="33">
        <f t="shared" si="176"/>
        <v>1</v>
      </c>
      <c r="CT41" s="33">
        <f t="shared" si="176"/>
        <v>10</v>
      </c>
      <c r="CU41" s="33">
        <f t="shared" si="176"/>
        <v>0</v>
      </c>
      <c r="CV41" s="58">
        <f t="shared" si="176"/>
        <v>36.25</v>
      </c>
      <c r="CW41" s="33"/>
      <c r="CX41" s="4"/>
      <c r="CY41" s="4"/>
      <c r="CZ41" s="4"/>
      <c r="DA41" s="4"/>
      <c r="DB41" s="8"/>
      <c r="DC41" s="8"/>
      <c r="DH41" s="8"/>
      <c r="DS41" s="10"/>
      <c r="DT41" s="10"/>
      <c r="EF41" s="38" t="s">
        <v>43</v>
      </c>
      <c r="EG41" s="6">
        <f t="shared" si="146"/>
        <v>33.009552344836685</v>
      </c>
      <c r="EW41" s="38" t="s">
        <v>43</v>
      </c>
      <c r="EX41" s="6">
        <f t="shared" si="147"/>
        <v>2.25</v>
      </c>
      <c r="EY41" s="6">
        <f t="shared" ref="EY41:EY54" si="177">IFERROR(IF(B5="W",$EY$22,$EY$23),"0")</f>
        <v>3</v>
      </c>
      <c r="EZ41" s="6">
        <f t="shared" ref="EZ41:EZ54" si="178">IFERROR(IF(B5="W",$EZ$22,$EZ$23),"0")</f>
        <v>16.125</v>
      </c>
    </row>
    <row r="42" spans="3:156" x14ac:dyDescent="0.2">
      <c r="C42" s="38" t="s">
        <v>44</v>
      </c>
      <c r="D42" s="28">
        <f t="shared" si="144"/>
        <v>72.169999999999987</v>
      </c>
      <c r="E42" s="86">
        <f t="shared" si="148"/>
        <v>15</v>
      </c>
      <c r="F42" s="33" t="s">
        <v>52</v>
      </c>
      <c r="G42" s="49">
        <f t="shared" si="149"/>
        <v>27</v>
      </c>
      <c r="H42" s="12" t="s">
        <v>53</v>
      </c>
      <c r="I42" s="33">
        <f t="shared" si="150"/>
        <v>7</v>
      </c>
      <c r="J42" s="49" t="s">
        <v>54</v>
      </c>
      <c r="K42" s="12">
        <f t="shared" si="151"/>
        <v>11</v>
      </c>
      <c r="L42" s="33" t="s">
        <v>52</v>
      </c>
      <c r="M42" s="49">
        <f t="shared" si="152"/>
        <v>13</v>
      </c>
      <c r="N42" s="12" t="s">
        <v>53</v>
      </c>
      <c r="O42" s="33">
        <f t="shared" si="153"/>
        <v>4</v>
      </c>
      <c r="P42" s="49" t="s">
        <v>54</v>
      </c>
      <c r="Q42" s="12">
        <f t="shared" si="154"/>
        <v>0</v>
      </c>
      <c r="R42" s="33" t="s">
        <v>52</v>
      </c>
      <c r="S42" s="49">
        <f t="shared" si="155"/>
        <v>2</v>
      </c>
      <c r="T42" s="12" t="s">
        <v>53</v>
      </c>
      <c r="U42" s="33">
        <f t="shared" si="156"/>
        <v>0</v>
      </c>
      <c r="V42" s="49" t="s">
        <v>54</v>
      </c>
      <c r="W42" s="12">
        <f t="shared" si="157"/>
        <v>4</v>
      </c>
      <c r="X42" s="33" t="s">
        <v>52</v>
      </c>
      <c r="Y42" s="49">
        <f t="shared" si="158"/>
        <v>12</v>
      </c>
      <c r="Z42" s="12" t="s">
        <v>53</v>
      </c>
      <c r="AA42" s="33">
        <f t="shared" si="159"/>
        <v>3</v>
      </c>
      <c r="AB42" s="49" t="s">
        <v>54</v>
      </c>
      <c r="AC42" s="12">
        <f t="shared" si="160"/>
        <v>2.25</v>
      </c>
      <c r="AD42" s="33" t="s">
        <v>52</v>
      </c>
      <c r="AE42" s="53">
        <f t="shared" si="161"/>
        <v>3</v>
      </c>
      <c r="AF42" s="12"/>
      <c r="AG42" s="43">
        <f t="shared" si="162"/>
        <v>11</v>
      </c>
      <c r="AH42" s="33" t="s">
        <v>52</v>
      </c>
      <c r="AI42" s="49">
        <f t="shared" si="163"/>
        <v>22</v>
      </c>
      <c r="AJ42" s="12" t="s">
        <v>53</v>
      </c>
      <c r="AK42" s="33">
        <f t="shared" si="164"/>
        <v>5</v>
      </c>
      <c r="AL42" s="49" t="s">
        <v>54</v>
      </c>
      <c r="AM42" s="12">
        <f t="shared" si="165"/>
        <v>9</v>
      </c>
      <c r="AN42" s="33" t="s">
        <v>52</v>
      </c>
      <c r="AO42" s="49">
        <f t="shared" si="166"/>
        <v>10</v>
      </c>
      <c r="AP42" s="12" t="s">
        <v>53</v>
      </c>
      <c r="AQ42" s="33">
        <f t="shared" si="167"/>
        <v>3</v>
      </c>
      <c r="AR42" s="49" t="s">
        <v>54</v>
      </c>
      <c r="AS42" s="12">
        <f t="shared" si="168"/>
        <v>0</v>
      </c>
      <c r="AT42" s="33" t="s">
        <v>52</v>
      </c>
      <c r="AU42" s="49">
        <f t="shared" si="169"/>
        <v>2</v>
      </c>
      <c r="AV42" s="12" t="s">
        <v>53</v>
      </c>
      <c r="AW42" s="33">
        <f t="shared" si="170"/>
        <v>0</v>
      </c>
      <c r="AX42" s="49" t="s">
        <v>54</v>
      </c>
      <c r="AY42" s="12">
        <f t="shared" si="171"/>
        <v>2</v>
      </c>
      <c r="AZ42" s="33" t="s">
        <v>52</v>
      </c>
      <c r="BA42" s="49">
        <f t="shared" si="172"/>
        <v>10</v>
      </c>
      <c r="BB42" s="12" t="s">
        <v>53</v>
      </c>
      <c r="BC42" s="33">
        <f t="shared" si="173"/>
        <v>2</v>
      </c>
      <c r="BD42" s="49" t="s">
        <v>54</v>
      </c>
      <c r="BE42" s="12">
        <f t="shared" si="174"/>
        <v>0</v>
      </c>
      <c r="BF42" s="33" t="s">
        <v>52</v>
      </c>
      <c r="BG42" s="53">
        <f t="shared" si="175"/>
        <v>0</v>
      </c>
      <c r="BH42" s="12"/>
      <c r="BI42" s="43">
        <f>IFERROR(IF($B$6="W",BI22,BI23),"0")</f>
        <v>4</v>
      </c>
      <c r="BJ42" s="33" t="s">
        <v>52</v>
      </c>
      <c r="BK42" s="49">
        <f>IFERROR(IF($B$6="W",BK22,BK23),"0")</f>
        <v>5</v>
      </c>
      <c r="BL42" s="12" t="s">
        <v>53</v>
      </c>
      <c r="BM42" s="33">
        <f>IFERROR(IF($B$6="W",BM22,BM23),"0")</f>
        <v>2</v>
      </c>
      <c r="BN42" s="49" t="s">
        <v>54</v>
      </c>
      <c r="BO42" s="12">
        <f>IFERROR(IF($B$6="W",BO22,BO23),"0")</f>
        <v>2</v>
      </c>
      <c r="BP42" s="33" t="s">
        <v>52</v>
      </c>
      <c r="BQ42" s="49">
        <f>IFERROR(IF($B$6="W",BQ22,BQ23),"0")</f>
        <v>3</v>
      </c>
      <c r="BR42" s="12" t="s">
        <v>53</v>
      </c>
      <c r="BS42" s="33">
        <f>IFERROR(IF($B$6="W",BS22,BS23),"0")</f>
        <v>1</v>
      </c>
      <c r="BT42" s="49" t="s">
        <v>54</v>
      </c>
      <c r="BU42" s="12">
        <f>IFERROR(IF($B$6="W",BU22,BU23),"0")</f>
        <v>0</v>
      </c>
      <c r="BV42" s="33" t="s">
        <v>52</v>
      </c>
      <c r="BW42" s="49">
        <f>IFERROR(IF($B$6="W",BW22,BW23),"0")</f>
        <v>0</v>
      </c>
      <c r="BX42" s="12" t="s">
        <v>53</v>
      </c>
      <c r="BY42" s="33">
        <f>IFERROR(IF($B$6="W",BY22,BY23),"0")</f>
        <v>0</v>
      </c>
      <c r="BZ42" s="49" t="s">
        <v>54</v>
      </c>
      <c r="CA42" s="12">
        <f>IFERROR(IF($B$6="W",CA22,CA23),"0")</f>
        <v>2</v>
      </c>
      <c r="CB42" s="33" t="s">
        <v>52</v>
      </c>
      <c r="CC42" s="49">
        <f>IFERROR(IF($B$6="W",CC22,CC23),"0")</f>
        <v>2</v>
      </c>
      <c r="CD42" s="12" t="s">
        <v>53</v>
      </c>
      <c r="CE42" s="33">
        <f>IFERROR(IF($B$6="W",CE22,CE23),"0")</f>
        <v>1</v>
      </c>
      <c r="CF42" s="49" t="s">
        <v>54</v>
      </c>
      <c r="CG42" s="12">
        <f>IFERROR(IF($B$6="W",CG22,CG23),"0")</f>
        <v>0</v>
      </c>
      <c r="CH42" s="33" t="s">
        <v>52</v>
      </c>
      <c r="CI42" s="53">
        <f t="shared" ref="CI42:CV42" si="179">IFERROR(IF($B$6="W",CI22,CI23),"0")</f>
        <v>0</v>
      </c>
      <c r="CJ42" s="33">
        <f t="shared" si="179"/>
        <v>4</v>
      </c>
      <c r="CK42" s="33">
        <f t="shared" si="179"/>
        <v>16</v>
      </c>
      <c r="CL42" s="33">
        <f t="shared" si="179"/>
        <v>0</v>
      </c>
      <c r="CM42" s="33">
        <f t="shared" si="179"/>
        <v>0</v>
      </c>
      <c r="CN42" s="33">
        <f t="shared" si="179"/>
        <v>20</v>
      </c>
      <c r="CO42" s="33">
        <f t="shared" si="179"/>
        <v>8</v>
      </c>
      <c r="CP42" s="33">
        <f t="shared" si="179"/>
        <v>6</v>
      </c>
      <c r="CQ42" s="33">
        <f t="shared" si="179"/>
        <v>8</v>
      </c>
      <c r="CR42" s="33">
        <f t="shared" si="179"/>
        <v>3</v>
      </c>
      <c r="CS42" s="33">
        <f t="shared" si="179"/>
        <v>1</v>
      </c>
      <c r="CT42" s="33">
        <f t="shared" si="179"/>
        <v>10</v>
      </c>
      <c r="CU42" s="33">
        <f t="shared" si="179"/>
        <v>0</v>
      </c>
      <c r="CV42" s="58">
        <f t="shared" si="179"/>
        <v>36.25</v>
      </c>
      <c r="CW42" s="33"/>
      <c r="CX42" s="4"/>
      <c r="CY42" s="4"/>
      <c r="CZ42" s="4"/>
      <c r="DA42" s="4"/>
      <c r="DB42" s="8"/>
      <c r="DC42" s="8"/>
      <c r="DH42" s="8"/>
      <c r="DS42" s="10"/>
      <c r="DT42" s="10"/>
      <c r="EF42" s="38" t="s">
        <v>44</v>
      </c>
      <c r="EG42" s="6">
        <f t="shared" si="146"/>
        <v>33.009552344836685</v>
      </c>
      <c r="EW42" s="38" t="s">
        <v>44</v>
      </c>
      <c r="EX42" s="6">
        <f t="shared" si="147"/>
        <v>2.25</v>
      </c>
      <c r="EY42" s="6">
        <f t="shared" si="177"/>
        <v>3</v>
      </c>
      <c r="EZ42" s="6">
        <f t="shared" si="178"/>
        <v>16.125</v>
      </c>
    </row>
    <row r="43" spans="3:156" x14ac:dyDescent="0.2">
      <c r="C43" s="38" t="s">
        <v>45</v>
      </c>
      <c r="D43" s="28">
        <f t="shared" si="144"/>
        <v>72.169999999999987</v>
      </c>
      <c r="E43" s="86">
        <f t="shared" si="148"/>
        <v>15</v>
      </c>
      <c r="F43" s="33" t="s">
        <v>52</v>
      </c>
      <c r="G43" s="49">
        <f t="shared" si="149"/>
        <v>27</v>
      </c>
      <c r="H43" s="12" t="s">
        <v>53</v>
      </c>
      <c r="I43" s="33">
        <f t="shared" si="150"/>
        <v>7</v>
      </c>
      <c r="J43" s="49" t="s">
        <v>54</v>
      </c>
      <c r="K43" s="12">
        <f t="shared" si="151"/>
        <v>11</v>
      </c>
      <c r="L43" s="33" t="s">
        <v>52</v>
      </c>
      <c r="M43" s="49">
        <f t="shared" si="152"/>
        <v>13</v>
      </c>
      <c r="N43" s="12" t="s">
        <v>53</v>
      </c>
      <c r="O43" s="33">
        <f t="shared" si="153"/>
        <v>4</v>
      </c>
      <c r="P43" s="49" t="s">
        <v>54</v>
      </c>
      <c r="Q43" s="12">
        <f t="shared" si="154"/>
        <v>0</v>
      </c>
      <c r="R43" s="33" t="s">
        <v>52</v>
      </c>
      <c r="S43" s="49">
        <f t="shared" si="155"/>
        <v>2</v>
      </c>
      <c r="T43" s="12" t="s">
        <v>53</v>
      </c>
      <c r="U43" s="33">
        <f t="shared" si="156"/>
        <v>0</v>
      </c>
      <c r="V43" s="49" t="s">
        <v>54</v>
      </c>
      <c r="W43" s="12">
        <f t="shared" si="157"/>
        <v>4</v>
      </c>
      <c r="X43" s="33" t="s">
        <v>52</v>
      </c>
      <c r="Y43" s="49">
        <f t="shared" si="158"/>
        <v>12</v>
      </c>
      <c r="Z43" s="12" t="s">
        <v>53</v>
      </c>
      <c r="AA43" s="33">
        <f t="shared" si="159"/>
        <v>3</v>
      </c>
      <c r="AB43" s="49" t="s">
        <v>54</v>
      </c>
      <c r="AC43" s="12">
        <f t="shared" si="160"/>
        <v>2.25</v>
      </c>
      <c r="AD43" s="33" t="s">
        <v>52</v>
      </c>
      <c r="AE43" s="53">
        <f t="shared" si="161"/>
        <v>3</v>
      </c>
      <c r="AF43" s="12"/>
      <c r="AG43" s="43">
        <f t="shared" si="162"/>
        <v>11</v>
      </c>
      <c r="AH43" s="33" t="s">
        <v>52</v>
      </c>
      <c r="AI43" s="49">
        <f t="shared" si="163"/>
        <v>22</v>
      </c>
      <c r="AJ43" s="12" t="s">
        <v>53</v>
      </c>
      <c r="AK43" s="33">
        <f t="shared" si="164"/>
        <v>5</v>
      </c>
      <c r="AL43" s="49" t="s">
        <v>54</v>
      </c>
      <c r="AM43" s="12">
        <f t="shared" si="165"/>
        <v>9</v>
      </c>
      <c r="AN43" s="33" t="s">
        <v>52</v>
      </c>
      <c r="AO43" s="49">
        <f t="shared" si="166"/>
        <v>10</v>
      </c>
      <c r="AP43" s="12" t="s">
        <v>53</v>
      </c>
      <c r="AQ43" s="33">
        <f t="shared" si="167"/>
        <v>3</v>
      </c>
      <c r="AR43" s="49" t="s">
        <v>54</v>
      </c>
      <c r="AS43" s="12">
        <f t="shared" si="168"/>
        <v>0</v>
      </c>
      <c r="AT43" s="33" t="s">
        <v>52</v>
      </c>
      <c r="AU43" s="49">
        <f t="shared" si="169"/>
        <v>2</v>
      </c>
      <c r="AV43" s="12" t="s">
        <v>53</v>
      </c>
      <c r="AW43" s="33">
        <f t="shared" si="170"/>
        <v>0</v>
      </c>
      <c r="AX43" s="49" t="s">
        <v>54</v>
      </c>
      <c r="AY43" s="12">
        <f t="shared" si="171"/>
        <v>2</v>
      </c>
      <c r="AZ43" s="33" t="s">
        <v>52</v>
      </c>
      <c r="BA43" s="49">
        <f t="shared" si="172"/>
        <v>10</v>
      </c>
      <c r="BB43" s="12" t="s">
        <v>53</v>
      </c>
      <c r="BC43" s="33">
        <f t="shared" si="173"/>
        <v>2</v>
      </c>
      <c r="BD43" s="49" t="s">
        <v>54</v>
      </c>
      <c r="BE43" s="12">
        <f t="shared" si="174"/>
        <v>0</v>
      </c>
      <c r="BF43" s="33" t="s">
        <v>52</v>
      </c>
      <c r="BG43" s="53">
        <f t="shared" si="175"/>
        <v>0</v>
      </c>
      <c r="BH43" s="12"/>
      <c r="BI43" s="43">
        <f>IFERROR(IF($B$7="W",BI22,BI23),"0")</f>
        <v>4</v>
      </c>
      <c r="BJ43" s="33" t="s">
        <v>52</v>
      </c>
      <c r="BK43" s="49">
        <f>IFERROR(IF($B$7="W",BK22,BK23),"0")</f>
        <v>5</v>
      </c>
      <c r="BL43" s="12" t="s">
        <v>53</v>
      </c>
      <c r="BM43" s="33">
        <f>IFERROR(IF($B$7="W",BM22,BM23),"0")</f>
        <v>2</v>
      </c>
      <c r="BN43" s="49" t="s">
        <v>54</v>
      </c>
      <c r="BO43" s="12">
        <f>IFERROR(IF($B$7="W",BO22,BO23),"0")</f>
        <v>2</v>
      </c>
      <c r="BP43" s="33" t="s">
        <v>52</v>
      </c>
      <c r="BQ43" s="49">
        <f>IFERROR(IF($B$7="W",BQ22,BQ23),"0")</f>
        <v>3</v>
      </c>
      <c r="BR43" s="12" t="s">
        <v>53</v>
      </c>
      <c r="BS43" s="33">
        <f>IFERROR(IF($B$7="W",BS22,BS23),"0")</f>
        <v>1</v>
      </c>
      <c r="BT43" s="49" t="s">
        <v>54</v>
      </c>
      <c r="BU43" s="12">
        <f>IFERROR(IF($B$7="W",BU22,BU23),"0")</f>
        <v>0</v>
      </c>
      <c r="BV43" s="33" t="s">
        <v>52</v>
      </c>
      <c r="BW43" s="49">
        <f>IFERROR(IF($B$7="W",BW22,BW23),"0")</f>
        <v>0</v>
      </c>
      <c r="BX43" s="12" t="s">
        <v>53</v>
      </c>
      <c r="BY43" s="33">
        <f>IFERROR(IF($B$7="W",BY22,BY23),"0")</f>
        <v>0</v>
      </c>
      <c r="BZ43" s="49" t="s">
        <v>54</v>
      </c>
      <c r="CA43" s="12">
        <f>IFERROR(IF($B$7="W",CA22,CA23),"0")</f>
        <v>2</v>
      </c>
      <c r="CB43" s="33" t="s">
        <v>52</v>
      </c>
      <c r="CC43" s="49">
        <f>IFERROR(IF($B$7="W",CC22,CC23),"0")</f>
        <v>2</v>
      </c>
      <c r="CD43" s="12" t="s">
        <v>53</v>
      </c>
      <c r="CE43" s="33">
        <f>IFERROR(IF($B$7="W",CE22,CE23),"0")</f>
        <v>1</v>
      </c>
      <c r="CF43" s="49" t="s">
        <v>54</v>
      </c>
      <c r="CG43" s="12">
        <f>IFERROR(IF($B$7="W",CG22,CG23),"0")</f>
        <v>0</v>
      </c>
      <c r="CH43" s="33" t="s">
        <v>52</v>
      </c>
      <c r="CI43" s="53">
        <f t="shared" ref="CI43:CV43" si="180">IFERROR(IF($B$7="W",CI22,CI23),"0")</f>
        <v>0</v>
      </c>
      <c r="CJ43" s="33">
        <f t="shared" si="180"/>
        <v>4</v>
      </c>
      <c r="CK43" s="33">
        <f t="shared" si="180"/>
        <v>16</v>
      </c>
      <c r="CL43" s="33">
        <f t="shared" si="180"/>
        <v>0</v>
      </c>
      <c r="CM43" s="33">
        <f t="shared" si="180"/>
        <v>0</v>
      </c>
      <c r="CN43" s="33">
        <f t="shared" si="180"/>
        <v>20</v>
      </c>
      <c r="CO43" s="33">
        <f t="shared" si="180"/>
        <v>8</v>
      </c>
      <c r="CP43" s="33">
        <f t="shared" si="180"/>
        <v>6</v>
      </c>
      <c r="CQ43" s="33">
        <f t="shared" si="180"/>
        <v>8</v>
      </c>
      <c r="CR43" s="33">
        <f t="shared" si="180"/>
        <v>3</v>
      </c>
      <c r="CS43" s="33">
        <f t="shared" si="180"/>
        <v>1</v>
      </c>
      <c r="CT43" s="33">
        <f t="shared" si="180"/>
        <v>10</v>
      </c>
      <c r="CU43" s="33">
        <f t="shared" si="180"/>
        <v>0</v>
      </c>
      <c r="CV43" s="58">
        <f t="shared" si="180"/>
        <v>36.25</v>
      </c>
      <c r="CW43" s="33"/>
      <c r="CX43" s="4"/>
      <c r="CY43" s="4"/>
      <c r="CZ43" s="4"/>
      <c r="DA43" s="4"/>
      <c r="DB43" s="8"/>
      <c r="DC43" s="8"/>
      <c r="DH43" s="8"/>
      <c r="DS43" s="10"/>
      <c r="DT43" s="10"/>
      <c r="EF43" s="38" t="s">
        <v>45</v>
      </c>
      <c r="EG43" s="6">
        <f t="shared" si="146"/>
        <v>33.009552344836685</v>
      </c>
      <c r="EW43" s="38" t="s">
        <v>45</v>
      </c>
      <c r="EX43" s="6">
        <f t="shared" si="147"/>
        <v>2.25</v>
      </c>
      <c r="EY43" s="6">
        <f t="shared" si="177"/>
        <v>3</v>
      </c>
      <c r="EZ43" s="6">
        <f t="shared" si="178"/>
        <v>16.125</v>
      </c>
    </row>
    <row r="44" spans="3:156" x14ac:dyDescent="0.2">
      <c r="C44" s="38" t="s">
        <v>226</v>
      </c>
      <c r="D44" s="28">
        <f t="shared" si="144"/>
        <v>72.169999999999987</v>
      </c>
      <c r="E44" s="86">
        <f t="shared" si="148"/>
        <v>14</v>
      </c>
      <c r="F44" s="33" t="s">
        <v>52</v>
      </c>
      <c r="G44" s="49">
        <f t="shared" si="149"/>
        <v>35</v>
      </c>
      <c r="H44" s="12" t="s">
        <v>53</v>
      </c>
      <c r="I44" s="33">
        <f t="shared" si="150"/>
        <v>9</v>
      </c>
      <c r="J44" s="49" t="s">
        <v>54</v>
      </c>
      <c r="K44" s="12">
        <f t="shared" si="151"/>
        <v>8</v>
      </c>
      <c r="L44" s="33" t="s">
        <v>52</v>
      </c>
      <c r="M44" s="49">
        <f t="shared" si="152"/>
        <v>12</v>
      </c>
      <c r="N44" s="12" t="s">
        <v>53</v>
      </c>
      <c r="O44" s="33">
        <f t="shared" si="153"/>
        <v>3</v>
      </c>
      <c r="P44" s="49" t="s">
        <v>54</v>
      </c>
      <c r="Q44" s="12">
        <f t="shared" si="154"/>
        <v>0</v>
      </c>
      <c r="R44" s="33" t="s">
        <v>52</v>
      </c>
      <c r="S44" s="49">
        <f t="shared" si="155"/>
        <v>4</v>
      </c>
      <c r="T44" s="12" t="s">
        <v>53</v>
      </c>
      <c r="U44" s="33">
        <f t="shared" si="156"/>
        <v>0</v>
      </c>
      <c r="V44" s="49" t="s">
        <v>54</v>
      </c>
      <c r="W44" s="12">
        <f t="shared" si="157"/>
        <v>6</v>
      </c>
      <c r="X44" s="33" t="s">
        <v>52</v>
      </c>
      <c r="Y44" s="49">
        <f t="shared" si="158"/>
        <v>19</v>
      </c>
      <c r="Z44" s="12" t="s">
        <v>53</v>
      </c>
      <c r="AA44" s="33">
        <f t="shared" si="159"/>
        <v>6</v>
      </c>
      <c r="AB44" s="49" t="s">
        <v>54</v>
      </c>
      <c r="AC44" s="12">
        <f t="shared" si="160"/>
        <v>6.4</v>
      </c>
      <c r="AD44" s="33" t="s">
        <v>52</v>
      </c>
      <c r="AE44" s="53">
        <f t="shared" si="161"/>
        <v>8</v>
      </c>
      <c r="AF44" s="12"/>
      <c r="AG44" s="43">
        <f t="shared" si="162"/>
        <v>13</v>
      </c>
      <c r="AH44" s="33" t="s">
        <v>52</v>
      </c>
      <c r="AI44" s="49">
        <f t="shared" si="163"/>
        <v>30</v>
      </c>
      <c r="AJ44" s="12" t="s">
        <v>53</v>
      </c>
      <c r="AK44" s="33">
        <f t="shared" si="164"/>
        <v>9</v>
      </c>
      <c r="AL44" s="49" t="s">
        <v>54</v>
      </c>
      <c r="AM44" s="12">
        <f t="shared" si="165"/>
        <v>7</v>
      </c>
      <c r="AN44" s="33" t="s">
        <v>52</v>
      </c>
      <c r="AO44" s="49">
        <f t="shared" si="166"/>
        <v>8</v>
      </c>
      <c r="AP44" s="12" t="s">
        <v>53</v>
      </c>
      <c r="AQ44" s="33">
        <f t="shared" si="167"/>
        <v>3</v>
      </c>
      <c r="AR44" s="49" t="s">
        <v>54</v>
      </c>
      <c r="AS44" s="12">
        <f t="shared" si="168"/>
        <v>0</v>
      </c>
      <c r="AT44" s="33" t="s">
        <v>52</v>
      </c>
      <c r="AU44" s="49">
        <f t="shared" si="169"/>
        <v>4</v>
      </c>
      <c r="AV44" s="12" t="s">
        <v>53</v>
      </c>
      <c r="AW44" s="33">
        <f t="shared" si="170"/>
        <v>0</v>
      </c>
      <c r="AX44" s="49" t="s">
        <v>54</v>
      </c>
      <c r="AY44" s="12">
        <f t="shared" si="171"/>
        <v>6</v>
      </c>
      <c r="AZ44" s="33" t="s">
        <v>52</v>
      </c>
      <c r="BA44" s="49">
        <f t="shared" si="172"/>
        <v>18</v>
      </c>
      <c r="BB44" s="12" t="s">
        <v>53</v>
      </c>
      <c r="BC44" s="33">
        <f t="shared" si="173"/>
        <v>6</v>
      </c>
      <c r="BD44" s="49" t="s">
        <v>54</v>
      </c>
      <c r="BE44" s="12">
        <f t="shared" si="174"/>
        <v>0</v>
      </c>
      <c r="BF44" s="33" t="s">
        <v>52</v>
      </c>
      <c r="BG44" s="53">
        <f t="shared" si="175"/>
        <v>0</v>
      </c>
      <c r="BH44" s="12"/>
      <c r="BI44" s="43">
        <f>IFERROR(IF($B$8="W",BI22,BI23),"0")</f>
        <v>1</v>
      </c>
      <c r="BJ44" s="33" t="s">
        <v>52</v>
      </c>
      <c r="BK44" s="49">
        <f>IFERROR(IF($B$8="W",BK22,BK23),"0")</f>
        <v>5</v>
      </c>
      <c r="BL44" s="12" t="s">
        <v>53</v>
      </c>
      <c r="BM44" s="33">
        <f>IFERROR(IF($B$8="W",BM22,BM23),"0")</f>
        <v>0</v>
      </c>
      <c r="BN44" s="49" t="s">
        <v>54</v>
      </c>
      <c r="BO44" s="12">
        <f>IFERROR(IF($B$8="W",BO22,BO23),"0")</f>
        <v>1</v>
      </c>
      <c r="BP44" s="33" t="s">
        <v>52</v>
      </c>
      <c r="BQ44" s="49">
        <f>IFERROR(IF($B$8="W",BQ22,BQ23),"0")</f>
        <v>4</v>
      </c>
      <c r="BR44" s="12" t="s">
        <v>53</v>
      </c>
      <c r="BS44" s="33">
        <f>IFERROR(IF($B$8="W",BS22,BS23),"0")</f>
        <v>0</v>
      </c>
      <c r="BT44" s="49" t="s">
        <v>54</v>
      </c>
      <c r="BU44" s="12">
        <f>IFERROR(IF($B$8="W",BU22,BU23),"0")</f>
        <v>0</v>
      </c>
      <c r="BV44" s="33" t="s">
        <v>52</v>
      </c>
      <c r="BW44" s="49">
        <f>IFERROR(IF($B$8="W",BW22,BW23),"0")</f>
        <v>0</v>
      </c>
      <c r="BX44" s="12" t="s">
        <v>53</v>
      </c>
      <c r="BY44" s="33">
        <f>IFERROR(IF($B$8="W",BY22,BY23),"0")</f>
        <v>0</v>
      </c>
      <c r="BZ44" s="49" t="s">
        <v>54</v>
      </c>
      <c r="CA44" s="12">
        <f>IFERROR(IF($B$8="W",CA22,CA23),"0")</f>
        <v>0</v>
      </c>
      <c r="CB44" s="33" t="s">
        <v>52</v>
      </c>
      <c r="CC44" s="49">
        <f>IFERROR(IF($B$8="W",CC22,CC23),"0")</f>
        <v>1</v>
      </c>
      <c r="CD44" s="12" t="s">
        <v>53</v>
      </c>
      <c r="CE44" s="33">
        <f>IFERROR(IF($B$8="W",CE22,CE23),"0")</f>
        <v>0</v>
      </c>
      <c r="CF44" s="49" t="s">
        <v>54</v>
      </c>
      <c r="CG44" s="12">
        <f>IFERROR(IF($B$8="W",CG22,CG23),"0")</f>
        <v>0</v>
      </c>
      <c r="CH44" s="33" t="s">
        <v>52</v>
      </c>
      <c r="CI44" s="53">
        <f t="shared" ref="CI44:CV44" si="181">IFERROR(IF($B$8="W",CI22,CI23),"0")</f>
        <v>0</v>
      </c>
      <c r="CJ44" s="33">
        <f t="shared" si="181"/>
        <v>5</v>
      </c>
      <c r="CK44" s="33">
        <f t="shared" si="181"/>
        <v>8</v>
      </c>
      <c r="CL44" s="33">
        <f t="shared" si="181"/>
        <v>0</v>
      </c>
      <c r="CM44" s="33">
        <f t="shared" si="181"/>
        <v>0</v>
      </c>
      <c r="CN44" s="33">
        <f t="shared" si="181"/>
        <v>13</v>
      </c>
      <c r="CO44" s="33">
        <f t="shared" si="181"/>
        <v>9</v>
      </c>
      <c r="CP44" s="33">
        <f t="shared" si="181"/>
        <v>15</v>
      </c>
      <c r="CQ44" s="33">
        <f t="shared" si="181"/>
        <v>3</v>
      </c>
      <c r="CR44" s="33">
        <f t="shared" si="181"/>
        <v>8</v>
      </c>
      <c r="CS44" s="33">
        <f t="shared" si="181"/>
        <v>6</v>
      </c>
      <c r="CT44" s="33">
        <f t="shared" si="181"/>
        <v>2</v>
      </c>
      <c r="CU44" s="33">
        <f t="shared" si="181"/>
        <v>1</v>
      </c>
      <c r="CV44" s="58">
        <f t="shared" si="181"/>
        <v>40.4</v>
      </c>
      <c r="CW44" s="33"/>
      <c r="CX44" s="4"/>
      <c r="CY44" s="4"/>
      <c r="CZ44" s="4"/>
      <c r="DA44" s="4"/>
      <c r="DB44" s="8"/>
      <c r="DC44" s="8"/>
      <c r="DH44" s="8"/>
      <c r="DS44" s="10"/>
      <c r="DT44" s="10"/>
      <c r="EF44" s="38" t="s">
        <v>226</v>
      </c>
      <c r="EG44" s="6">
        <f t="shared" si="146"/>
        <v>33.915254817916114</v>
      </c>
      <c r="EW44" s="38" t="s">
        <v>226</v>
      </c>
      <c r="EX44" s="6">
        <f t="shared" si="147"/>
        <v>6.4</v>
      </c>
      <c r="EY44" s="6">
        <f t="shared" si="177"/>
        <v>8</v>
      </c>
      <c r="EZ44" s="6">
        <f t="shared" si="178"/>
        <v>17.071999999999999</v>
      </c>
    </row>
    <row r="45" spans="3:156" x14ac:dyDescent="0.2">
      <c r="C45" s="38" t="s">
        <v>46</v>
      </c>
      <c r="D45" s="28">
        <f t="shared" si="144"/>
        <v>72.169999999999987</v>
      </c>
      <c r="E45" s="86">
        <f t="shared" si="148"/>
        <v>14</v>
      </c>
      <c r="F45" s="33" t="s">
        <v>52</v>
      </c>
      <c r="G45" s="49">
        <f t="shared" si="149"/>
        <v>35</v>
      </c>
      <c r="H45" s="12" t="s">
        <v>53</v>
      </c>
      <c r="I45" s="33">
        <f t="shared" si="150"/>
        <v>9</v>
      </c>
      <c r="J45" s="49" t="s">
        <v>54</v>
      </c>
      <c r="K45" s="12">
        <f t="shared" si="151"/>
        <v>8</v>
      </c>
      <c r="L45" s="33" t="s">
        <v>52</v>
      </c>
      <c r="M45" s="49">
        <f t="shared" si="152"/>
        <v>12</v>
      </c>
      <c r="N45" s="12" t="s">
        <v>53</v>
      </c>
      <c r="O45" s="33">
        <f t="shared" si="153"/>
        <v>3</v>
      </c>
      <c r="P45" s="49" t="s">
        <v>54</v>
      </c>
      <c r="Q45" s="12">
        <f t="shared" si="154"/>
        <v>0</v>
      </c>
      <c r="R45" s="33" t="s">
        <v>52</v>
      </c>
      <c r="S45" s="49">
        <f t="shared" si="155"/>
        <v>4</v>
      </c>
      <c r="T45" s="12" t="s">
        <v>53</v>
      </c>
      <c r="U45" s="33">
        <f t="shared" si="156"/>
        <v>0</v>
      </c>
      <c r="V45" s="49" t="s">
        <v>54</v>
      </c>
      <c r="W45" s="12">
        <f t="shared" si="157"/>
        <v>6</v>
      </c>
      <c r="X45" s="33" t="s">
        <v>52</v>
      </c>
      <c r="Y45" s="49">
        <f t="shared" si="158"/>
        <v>19</v>
      </c>
      <c r="Z45" s="12" t="s">
        <v>53</v>
      </c>
      <c r="AA45" s="33">
        <f t="shared" si="159"/>
        <v>6</v>
      </c>
      <c r="AB45" s="49" t="s">
        <v>54</v>
      </c>
      <c r="AC45" s="12">
        <f t="shared" si="160"/>
        <v>6.4</v>
      </c>
      <c r="AD45" s="33" t="s">
        <v>52</v>
      </c>
      <c r="AE45" s="53">
        <f t="shared" si="161"/>
        <v>8</v>
      </c>
      <c r="AF45" s="12"/>
      <c r="AG45" s="43">
        <f t="shared" si="162"/>
        <v>13</v>
      </c>
      <c r="AH45" s="33" t="s">
        <v>52</v>
      </c>
      <c r="AI45" s="49">
        <f t="shared" si="163"/>
        <v>30</v>
      </c>
      <c r="AJ45" s="12" t="s">
        <v>53</v>
      </c>
      <c r="AK45" s="33">
        <f t="shared" si="164"/>
        <v>9</v>
      </c>
      <c r="AL45" s="49" t="s">
        <v>54</v>
      </c>
      <c r="AM45" s="12">
        <f t="shared" si="165"/>
        <v>7</v>
      </c>
      <c r="AN45" s="33" t="s">
        <v>52</v>
      </c>
      <c r="AO45" s="49">
        <f t="shared" si="166"/>
        <v>8</v>
      </c>
      <c r="AP45" s="12" t="s">
        <v>53</v>
      </c>
      <c r="AQ45" s="33">
        <f t="shared" si="167"/>
        <v>3</v>
      </c>
      <c r="AR45" s="49" t="s">
        <v>54</v>
      </c>
      <c r="AS45" s="12">
        <f t="shared" si="168"/>
        <v>0</v>
      </c>
      <c r="AT45" s="33" t="s">
        <v>52</v>
      </c>
      <c r="AU45" s="49">
        <f t="shared" si="169"/>
        <v>4</v>
      </c>
      <c r="AV45" s="12" t="s">
        <v>53</v>
      </c>
      <c r="AW45" s="33">
        <f t="shared" si="170"/>
        <v>0</v>
      </c>
      <c r="AX45" s="49" t="s">
        <v>54</v>
      </c>
      <c r="AY45" s="12">
        <f t="shared" si="171"/>
        <v>6</v>
      </c>
      <c r="AZ45" s="33" t="s">
        <v>52</v>
      </c>
      <c r="BA45" s="49">
        <f t="shared" si="172"/>
        <v>18</v>
      </c>
      <c r="BB45" s="12" t="s">
        <v>53</v>
      </c>
      <c r="BC45" s="33">
        <f t="shared" si="173"/>
        <v>6</v>
      </c>
      <c r="BD45" s="49" t="s">
        <v>54</v>
      </c>
      <c r="BE45" s="12">
        <f t="shared" si="174"/>
        <v>0</v>
      </c>
      <c r="BF45" s="33" t="s">
        <v>52</v>
      </c>
      <c r="BG45" s="53">
        <f t="shared" si="175"/>
        <v>0</v>
      </c>
      <c r="BH45" s="12"/>
      <c r="BI45" s="43">
        <f>IFERROR(IF($B$9="W",BI22,BI23),"0")</f>
        <v>1</v>
      </c>
      <c r="BJ45" s="33" t="s">
        <v>52</v>
      </c>
      <c r="BK45" s="49">
        <f>IFERROR(IF($B$9="W",BK22,BK23),"0")</f>
        <v>5</v>
      </c>
      <c r="BL45" s="12" t="s">
        <v>53</v>
      </c>
      <c r="BM45" s="33">
        <f>IFERROR(IF($B$9="W",BM22,BM23),"0")</f>
        <v>0</v>
      </c>
      <c r="BN45" s="49" t="s">
        <v>54</v>
      </c>
      <c r="BO45" s="12">
        <f>IFERROR(IF($B$9="W",BO22,BO23),"0")</f>
        <v>1</v>
      </c>
      <c r="BP45" s="33" t="s">
        <v>52</v>
      </c>
      <c r="BQ45" s="49">
        <f>IFERROR(IF($B$9="W",BQ22,BQ23),"0")</f>
        <v>4</v>
      </c>
      <c r="BR45" s="12" t="s">
        <v>53</v>
      </c>
      <c r="BS45" s="33">
        <f>IFERROR(IF($B$9="W",BS22,BS23),"0")</f>
        <v>0</v>
      </c>
      <c r="BT45" s="49" t="s">
        <v>54</v>
      </c>
      <c r="BU45" s="12">
        <f>IFERROR(IF($B$9="W",BU22,BU23),"0")</f>
        <v>0</v>
      </c>
      <c r="BV45" s="33" t="s">
        <v>52</v>
      </c>
      <c r="BW45" s="49">
        <f>IFERROR(IF($B$9="W",BW22,BW23),"0")</f>
        <v>0</v>
      </c>
      <c r="BX45" s="12" t="s">
        <v>53</v>
      </c>
      <c r="BY45" s="33">
        <f>IFERROR(IF($B$9="W",BY22,BY23),"0")</f>
        <v>0</v>
      </c>
      <c r="BZ45" s="49" t="s">
        <v>54</v>
      </c>
      <c r="CA45" s="12">
        <f>IFERROR(IF($B$9="W",CA22,CA23),"0")</f>
        <v>0</v>
      </c>
      <c r="CB45" s="33" t="s">
        <v>52</v>
      </c>
      <c r="CC45" s="49">
        <f>IFERROR(IF($B$9="W",CC22,CC23),"0")</f>
        <v>1</v>
      </c>
      <c r="CD45" s="12" t="s">
        <v>53</v>
      </c>
      <c r="CE45" s="33">
        <f>IFERROR(IF($B$9="W",CE22,CE23),"0")</f>
        <v>0</v>
      </c>
      <c r="CF45" s="49" t="s">
        <v>54</v>
      </c>
      <c r="CG45" s="12">
        <f>IFERROR(IF($B$9="W",CG22,CG23),"0")</f>
        <v>0</v>
      </c>
      <c r="CH45" s="33" t="s">
        <v>52</v>
      </c>
      <c r="CI45" s="53">
        <f t="shared" ref="CI45:CV45" si="182">IFERROR(IF($B$9="W",CI22,CI23),"0")</f>
        <v>0</v>
      </c>
      <c r="CJ45" s="33">
        <f t="shared" si="182"/>
        <v>5</v>
      </c>
      <c r="CK45" s="33">
        <f t="shared" si="182"/>
        <v>8</v>
      </c>
      <c r="CL45" s="33">
        <f t="shared" si="182"/>
        <v>0</v>
      </c>
      <c r="CM45" s="33">
        <f t="shared" si="182"/>
        <v>0</v>
      </c>
      <c r="CN45" s="33">
        <f t="shared" si="182"/>
        <v>13</v>
      </c>
      <c r="CO45" s="33">
        <f t="shared" si="182"/>
        <v>9</v>
      </c>
      <c r="CP45" s="33">
        <f t="shared" si="182"/>
        <v>15</v>
      </c>
      <c r="CQ45" s="33">
        <f t="shared" si="182"/>
        <v>3</v>
      </c>
      <c r="CR45" s="33">
        <f t="shared" si="182"/>
        <v>8</v>
      </c>
      <c r="CS45" s="33">
        <f t="shared" si="182"/>
        <v>6</v>
      </c>
      <c r="CT45" s="33">
        <f t="shared" si="182"/>
        <v>2</v>
      </c>
      <c r="CU45" s="33">
        <f t="shared" si="182"/>
        <v>1</v>
      </c>
      <c r="CV45" s="58">
        <f t="shared" si="182"/>
        <v>40.4</v>
      </c>
      <c r="CW45" s="33"/>
      <c r="CX45" s="4"/>
      <c r="CY45" s="4"/>
      <c r="CZ45" s="4"/>
      <c r="DA45" s="4"/>
      <c r="DB45" s="8"/>
      <c r="DC45" s="8"/>
      <c r="DH45" s="8"/>
      <c r="DS45" s="10"/>
      <c r="DT45" s="10"/>
      <c r="EF45" s="38" t="s">
        <v>46</v>
      </c>
      <c r="EG45" s="6">
        <f t="shared" si="146"/>
        <v>33.915254817916114</v>
      </c>
      <c r="EW45" s="38" t="s">
        <v>46</v>
      </c>
      <c r="EX45" s="6">
        <f t="shared" si="147"/>
        <v>6.4</v>
      </c>
      <c r="EY45" s="6">
        <f t="shared" si="177"/>
        <v>8</v>
      </c>
      <c r="EZ45" s="6">
        <f t="shared" si="178"/>
        <v>17.071999999999999</v>
      </c>
    </row>
    <row r="46" spans="3:156" x14ac:dyDescent="0.2">
      <c r="C46" s="38" t="s">
        <v>47</v>
      </c>
      <c r="D46" s="28">
        <f t="shared" si="144"/>
        <v>72.169999999999987</v>
      </c>
      <c r="E46" s="86">
        <f t="shared" si="148"/>
        <v>15</v>
      </c>
      <c r="F46" s="33" t="s">
        <v>52</v>
      </c>
      <c r="G46" s="49">
        <f t="shared" si="149"/>
        <v>27</v>
      </c>
      <c r="H46" s="12" t="s">
        <v>53</v>
      </c>
      <c r="I46" s="33">
        <f t="shared" si="150"/>
        <v>7</v>
      </c>
      <c r="J46" s="49" t="s">
        <v>54</v>
      </c>
      <c r="K46" s="12">
        <f t="shared" si="151"/>
        <v>11</v>
      </c>
      <c r="L46" s="33" t="s">
        <v>52</v>
      </c>
      <c r="M46" s="49">
        <f t="shared" si="152"/>
        <v>13</v>
      </c>
      <c r="N46" s="12" t="s">
        <v>53</v>
      </c>
      <c r="O46" s="33">
        <f t="shared" si="153"/>
        <v>4</v>
      </c>
      <c r="P46" s="49" t="s">
        <v>54</v>
      </c>
      <c r="Q46" s="12">
        <f t="shared" si="154"/>
        <v>0</v>
      </c>
      <c r="R46" s="33" t="s">
        <v>52</v>
      </c>
      <c r="S46" s="49">
        <f t="shared" si="155"/>
        <v>2</v>
      </c>
      <c r="T46" s="12" t="s">
        <v>53</v>
      </c>
      <c r="U46" s="33">
        <f t="shared" si="156"/>
        <v>0</v>
      </c>
      <c r="V46" s="49" t="s">
        <v>54</v>
      </c>
      <c r="W46" s="12">
        <f t="shared" si="157"/>
        <v>4</v>
      </c>
      <c r="X46" s="33" t="s">
        <v>52</v>
      </c>
      <c r="Y46" s="49">
        <f t="shared" si="158"/>
        <v>12</v>
      </c>
      <c r="Z46" s="12" t="s">
        <v>53</v>
      </c>
      <c r="AA46" s="33">
        <f t="shared" si="159"/>
        <v>3</v>
      </c>
      <c r="AB46" s="49" t="s">
        <v>54</v>
      </c>
      <c r="AC46" s="12">
        <f t="shared" si="160"/>
        <v>2.25</v>
      </c>
      <c r="AD46" s="33" t="s">
        <v>52</v>
      </c>
      <c r="AE46" s="53">
        <f t="shared" si="161"/>
        <v>3</v>
      </c>
      <c r="AF46" s="12"/>
      <c r="AG46" s="43">
        <f t="shared" si="162"/>
        <v>11</v>
      </c>
      <c r="AH46" s="33" t="s">
        <v>52</v>
      </c>
      <c r="AI46" s="49">
        <f t="shared" si="163"/>
        <v>22</v>
      </c>
      <c r="AJ46" s="12" t="s">
        <v>53</v>
      </c>
      <c r="AK46" s="33">
        <f t="shared" si="164"/>
        <v>5</v>
      </c>
      <c r="AL46" s="49" t="s">
        <v>54</v>
      </c>
      <c r="AM46" s="12">
        <f t="shared" si="165"/>
        <v>9</v>
      </c>
      <c r="AN46" s="33" t="s">
        <v>52</v>
      </c>
      <c r="AO46" s="49">
        <f t="shared" si="166"/>
        <v>10</v>
      </c>
      <c r="AP46" s="12" t="s">
        <v>53</v>
      </c>
      <c r="AQ46" s="33">
        <f t="shared" si="167"/>
        <v>3</v>
      </c>
      <c r="AR46" s="49" t="s">
        <v>54</v>
      </c>
      <c r="AS46" s="12">
        <f t="shared" si="168"/>
        <v>0</v>
      </c>
      <c r="AT46" s="33" t="s">
        <v>52</v>
      </c>
      <c r="AU46" s="49">
        <f t="shared" si="169"/>
        <v>2</v>
      </c>
      <c r="AV46" s="12" t="s">
        <v>53</v>
      </c>
      <c r="AW46" s="33">
        <f t="shared" si="170"/>
        <v>0</v>
      </c>
      <c r="AX46" s="49" t="s">
        <v>54</v>
      </c>
      <c r="AY46" s="12">
        <f t="shared" si="171"/>
        <v>2</v>
      </c>
      <c r="AZ46" s="33" t="s">
        <v>52</v>
      </c>
      <c r="BA46" s="49">
        <f t="shared" si="172"/>
        <v>10</v>
      </c>
      <c r="BB46" s="12" t="s">
        <v>53</v>
      </c>
      <c r="BC46" s="33">
        <f t="shared" si="173"/>
        <v>2</v>
      </c>
      <c r="BD46" s="49" t="s">
        <v>54</v>
      </c>
      <c r="BE46" s="12">
        <f t="shared" si="174"/>
        <v>0</v>
      </c>
      <c r="BF46" s="33" t="s">
        <v>52</v>
      </c>
      <c r="BG46" s="53">
        <f t="shared" si="175"/>
        <v>0</v>
      </c>
      <c r="BH46" s="12"/>
      <c r="BI46" s="43">
        <f>IFERROR(IF($B$10="W",BI22,BI23),"0")</f>
        <v>4</v>
      </c>
      <c r="BJ46" s="33" t="s">
        <v>52</v>
      </c>
      <c r="BK46" s="49">
        <f>IFERROR(IF($B$10="W",BK22,BK23),"0")</f>
        <v>5</v>
      </c>
      <c r="BL46" s="12" t="s">
        <v>53</v>
      </c>
      <c r="BM46" s="33">
        <f>IFERROR(IF($B$10="W",BM22,BM23),"0")</f>
        <v>2</v>
      </c>
      <c r="BN46" s="49" t="s">
        <v>54</v>
      </c>
      <c r="BO46" s="12">
        <f>IFERROR(IF($B$10="W",BO22,BO23),"0")</f>
        <v>2</v>
      </c>
      <c r="BP46" s="33" t="s">
        <v>52</v>
      </c>
      <c r="BQ46" s="49">
        <f>IFERROR(IF($B$10="W",BQ22,BQ23),"0")</f>
        <v>3</v>
      </c>
      <c r="BR46" s="12" t="s">
        <v>53</v>
      </c>
      <c r="BS46" s="33">
        <f>IFERROR(IF($B$10="W",BS22,BS23),"0")</f>
        <v>1</v>
      </c>
      <c r="BT46" s="49" t="s">
        <v>54</v>
      </c>
      <c r="BU46" s="12">
        <f>IFERROR(IF($B$10="W",BU22,BU23),"0")</f>
        <v>0</v>
      </c>
      <c r="BV46" s="33" t="s">
        <v>52</v>
      </c>
      <c r="BW46" s="49">
        <f>IFERROR(IF($B$10="W",BW22,BW23),"0")</f>
        <v>0</v>
      </c>
      <c r="BX46" s="12" t="s">
        <v>53</v>
      </c>
      <c r="BY46" s="33">
        <f>IFERROR(IF($B$10="W",BY22,BY23),"0")</f>
        <v>0</v>
      </c>
      <c r="BZ46" s="49" t="s">
        <v>54</v>
      </c>
      <c r="CA46" s="12">
        <f>IFERROR(IF($B$10="W",CA22,CA23),"0")</f>
        <v>2</v>
      </c>
      <c r="CB46" s="33" t="s">
        <v>52</v>
      </c>
      <c r="CC46" s="49">
        <f>IFERROR(IF($B$10="W",CC22,CC23),"0")</f>
        <v>2</v>
      </c>
      <c r="CD46" s="12" t="s">
        <v>53</v>
      </c>
      <c r="CE46" s="33">
        <f>IFERROR(IF($B$10="W",CE22,CE23),"0")</f>
        <v>1</v>
      </c>
      <c r="CF46" s="49" t="s">
        <v>54</v>
      </c>
      <c r="CG46" s="12">
        <f>IFERROR(IF($B$10="W",CG22,CG23),"0")</f>
        <v>0</v>
      </c>
      <c r="CH46" s="33" t="s">
        <v>52</v>
      </c>
      <c r="CI46" s="53">
        <f t="shared" ref="CI46:CV46" si="183">IFERROR(IF($B$10="W",CI22,CI23),"0")</f>
        <v>0</v>
      </c>
      <c r="CJ46" s="33">
        <f t="shared" si="183"/>
        <v>4</v>
      </c>
      <c r="CK46" s="33">
        <f t="shared" si="183"/>
        <v>16</v>
      </c>
      <c r="CL46" s="33">
        <f t="shared" si="183"/>
        <v>0</v>
      </c>
      <c r="CM46" s="33">
        <f t="shared" si="183"/>
        <v>0</v>
      </c>
      <c r="CN46" s="33">
        <f t="shared" si="183"/>
        <v>20</v>
      </c>
      <c r="CO46" s="33">
        <f t="shared" si="183"/>
        <v>8</v>
      </c>
      <c r="CP46" s="33">
        <f t="shared" si="183"/>
        <v>6</v>
      </c>
      <c r="CQ46" s="33">
        <f t="shared" si="183"/>
        <v>8</v>
      </c>
      <c r="CR46" s="33">
        <f t="shared" si="183"/>
        <v>3</v>
      </c>
      <c r="CS46" s="33">
        <f t="shared" si="183"/>
        <v>1</v>
      </c>
      <c r="CT46" s="33">
        <f t="shared" si="183"/>
        <v>10</v>
      </c>
      <c r="CU46" s="33">
        <f t="shared" si="183"/>
        <v>0</v>
      </c>
      <c r="CV46" s="58">
        <f t="shared" si="183"/>
        <v>36.25</v>
      </c>
      <c r="CW46" s="33"/>
      <c r="CX46" s="4"/>
      <c r="CY46" s="4"/>
      <c r="CZ46" s="4"/>
      <c r="DA46" s="4"/>
      <c r="DB46" s="8"/>
      <c r="DC46" s="8"/>
      <c r="DH46" s="8"/>
      <c r="DS46" s="10"/>
      <c r="DT46" s="10"/>
      <c r="EF46" s="38" t="s">
        <v>47</v>
      </c>
      <c r="EG46" s="6">
        <f t="shared" si="146"/>
        <v>33.009552344836685</v>
      </c>
      <c r="EW46" s="38" t="s">
        <v>47</v>
      </c>
      <c r="EX46" s="6">
        <f t="shared" si="147"/>
        <v>2.25</v>
      </c>
      <c r="EY46" s="6">
        <f t="shared" si="177"/>
        <v>3</v>
      </c>
      <c r="EZ46" s="6">
        <f t="shared" si="178"/>
        <v>16.125</v>
      </c>
    </row>
    <row r="47" spans="3:156" x14ac:dyDescent="0.2">
      <c r="C47" s="38" t="s">
        <v>48</v>
      </c>
      <c r="D47" s="28">
        <f t="shared" si="144"/>
        <v>72.169999999999987</v>
      </c>
      <c r="E47" s="86">
        <f t="shared" si="148"/>
        <v>14</v>
      </c>
      <c r="F47" s="33" t="s">
        <v>52</v>
      </c>
      <c r="G47" s="49">
        <f t="shared" si="149"/>
        <v>35</v>
      </c>
      <c r="H47" s="12" t="s">
        <v>53</v>
      </c>
      <c r="I47" s="33">
        <f t="shared" si="150"/>
        <v>9</v>
      </c>
      <c r="J47" s="49" t="s">
        <v>54</v>
      </c>
      <c r="K47" s="12">
        <f t="shared" si="151"/>
        <v>8</v>
      </c>
      <c r="L47" s="33" t="s">
        <v>52</v>
      </c>
      <c r="M47" s="49">
        <f t="shared" si="152"/>
        <v>12</v>
      </c>
      <c r="N47" s="12" t="s">
        <v>53</v>
      </c>
      <c r="O47" s="33">
        <f t="shared" si="153"/>
        <v>3</v>
      </c>
      <c r="P47" s="49" t="s">
        <v>54</v>
      </c>
      <c r="Q47" s="12">
        <f t="shared" si="154"/>
        <v>0</v>
      </c>
      <c r="R47" s="33" t="s">
        <v>52</v>
      </c>
      <c r="S47" s="49">
        <f t="shared" si="155"/>
        <v>4</v>
      </c>
      <c r="T47" s="12" t="s">
        <v>53</v>
      </c>
      <c r="U47" s="33">
        <f t="shared" si="156"/>
        <v>0</v>
      </c>
      <c r="V47" s="49" t="s">
        <v>54</v>
      </c>
      <c r="W47" s="12">
        <f t="shared" si="157"/>
        <v>6</v>
      </c>
      <c r="X47" s="33" t="s">
        <v>52</v>
      </c>
      <c r="Y47" s="49">
        <f t="shared" si="158"/>
        <v>19</v>
      </c>
      <c r="Z47" s="12" t="s">
        <v>53</v>
      </c>
      <c r="AA47" s="33">
        <f t="shared" si="159"/>
        <v>6</v>
      </c>
      <c r="AB47" s="49" t="s">
        <v>54</v>
      </c>
      <c r="AC47" s="12">
        <f t="shared" si="160"/>
        <v>6.4</v>
      </c>
      <c r="AD47" s="33" t="s">
        <v>52</v>
      </c>
      <c r="AE47" s="53">
        <f t="shared" si="161"/>
        <v>8</v>
      </c>
      <c r="AF47" s="12"/>
      <c r="AG47" s="43">
        <f t="shared" si="162"/>
        <v>13</v>
      </c>
      <c r="AH47" s="33" t="s">
        <v>52</v>
      </c>
      <c r="AI47" s="49">
        <f t="shared" si="163"/>
        <v>30</v>
      </c>
      <c r="AJ47" s="12" t="s">
        <v>53</v>
      </c>
      <c r="AK47" s="33">
        <f t="shared" si="164"/>
        <v>9</v>
      </c>
      <c r="AL47" s="49" t="s">
        <v>54</v>
      </c>
      <c r="AM47" s="12">
        <f t="shared" si="165"/>
        <v>7</v>
      </c>
      <c r="AN47" s="33" t="s">
        <v>52</v>
      </c>
      <c r="AO47" s="49">
        <f t="shared" si="166"/>
        <v>8</v>
      </c>
      <c r="AP47" s="12" t="s">
        <v>53</v>
      </c>
      <c r="AQ47" s="33">
        <f t="shared" si="167"/>
        <v>3</v>
      </c>
      <c r="AR47" s="49" t="s">
        <v>54</v>
      </c>
      <c r="AS47" s="12">
        <f t="shared" si="168"/>
        <v>0</v>
      </c>
      <c r="AT47" s="33" t="s">
        <v>52</v>
      </c>
      <c r="AU47" s="49">
        <f t="shared" si="169"/>
        <v>4</v>
      </c>
      <c r="AV47" s="12" t="s">
        <v>53</v>
      </c>
      <c r="AW47" s="33">
        <f t="shared" si="170"/>
        <v>0</v>
      </c>
      <c r="AX47" s="49" t="s">
        <v>54</v>
      </c>
      <c r="AY47" s="12">
        <f t="shared" si="171"/>
        <v>6</v>
      </c>
      <c r="AZ47" s="33" t="s">
        <v>52</v>
      </c>
      <c r="BA47" s="49">
        <f t="shared" si="172"/>
        <v>18</v>
      </c>
      <c r="BB47" s="12" t="s">
        <v>53</v>
      </c>
      <c r="BC47" s="33">
        <f t="shared" si="173"/>
        <v>6</v>
      </c>
      <c r="BD47" s="49" t="s">
        <v>54</v>
      </c>
      <c r="BE47" s="12">
        <f t="shared" si="174"/>
        <v>0</v>
      </c>
      <c r="BF47" s="33" t="s">
        <v>52</v>
      </c>
      <c r="BG47" s="53">
        <f t="shared" si="175"/>
        <v>0</v>
      </c>
      <c r="BH47" s="12"/>
      <c r="BI47" s="43">
        <f>IFERROR(IF($B$11="W",BI22,BI23),"0")</f>
        <v>1</v>
      </c>
      <c r="BJ47" s="33" t="s">
        <v>52</v>
      </c>
      <c r="BK47" s="49">
        <f>IFERROR(IF($B$11="W",BK22,BK23),"0")</f>
        <v>5</v>
      </c>
      <c r="BL47" s="12" t="s">
        <v>53</v>
      </c>
      <c r="BM47" s="33">
        <f>IFERROR(IF($B$11="W",BM22,BM23),"0")</f>
        <v>0</v>
      </c>
      <c r="BN47" s="49" t="s">
        <v>54</v>
      </c>
      <c r="BO47" s="12">
        <f>IFERROR(IF($B$11="W",BO22,BO23),"0")</f>
        <v>1</v>
      </c>
      <c r="BP47" s="33" t="s">
        <v>52</v>
      </c>
      <c r="BQ47" s="49">
        <f>IFERROR(IF($B$11="W",BQ22,BQ23),"0")</f>
        <v>4</v>
      </c>
      <c r="BR47" s="12" t="s">
        <v>53</v>
      </c>
      <c r="BS47" s="33">
        <f>IFERROR(IF($B$11="W",BS22,BS23),"0")</f>
        <v>0</v>
      </c>
      <c r="BT47" s="49" t="s">
        <v>54</v>
      </c>
      <c r="BU47" s="12">
        <f>IFERROR(IF($B$11="W",BU22,BU23),"0")</f>
        <v>0</v>
      </c>
      <c r="BV47" s="33" t="s">
        <v>52</v>
      </c>
      <c r="BW47" s="49">
        <f>IFERROR(IF($B$11="W",BW22,BW23),"0")</f>
        <v>0</v>
      </c>
      <c r="BX47" s="12" t="s">
        <v>53</v>
      </c>
      <c r="BY47" s="33">
        <f>IFERROR(IF($B$11="W",BY22,BY23),"0")</f>
        <v>0</v>
      </c>
      <c r="BZ47" s="49" t="s">
        <v>54</v>
      </c>
      <c r="CA47" s="12">
        <f>IFERROR(IF($B$11="W",CA22,CA23),"0")</f>
        <v>0</v>
      </c>
      <c r="CB47" s="33" t="s">
        <v>52</v>
      </c>
      <c r="CC47" s="49">
        <f>IFERROR(IF($B$11="W",CC22,CC23),"0")</f>
        <v>1</v>
      </c>
      <c r="CD47" s="12" t="s">
        <v>53</v>
      </c>
      <c r="CE47" s="33">
        <f>IFERROR(IF($B$11="W",CE22,CE23),"0")</f>
        <v>0</v>
      </c>
      <c r="CF47" s="49" t="s">
        <v>54</v>
      </c>
      <c r="CG47" s="12">
        <f>IFERROR(IF($B$11="W",CG22,CG23),"0")</f>
        <v>0</v>
      </c>
      <c r="CH47" s="33" t="s">
        <v>52</v>
      </c>
      <c r="CI47" s="53">
        <f t="shared" ref="CI47:CV47" si="184">IFERROR(IF($B$11="W",CI22,CI23),"0")</f>
        <v>0</v>
      </c>
      <c r="CJ47" s="33">
        <f t="shared" si="184"/>
        <v>5</v>
      </c>
      <c r="CK47" s="33">
        <f t="shared" si="184"/>
        <v>8</v>
      </c>
      <c r="CL47" s="33">
        <f t="shared" si="184"/>
        <v>0</v>
      </c>
      <c r="CM47" s="33">
        <f t="shared" si="184"/>
        <v>0</v>
      </c>
      <c r="CN47" s="33">
        <f t="shared" si="184"/>
        <v>13</v>
      </c>
      <c r="CO47" s="33">
        <f t="shared" si="184"/>
        <v>9</v>
      </c>
      <c r="CP47" s="33">
        <f t="shared" si="184"/>
        <v>15</v>
      </c>
      <c r="CQ47" s="33">
        <f t="shared" si="184"/>
        <v>3</v>
      </c>
      <c r="CR47" s="33">
        <f t="shared" si="184"/>
        <v>8</v>
      </c>
      <c r="CS47" s="33">
        <f t="shared" si="184"/>
        <v>6</v>
      </c>
      <c r="CT47" s="33">
        <f t="shared" si="184"/>
        <v>2</v>
      </c>
      <c r="CU47" s="33">
        <f t="shared" si="184"/>
        <v>1</v>
      </c>
      <c r="CV47" s="58">
        <f t="shared" si="184"/>
        <v>40.4</v>
      </c>
      <c r="CW47" s="33"/>
      <c r="CX47" s="4"/>
      <c r="CY47" s="4"/>
      <c r="CZ47" s="4"/>
      <c r="DA47" s="4"/>
      <c r="DB47" s="8"/>
      <c r="DC47" s="8"/>
      <c r="DH47" s="8"/>
      <c r="DS47" s="10"/>
      <c r="DT47" s="10"/>
      <c r="EF47" s="38" t="s">
        <v>48</v>
      </c>
      <c r="EG47" s="6">
        <f t="shared" si="146"/>
        <v>33.915254817916114</v>
      </c>
      <c r="EW47" s="38" t="s">
        <v>48</v>
      </c>
      <c r="EX47" s="6">
        <f t="shared" si="147"/>
        <v>6.4</v>
      </c>
      <c r="EY47" s="6">
        <f t="shared" si="177"/>
        <v>8</v>
      </c>
      <c r="EZ47" s="6">
        <f t="shared" si="178"/>
        <v>17.071999999999999</v>
      </c>
    </row>
    <row r="48" spans="3:156" x14ac:dyDescent="0.2">
      <c r="C48" s="38" t="s">
        <v>115</v>
      </c>
      <c r="D48" s="28">
        <f t="shared" si="144"/>
        <v>72.169999999999987</v>
      </c>
      <c r="E48" s="86">
        <f t="shared" si="148"/>
        <v>15</v>
      </c>
      <c r="F48" s="33" t="s">
        <v>52</v>
      </c>
      <c r="G48" s="49">
        <f t="shared" si="149"/>
        <v>27</v>
      </c>
      <c r="H48" s="12" t="s">
        <v>53</v>
      </c>
      <c r="I48" s="33">
        <f t="shared" si="150"/>
        <v>7</v>
      </c>
      <c r="J48" s="49" t="s">
        <v>54</v>
      </c>
      <c r="K48" s="12">
        <f t="shared" si="151"/>
        <v>11</v>
      </c>
      <c r="L48" s="33" t="s">
        <v>52</v>
      </c>
      <c r="M48" s="49">
        <f t="shared" si="152"/>
        <v>13</v>
      </c>
      <c r="N48" s="12" t="s">
        <v>53</v>
      </c>
      <c r="O48" s="33">
        <f t="shared" si="153"/>
        <v>4</v>
      </c>
      <c r="P48" s="49" t="s">
        <v>54</v>
      </c>
      <c r="Q48" s="12">
        <f t="shared" si="154"/>
        <v>0</v>
      </c>
      <c r="R48" s="33" t="s">
        <v>52</v>
      </c>
      <c r="S48" s="49">
        <f t="shared" si="155"/>
        <v>2</v>
      </c>
      <c r="T48" s="12" t="s">
        <v>53</v>
      </c>
      <c r="U48" s="33">
        <f t="shared" si="156"/>
        <v>0</v>
      </c>
      <c r="V48" s="49" t="s">
        <v>54</v>
      </c>
      <c r="W48" s="12">
        <f t="shared" si="157"/>
        <v>4</v>
      </c>
      <c r="X48" s="33" t="s">
        <v>52</v>
      </c>
      <c r="Y48" s="49">
        <f t="shared" si="158"/>
        <v>12</v>
      </c>
      <c r="Z48" s="12" t="s">
        <v>53</v>
      </c>
      <c r="AA48" s="33">
        <f t="shared" si="159"/>
        <v>3</v>
      </c>
      <c r="AB48" s="49" t="s">
        <v>54</v>
      </c>
      <c r="AC48" s="12">
        <f t="shared" si="160"/>
        <v>2.25</v>
      </c>
      <c r="AD48" s="33" t="s">
        <v>52</v>
      </c>
      <c r="AE48" s="53">
        <f t="shared" si="161"/>
        <v>3</v>
      </c>
      <c r="AF48" s="12"/>
      <c r="AG48" s="43">
        <f t="shared" si="162"/>
        <v>11</v>
      </c>
      <c r="AH48" s="33" t="s">
        <v>52</v>
      </c>
      <c r="AI48" s="49">
        <f t="shared" si="163"/>
        <v>22</v>
      </c>
      <c r="AJ48" s="12" t="s">
        <v>53</v>
      </c>
      <c r="AK48" s="33">
        <f t="shared" si="164"/>
        <v>5</v>
      </c>
      <c r="AL48" s="49" t="s">
        <v>54</v>
      </c>
      <c r="AM48" s="12">
        <f t="shared" si="165"/>
        <v>9</v>
      </c>
      <c r="AN48" s="33" t="s">
        <v>52</v>
      </c>
      <c r="AO48" s="49">
        <f t="shared" si="166"/>
        <v>10</v>
      </c>
      <c r="AP48" s="12" t="s">
        <v>53</v>
      </c>
      <c r="AQ48" s="33">
        <f t="shared" si="167"/>
        <v>3</v>
      </c>
      <c r="AR48" s="49" t="s">
        <v>54</v>
      </c>
      <c r="AS48" s="12">
        <f t="shared" si="168"/>
        <v>0</v>
      </c>
      <c r="AT48" s="33" t="s">
        <v>52</v>
      </c>
      <c r="AU48" s="49">
        <f t="shared" si="169"/>
        <v>2</v>
      </c>
      <c r="AV48" s="12" t="s">
        <v>53</v>
      </c>
      <c r="AW48" s="33">
        <f t="shared" si="170"/>
        <v>0</v>
      </c>
      <c r="AX48" s="49" t="s">
        <v>54</v>
      </c>
      <c r="AY48" s="12">
        <f t="shared" si="171"/>
        <v>2</v>
      </c>
      <c r="AZ48" s="33" t="s">
        <v>52</v>
      </c>
      <c r="BA48" s="49">
        <f t="shared" si="172"/>
        <v>10</v>
      </c>
      <c r="BB48" s="12" t="s">
        <v>53</v>
      </c>
      <c r="BC48" s="33">
        <f t="shared" si="173"/>
        <v>2</v>
      </c>
      <c r="BD48" s="49" t="s">
        <v>54</v>
      </c>
      <c r="BE48" s="12">
        <f t="shared" si="174"/>
        <v>0</v>
      </c>
      <c r="BF48" s="33" t="s">
        <v>52</v>
      </c>
      <c r="BG48" s="53">
        <f t="shared" si="175"/>
        <v>0</v>
      </c>
      <c r="BH48" s="12"/>
      <c r="BI48" s="43">
        <f>IFERROR(IF($B$12="W",BI22,BI23),"0")</f>
        <v>4</v>
      </c>
      <c r="BJ48" s="33" t="s">
        <v>52</v>
      </c>
      <c r="BK48" s="49">
        <f>IFERROR(IF($B$12="W",BK22,BK23),"0")</f>
        <v>5</v>
      </c>
      <c r="BL48" s="12" t="s">
        <v>53</v>
      </c>
      <c r="BM48" s="33">
        <f>IFERROR(IF($B$12="W",BM22,BM23),"0")</f>
        <v>2</v>
      </c>
      <c r="BN48" s="49" t="s">
        <v>54</v>
      </c>
      <c r="BO48" s="12">
        <f>IFERROR(IF($B$12="W",BO22,BO23),"0")</f>
        <v>2</v>
      </c>
      <c r="BP48" s="33" t="s">
        <v>52</v>
      </c>
      <c r="BQ48" s="49">
        <f>IFERROR(IF($B$12="W",BQ22,BQ23),"0")</f>
        <v>3</v>
      </c>
      <c r="BR48" s="12" t="s">
        <v>53</v>
      </c>
      <c r="BS48" s="33">
        <f>IFERROR(IF($B$12="W",BS22,BS23),"0")</f>
        <v>1</v>
      </c>
      <c r="BT48" s="49" t="s">
        <v>54</v>
      </c>
      <c r="BU48" s="12">
        <f>IFERROR(IF($B$12="W",BU22,BU23),"0")</f>
        <v>0</v>
      </c>
      <c r="BV48" s="33" t="s">
        <v>52</v>
      </c>
      <c r="BW48" s="49">
        <f>IFERROR(IF($B$12="W",BW22,BW23),"0")</f>
        <v>0</v>
      </c>
      <c r="BX48" s="12" t="s">
        <v>53</v>
      </c>
      <c r="BY48" s="33">
        <f>IFERROR(IF($B$12="W",BY22,BY23),"0")</f>
        <v>0</v>
      </c>
      <c r="BZ48" s="49" t="s">
        <v>54</v>
      </c>
      <c r="CA48" s="12">
        <f>IFERROR(IF($B$12="W",CA22,CA23),"0")</f>
        <v>2</v>
      </c>
      <c r="CB48" s="33" t="s">
        <v>52</v>
      </c>
      <c r="CC48" s="49">
        <f>IFERROR(IF($B$12="W",CC22,CC23),"0")</f>
        <v>2</v>
      </c>
      <c r="CD48" s="12" t="s">
        <v>53</v>
      </c>
      <c r="CE48" s="33">
        <f>IFERROR(IF($B$12="W",CE22,CE23),"0")</f>
        <v>1</v>
      </c>
      <c r="CF48" s="49" t="s">
        <v>54</v>
      </c>
      <c r="CG48" s="12">
        <f>IFERROR(IF($B$12="W",CG22,CG23),"0")</f>
        <v>0</v>
      </c>
      <c r="CH48" s="33" t="s">
        <v>52</v>
      </c>
      <c r="CI48" s="53">
        <f t="shared" ref="CI48:CV48" si="185">IFERROR(IF($B$12="W",CI22,CI23),"0")</f>
        <v>0</v>
      </c>
      <c r="CJ48" s="33">
        <f t="shared" si="185"/>
        <v>4</v>
      </c>
      <c r="CK48" s="33">
        <f t="shared" si="185"/>
        <v>16</v>
      </c>
      <c r="CL48" s="33">
        <f t="shared" si="185"/>
        <v>0</v>
      </c>
      <c r="CM48" s="33">
        <f t="shared" si="185"/>
        <v>0</v>
      </c>
      <c r="CN48" s="33">
        <f t="shared" si="185"/>
        <v>20</v>
      </c>
      <c r="CO48" s="33">
        <f t="shared" si="185"/>
        <v>8</v>
      </c>
      <c r="CP48" s="33">
        <f t="shared" si="185"/>
        <v>6</v>
      </c>
      <c r="CQ48" s="33">
        <f t="shared" si="185"/>
        <v>8</v>
      </c>
      <c r="CR48" s="33">
        <f t="shared" si="185"/>
        <v>3</v>
      </c>
      <c r="CS48" s="33">
        <f t="shared" si="185"/>
        <v>1</v>
      </c>
      <c r="CT48" s="33">
        <f t="shared" si="185"/>
        <v>10</v>
      </c>
      <c r="CU48" s="33">
        <f t="shared" si="185"/>
        <v>0</v>
      </c>
      <c r="CV48" s="58">
        <f t="shared" si="185"/>
        <v>36.25</v>
      </c>
      <c r="CW48" s="33"/>
      <c r="CX48" s="4"/>
      <c r="CY48" s="4"/>
      <c r="CZ48" s="4"/>
      <c r="DA48" s="4"/>
      <c r="DB48" s="8"/>
      <c r="DC48" s="8"/>
      <c r="DH48" s="8"/>
      <c r="DS48" s="10"/>
      <c r="DT48" s="10"/>
      <c r="EF48" s="38" t="s">
        <v>115</v>
      </c>
      <c r="EG48" s="6">
        <f t="shared" si="146"/>
        <v>33.009552344836685</v>
      </c>
      <c r="EW48" s="38" t="s">
        <v>115</v>
      </c>
      <c r="EX48" s="6">
        <f t="shared" si="147"/>
        <v>2.25</v>
      </c>
      <c r="EY48" s="6">
        <f t="shared" si="177"/>
        <v>3</v>
      </c>
      <c r="EZ48" s="6">
        <f t="shared" si="178"/>
        <v>16.125</v>
      </c>
    </row>
    <row r="49" spans="3:156" x14ac:dyDescent="0.2">
      <c r="C49" s="38" t="s">
        <v>227</v>
      </c>
      <c r="D49" s="28">
        <f t="shared" si="144"/>
        <v>72.169999999999987</v>
      </c>
      <c r="E49" s="86">
        <f t="shared" si="148"/>
        <v>15</v>
      </c>
      <c r="F49" s="33" t="s">
        <v>52</v>
      </c>
      <c r="G49" s="49">
        <f t="shared" si="149"/>
        <v>27</v>
      </c>
      <c r="H49" s="12" t="s">
        <v>53</v>
      </c>
      <c r="I49" s="33">
        <f t="shared" si="150"/>
        <v>7</v>
      </c>
      <c r="J49" s="49" t="s">
        <v>54</v>
      </c>
      <c r="K49" s="12">
        <f t="shared" si="151"/>
        <v>11</v>
      </c>
      <c r="L49" s="33" t="s">
        <v>52</v>
      </c>
      <c r="M49" s="49">
        <f t="shared" si="152"/>
        <v>13</v>
      </c>
      <c r="N49" s="12" t="s">
        <v>53</v>
      </c>
      <c r="O49" s="33">
        <f t="shared" si="153"/>
        <v>4</v>
      </c>
      <c r="P49" s="49" t="s">
        <v>54</v>
      </c>
      <c r="Q49" s="12">
        <f t="shared" si="154"/>
        <v>0</v>
      </c>
      <c r="R49" s="33" t="s">
        <v>52</v>
      </c>
      <c r="S49" s="49">
        <f t="shared" si="155"/>
        <v>2</v>
      </c>
      <c r="T49" s="12" t="s">
        <v>53</v>
      </c>
      <c r="U49" s="33">
        <f t="shared" si="156"/>
        <v>0</v>
      </c>
      <c r="V49" s="49" t="s">
        <v>54</v>
      </c>
      <c r="W49" s="12">
        <f t="shared" si="157"/>
        <v>4</v>
      </c>
      <c r="X49" s="33" t="s">
        <v>52</v>
      </c>
      <c r="Y49" s="49">
        <f t="shared" si="158"/>
        <v>12</v>
      </c>
      <c r="Z49" s="12" t="s">
        <v>53</v>
      </c>
      <c r="AA49" s="33">
        <f t="shared" si="159"/>
        <v>3</v>
      </c>
      <c r="AB49" s="49" t="s">
        <v>54</v>
      </c>
      <c r="AC49" s="12">
        <f t="shared" si="160"/>
        <v>2.25</v>
      </c>
      <c r="AD49" s="33" t="s">
        <v>52</v>
      </c>
      <c r="AE49" s="53">
        <f t="shared" si="161"/>
        <v>3</v>
      </c>
      <c r="AF49" s="12"/>
      <c r="AG49" s="43">
        <f t="shared" si="162"/>
        <v>11</v>
      </c>
      <c r="AH49" s="33" t="s">
        <v>52</v>
      </c>
      <c r="AI49" s="49">
        <f t="shared" si="163"/>
        <v>22</v>
      </c>
      <c r="AJ49" s="12" t="s">
        <v>53</v>
      </c>
      <c r="AK49" s="33">
        <f t="shared" si="164"/>
        <v>5</v>
      </c>
      <c r="AL49" s="49" t="s">
        <v>54</v>
      </c>
      <c r="AM49" s="12">
        <f t="shared" si="165"/>
        <v>9</v>
      </c>
      <c r="AN49" s="33" t="s">
        <v>52</v>
      </c>
      <c r="AO49" s="49">
        <f t="shared" si="166"/>
        <v>10</v>
      </c>
      <c r="AP49" s="12" t="s">
        <v>53</v>
      </c>
      <c r="AQ49" s="33">
        <f t="shared" si="167"/>
        <v>3</v>
      </c>
      <c r="AR49" s="49" t="s">
        <v>54</v>
      </c>
      <c r="AS49" s="12">
        <f t="shared" si="168"/>
        <v>0</v>
      </c>
      <c r="AT49" s="33" t="s">
        <v>52</v>
      </c>
      <c r="AU49" s="49">
        <f t="shared" si="169"/>
        <v>2</v>
      </c>
      <c r="AV49" s="12" t="s">
        <v>53</v>
      </c>
      <c r="AW49" s="33">
        <f t="shared" si="170"/>
        <v>0</v>
      </c>
      <c r="AX49" s="49" t="s">
        <v>54</v>
      </c>
      <c r="AY49" s="12">
        <f t="shared" si="171"/>
        <v>2</v>
      </c>
      <c r="AZ49" s="33" t="s">
        <v>52</v>
      </c>
      <c r="BA49" s="49">
        <f t="shared" si="172"/>
        <v>10</v>
      </c>
      <c r="BB49" s="12" t="s">
        <v>53</v>
      </c>
      <c r="BC49" s="33">
        <f t="shared" si="173"/>
        <v>2</v>
      </c>
      <c r="BD49" s="49" t="s">
        <v>54</v>
      </c>
      <c r="BE49" s="12">
        <f t="shared" si="174"/>
        <v>0</v>
      </c>
      <c r="BF49" s="33" t="s">
        <v>52</v>
      </c>
      <c r="BG49" s="53">
        <f t="shared" si="175"/>
        <v>0</v>
      </c>
      <c r="BH49" s="12"/>
      <c r="BI49" s="43">
        <f>IFERROR(IF($B$13="W",BI22,BI23),"0")</f>
        <v>4</v>
      </c>
      <c r="BJ49" s="33" t="s">
        <v>52</v>
      </c>
      <c r="BK49" s="49">
        <f>IFERROR(IF($B$13="W",BK22,BK23),"0")</f>
        <v>5</v>
      </c>
      <c r="BL49" s="12" t="s">
        <v>53</v>
      </c>
      <c r="BM49" s="33">
        <f>IFERROR(IF($B$13="W",BM22,BM23),"0")</f>
        <v>2</v>
      </c>
      <c r="BN49" s="49" t="s">
        <v>54</v>
      </c>
      <c r="BO49" s="12">
        <f>IFERROR(IF($B$13="W",BO22,BO23),"0")</f>
        <v>2</v>
      </c>
      <c r="BP49" s="33" t="s">
        <v>52</v>
      </c>
      <c r="BQ49" s="49">
        <f>IFERROR(IF($B$13="W",BQ22,BQ23),"0")</f>
        <v>3</v>
      </c>
      <c r="BR49" s="12" t="s">
        <v>53</v>
      </c>
      <c r="BS49" s="33">
        <f>IFERROR(IF($B$13="W",BS22,BS23),"0")</f>
        <v>1</v>
      </c>
      <c r="BT49" s="49" t="s">
        <v>54</v>
      </c>
      <c r="BU49" s="12">
        <f>IFERROR(IF($B$13="W",BU22,BU23),"0")</f>
        <v>0</v>
      </c>
      <c r="BV49" s="33" t="s">
        <v>52</v>
      </c>
      <c r="BW49" s="49">
        <f>IFERROR(IF($B$13="W",BW22,BW23),"0")</f>
        <v>0</v>
      </c>
      <c r="BX49" s="12" t="s">
        <v>53</v>
      </c>
      <c r="BY49" s="33">
        <f>IFERROR(IF($B$13="W",BY22,BY23),"0")</f>
        <v>0</v>
      </c>
      <c r="BZ49" s="49" t="s">
        <v>54</v>
      </c>
      <c r="CA49" s="12">
        <f>IFERROR(IF($B$13="W",CA22,CA23),"0")</f>
        <v>2</v>
      </c>
      <c r="CB49" s="33" t="s">
        <v>52</v>
      </c>
      <c r="CC49" s="49">
        <f>IFERROR(IF($B$13="W",CC22,CC23),"0")</f>
        <v>2</v>
      </c>
      <c r="CD49" s="12" t="s">
        <v>53</v>
      </c>
      <c r="CE49" s="33">
        <f>IFERROR(IF($B$13="W",CE22,CE23),"0")</f>
        <v>1</v>
      </c>
      <c r="CF49" s="49" t="s">
        <v>54</v>
      </c>
      <c r="CG49" s="12">
        <f>IFERROR(IF($B$13="W",CG22,CG23),"0")</f>
        <v>0</v>
      </c>
      <c r="CH49" s="33" t="s">
        <v>52</v>
      </c>
      <c r="CI49" s="53">
        <f t="shared" ref="CI49:CV49" si="186">IFERROR(IF($B$13="W",CI22,CI23),"0")</f>
        <v>0</v>
      </c>
      <c r="CJ49" s="33">
        <f t="shared" si="186"/>
        <v>4</v>
      </c>
      <c r="CK49" s="33">
        <f t="shared" si="186"/>
        <v>16</v>
      </c>
      <c r="CL49" s="33">
        <f t="shared" si="186"/>
        <v>0</v>
      </c>
      <c r="CM49" s="33">
        <f t="shared" si="186"/>
        <v>0</v>
      </c>
      <c r="CN49" s="33">
        <f t="shared" si="186"/>
        <v>20</v>
      </c>
      <c r="CO49" s="33">
        <f t="shared" si="186"/>
        <v>8</v>
      </c>
      <c r="CP49" s="33">
        <f t="shared" si="186"/>
        <v>6</v>
      </c>
      <c r="CQ49" s="33">
        <f t="shared" si="186"/>
        <v>8</v>
      </c>
      <c r="CR49" s="33">
        <f t="shared" si="186"/>
        <v>3</v>
      </c>
      <c r="CS49" s="33">
        <f t="shared" si="186"/>
        <v>1</v>
      </c>
      <c r="CT49" s="33">
        <f t="shared" si="186"/>
        <v>10</v>
      </c>
      <c r="CU49" s="33">
        <f t="shared" si="186"/>
        <v>0</v>
      </c>
      <c r="CV49" s="58">
        <f t="shared" si="186"/>
        <v>36.25</v>
      </c>
      <c r="CW49" s="33"/>
      <c r="CX49" s="4"/>
      <c r="CY49" s="4"/>
      <c r="CZ49" s="4"/>
      <c r="DA49" s="4"/>
      <c r="DB49" s="8"/>
      <c r="DC49" s="8"/>
      <c r="DH49" s="8"/>
      <c r="DS49" s="10"/>
      <c r="DT49" s="10"/>
      <c r="EF49" s="38" t="s">
        <v>227</v>
      </c>
      <c r="EG49" s="6">
        <f t="shared" si="146"/>
        <v>33.009552344836685</v>
      </c>
      <c r="EW49" s="38" t="s">
        <v>227</v>
      </c>
      <c r="EX49" s="6">
        <f t="shared" si="147"/>
        <v>2.25</v>
      </c>
      <c r="EY49" s="6">
        <f t="shared" si="177"/>
        <v>3</v>
      </c>
      <c r="EZ49" s="6">
        <f t="shared" si="178"/>
        <v>16.125</v>
      </c>
    </row>
    <row r="50" spans="3:156" x14ac:dyDescent="0.2">
      <c r="C50" s="38" t="s">
        <v>228</v>
      </c>
      <c r="D50" s="28">
        <f t="shared" si="144"/>
        <v>72.169999999999987</v>
      </c>
      <c r="E50" s="86">
        <f t="shared" si="148"/>
        <v>14</v>
      </c>
      <c r="F50" s="33" t="s">
        <v>52</v>
      </c>
      <c r="G50" s="49">
        <f t="shared" si="149"/>
        <v>35</v>
      </c>
      <c r="H50" s="12" t="s">
        <v>53</v>
      </c>
      <c r="I50" s="33">
        <f t="shared" si="150"/>
        <v>9</v>
      </c>
      <c r="J50" s="49" t="s">
        <v>54</v>
      </c>
      <c r="K50" s="12">
        <f t="shared" si="151"/>
        <v>8</v>
      </c>
      <c r="L50" s="33" t="s">
        <v>52</v>
      </c>
      <c r="M50" s="49">
        <f t="shared" si="152"/>
        <v>12</v>
      </c>
      <c r="N50" s="12" t="s">
        <v>53</v>
      </c>
      <c r="O50" s="33">
        <f t="shared" si="153"/>
        <v>3</v>
      </c>
      <c r="P50" s="49" t="s">
        <v>54</v>
      </c>
      <c r="Q50" s="12">
        <f t="shared" si="154"/>
        <v>0</v>
      </c>
      <c r="R50" s="33" t="s">
        <v>52</v>
      </c>
      <c r="S50" s="49">
        <f t="shared" si="155"/>
        <v>4</v>
      </c>
      <c r="T50" s="12" t="s">
        <v>53</v>
      </c>
      <c r="U50" s="33">
        <f t="shared" si="156"/>
        <v>0</v>
      </c>
      <c r="V50" s="49" t="s">
        <v>54</v>
      </c>
      <c r="W50" s="12">
        <f t="shared" si="157"/>
        <v>6</v>
      </c>
      <c r="X50" s="33" t="s">
        <v>52</v>
      </c>
      <c r="Y50" s="49">
        <f t="shared" si="158"/>
        <v>19</v>
      </c>
      <c r="Z50" s="12" t="s">
        <v>53</v>
      </c>
      <c r="AA50" s="33">
        <f t="shared" si="159"/>
        <v>6</v>
      </c>
      <c r="AB50" s="49" t="s">
        <v>54</v>
      </c>
      <c r="AC50" s="12">
        <f t="shared" si="160"/>
        <v>6.4</v>
      </c>
      <c r="AD50" s="33" t="s">
        <v>52</v>
      </c>
      <c r="AE50" s="53">
        <f t="shared" si="161"/>
        <v>8</v>
      </c>
      <c r="AF50" s="12"/>
      <c r="AG50" s="43">
        <f t="shared" si="162"/>
        <v>13</v>
      </c>
      <c r="AH50" s="33" t="s">
        <v>52</v>
      </c>
      <c r="AI50" s="49">
        <f t="shared" si="163"/>
        <v>30</v>
      </c>
      <c r="AJ50" s="12" t="s">
        <v>53</v>
      </c>
      <c r="AK50" s="33">
        <f t="shared" si="164"/>
        <v>9</v>
      </c>
      <c r="AL50" s="49" t="s">
        <v>54</v>
      </c>
      <c r="AM50" s="12">
        <f t="shared" si="165"/>
        <v>7</v>
      </c>
      <c r="AN50" s="33" t="s">
        <v>52</v>
      </c>
      <c r="AO50" s="49">
        <f t="shared" si="166"/>
        <v>8</v>
      </c>
      <c r="AP50" s="12" t="s">
        <v>53</v>
      </c>
      <c r="AQ50" s="33">
        <f t="shared" si="167"/>
        <v>3</v>
      </c>
      <c r="AR50" s="49" t="s">
        <v>54</v>
      </c>
      <c r="AS50" s="12">
        <f t="shared" si="168"/>
        <v>0</v>
      </c>
      <c r="AT50" s="33" t="s">
        <v>52</v>
      </c>
      <c r="AU50" s="49">
        <f t="shared" si="169"/>
        <v>4</v>
      </c>
      <c r="AV50" s="12" t="s">
        <v>53</v>
      </c>
      <c r="AW50" s="33">
        <f t="shared" si="170"/>
        <v>0</v>
      </c>
      <c r="AX50" s="49" t="s">
        <v>54</v>
      </c>
      <c r="AY50" s="12">
        <f t="shared" si="171"/>
        <v>6</v>
      </c>
      <c r="AZ50" s="33" t="s">
        <v>52</v>
      </c>
      <c r="BA50" s="49">
        <f t="shared" si="172"/>
        <v>18</v>
      </c>
      <c r="BB50" s="12" t="s">
        <v>53</v>
      </c>
      <c r="BC50" s="33">
        <f t="shared" si="173"/>
        <v>6</v>
      </c>
      <c r="BD50" s="49" t="s">
        <v>54</v>
      </c>
      <c r="BE50" s="12">
        <f t="shared" si="174"/>
        <v>0</v>
      </c>
      <c r="BF50" s="33" t="s">
        <v>52</v>
      </c>
      <c r="BG50" s="53">
        <f t="shared" si="175"/>
        <v>0</v>
      </c>
      <c r="BH50" s="12"/>
      <c r="BI50" s="43">
        <f>IFERROR(IF($B$14="W",BI22,BI23),"0")</f>
        <v>1</v>
      </c>
      <c r="BJ50" s="12" t="str">
        <f t="shared" ref="BJ50:CI50" si="187">IFERROR(IF($B$14="W",BJ22,BJ23),"0")</f>
        <v>-</v>
      </c>
      <c r="BK50" s="49">
        <f t="shared" si="187"/>
        <v>5</v>
      </c>
      <c r="BL50" s="12" t="str">
        <f t="shared" si="187"/>
        <v>(</v>
      </c>
      <c r="BM50" s="33">
        <f t="shared" si="187"/>
        <v>0</v>
      </c>
      <c r="BN50" s="49" t="str">
        <f t="shared" si="187"/>
        <v>)</v>
      </c>
      <c r="BO50" s="12">
        <f t="shared" si="187"/>
        <v>1</v>
      </c>
      <c r="BP50" s="12" t="str">
        <f t="shared" si="187"/>
        <v>-</v>
      </c>
      <c r="BQ50" s="49">
        <f t="shared" si="187"/>
        <v>4</v>
      </c>
      <c r="BR50" s="12" t="str">
        <f t="shared" si="187"/>
        <v>(</v>
      </c>
      <c r="BS50" s="33">
        <f t="shared" si="187"/>
        <v>0</v>
      </c>
      <c r="BT50" s="49" t="str">
        <f t="shared" si="187"/>
        <v>)</v>
      </c>
      <c r="BU50" s="12">
        <f t="shared" si="187"/>
        <v>0</v>
      </c>
      <c r="BV50" s="12" t="str">
        <f t="shared" si="187"/>
        <v>-</v>
      </c>
      <c r="BW50" s="49">
        <f t="shared" si="187"/>
        <v>0</v>
      </c>
      <c r="BX50" s="12" t="str">
        <f t="shared" si="187"/>
        <v>(</v>
      </c>
      <c r="BY50" s="12">
        <f t="shared" si="187"/>
        <v>0</v>
      </c>
      <c r="BZ50" s="49" t="str">
        <f t="shared" si="187"/>
        <v>)</v>
      </c>
      <c r="CA50" s="12">
        <f t="shared" si="187"/>
        <v>0</v>
      </c>
      <c r="CB50" s="12" t="str">
        <f t="shared" si="187"/>
        <v>-</v>
      </c>
      <c r="CC50" s="49">
        <f t="shared" si="187"/>
        <v>1</v>
      </c>
      <c r="CD50" s="12" t="str">
        <f t="shared" si="187"/>
        <v>(</v>
      </c>
      <c r="CE50" s="33">
        <f t="shared" si="187"/>
        <v>0</v>
      </c>
      <c r="CF50" s="49" t="str">
        <f t="shared" si="187"/>
        <v>)</v>
      </c>
      <c r="CG50" s="12">
        <f t="shared" si="187"/>
        <v>0</v>
      </c>
      <c r="CH50" s="12" t="str">
        <f t="shared" si="187"/>
        <v>-</v>
      </c>
      <c r="CI50" s="53">
        <f t="shared" si="187"/>
        <v>0</v>
      </c>
      <c r="CJ50" s="33">
        <f>IFERROR(IF($B$14="W",CJ22,CJ23),"0")</f>
        <v>5</v>
      </c>
      <c r="CK50" s="33">
        <f t="shared" ref="CK50:CV50" si="188">IFERROR(IF($B$14="W",CK22,CK23),"0")</f>
        <v>8</v>
      </c>
      <c r="CL50" s="33">
        <f t="shared" si="188"/>
        <v>0</v>
      </c>
      <c r="CM50" s="33">
        <f t="shared" si="188"/>
        <v>0</v>
      </c>
      <c r="CN50" s="33">
        <f t="shared" si="188"/>
        <v>13</v>
      </c>
      <c r="CO50" s="33">
        <f t="shared" si="188"/>
        <v>9</v>
      </c>
      <c r="CP50" s="33">
        <f t="shared" si="188"/>
        <v>15</v>
      </c>
      <c r="CQ50" s="33">
        <f t="shared" si="188"/>
        <v>3</v>
      </c>
      <c r="CR50" s="33">
        <f t="shared" si="188"/>
        <v>8</v>
      </c>
      <c r="CS50" s="33">
        <f t="shared" si="188"/>
        <v>6</v>
      </c>
      <c r="CT50" s="33">
        <f t="shared" si="188"/>
        <v>2</v>
      </c>
      <c r="CU50" s="33">
        <f t="shared" si="188"/>
        <v>1</v>
      </c>
      <c r="CV50" s="33">
        <f t="shared" si="188"/>
        <v>40.4</v>
      </c>
      <c r="CW50" s="33"/>
      <c r="CX50" s="4"/>
      <c r="CY50" s="4"/>
      <c r="CZ50" s="4"/>
      <c r="DA50" s="4"/>
      <c r="DB50" s="8"/>
      <c r="DC50" s="8"/>
      <c r="DH50" s="8"/>
      <c r="DS50" s="10"/>
      <c r="DT50" s="10"/>
      <c r="EF50" s="38" t="s">
        <v>228</v>
      </c>
      <c r="EG50" s="6">
        <f t="shared" si="146"/>
        <v>33.915254817916114</v>
      </c>
      <c r="EW50" s="38" t="s">
        <v>228</v>
      </c>
      <c r="EX50" s="6">
        <f t="shared" si="147"/>
        <v>6.4</v>
      </c>
      <c r="EY50" s="6">
        <f t="shared" si="177"/>
        <v>8</v>
      </c>
      <c r="EZ50" s="6">
        <f t="shared" si="178"/>
        <v>17.071999999999999</v>
      </c>
    </row>
    <row r="51" spans="3:156" x14ac:dyDescent="0.2">
      <c r="C51" s="38" t="s">
        <v>229</v>
      </c>
      <c r="D51" s="28">
        <f t="shared" si="144"/>
        <v>72.169999999999987</v>
      </c>
      <c r="E51" s="86">
        <f t="shared" si="148"/>
        <v>15</v>
      </c>
      <c r="F51" s="33" t="s">
        <v>52</v>
      </c>
      <c r="G51" s="49">
        <f t="shared" si="149"/>
        <v>27</v>
      </c>
      <c r="H51" s="12" t="s">
        <v>53</v>
      </c>
      <c r="I51" s="33">
        <f t="shared" si="150"/>
        <v>7</v>
      </c>
      <c r="J51" s="49" t="s">
        <v>54</v>
      </c>
      <c r="K51" s="12">
        <f t="shared" si="151"/>
        <v>11</v>
      </c>
      <c r="L51" s="33" t="s">
        <v>52</v>
      </c>
      <c r="M51" s="49">
        <f t="shared" si="152"/>
        <v>13</v>
      </c>
      <c r="N51" s="12" t="s">
        <v>53</v>
      </c>
      <c r="O51" s="33">
        <f t="shared" si="153"/>
        <v>4</v>
      </c>
      <c r="P51" s="49" t="s">
        <v>54</v>
      </c>
      <c r="Q51" s="12">
        <f t="shared" si="154"/>
        <v>0</v>
      </c>
      <c r="R51" s="33" t="s">
        <v>52</v>
      </c>
      <c r="S51" s="49">
        <f t="shared" si="155"/>
        <v>2</v>
      </c>
      <c r="T51" s="12" t="s">
        <v>53</v>
      </c>
      <c r="U51" s="33">
        <f t="shared" si="156"/>
        <v>0</v>
      </c>
      <c r="V51" s="49" t="s">
        <v>54</v>
      </c>
      <c r="W51" s="12">
        <f t="shared" si="157"/>
        <v>4</v>
      </c>
      <c r="X51" s="33" t="s">
        <v>52</v>
      </c>
      <c r="Y51" s="49">
        <f t="shared" si="158"/>
        <v>12</v>
      </c>
      <c r="Z51" s="12" t="s">
        <v>53</v>
      </c>
      <c r="AA51" s="33">
        <f t="shared" si="159"/>
        <v>3</v>
      </c>
      <c r="AB51" s="49" t="s">
        <v>54</v>
      </c>
      <c r="AC51" s="12">
        <f t="shared" si="160"/>
        <v>2.25</v>
      </c>
      <c r="AD51" s="33" t="s">
        <v>52</v>
      </c>
      <c r="AE51" s="53">
        <f t="shared" si="161"/>
        <v>3</v>
      </c>
      <c r="AF51" s="12"/>
      <c r="AG51" s="43">
        <f t="shared" si="162"/>
        <v>11</v>
      </c>
      <c r="AH51" s="33" t="s">
        <v>52</v>
      </c>
      <c r="AI51" s="49">
        <f t="shared" si="163"/>
        <v>22</v>
      </c>
      <c r="AJ51" s="12" t="s">
        <v>53</v>
      </c>
      <c r="AK51" s="33">
        <f t="shared" si="164"/>
        <v>5</v>
      </c>
      <c r="AL51" s="49" t="s">
        <v>54</v>
      </c>
      <c r="AM51" s="12">
        <f t="shared" si="165"/>
        <v>9</v>
      </c>
      <c r="AN51" s="33" t="s">
        <v>52</v>
      </c>
      <c r="AO51" s="49">
        <f t="shared" si="166"/>
        <v>10</v>
      </c>
      <c r="AP51" s="12" t="s">
        <v>53</v>
      </c>
      <c r="AQ51" s="33">
        <f t="shared" si="167"/>
        <v>3</v>
      </c>
      <c r="AR51" s="49" t="s">
        <v>54</v>
      </c>
      <c r="AS51" s="12">
        <f t="shared" si="168"/>
        <v>0</v>
      </c>
      <c r="AT51" s="33" t="s">
        <v>52</v>
      </c>
      <c r="AU51" s="49">
        <f t="shared" si="169"/>
        <v>2</v>
      </c>
      <c r="AV51" s="12" t="s">
        <v>53</v>
      </c>
      <c r="AW51" s="33">
        <f t="shared" si="170"/>
        <v>0</v>
      </c>
      <c r="AX51" s="49" t="s">
        <v>54</v>
      </c>
      <c r="AY51" s="12">
        <f t="shared" si="171"/>
        <v>2</v>
      </c>
      <c r="AZ51" s="33" t="s">
        <v>52</v>
      </c>
      <c r="BA51" s="49">
        <f t="shared" si="172"/>
        <v>10</v>
      </c>
      <c r="BB51" s="12" t="s">
        <v>53</v>
      </c>
      <c r="BC51" s="33">
        <f t="shared" si="173"/>
        <v>2</v>
      </c>
      <c r="BD51" s="49" t="s">
        <v>54</v>
      </c>
      <c r="BE51" s="12">
        <f t="shared" si="174"/>
        <v>0</v>
      </c>
      <c r="BF51" s="33" t="s">
        <v>52</v>
      </c>
      <c r="BG51" s="53">
        <f t="shared" si="175"/>
        <v>0</v>
      </c>
      <c r="BH51" s="12"/>
      <c r="BI51" s="43">
        <f>IFERROR(IF($B$15="W",BI22,BI23),"0")</f>
        <v>4</v>
      </c>
      <c r="BJ51" s="12" t="str">
        <f t="shared" ref="BJ51:CI51" si="189">IFERROR(IF($B$15="W",BJ22,BJ23),"0")</f>
        <v>-</v>
      </c>
      <c r="BK51" s="49">
        <f t="shared" si="189"/>
        <v>5</v>
      </c>
      <c r="BL51" s="12" t="str">
        <f t="shared" si="189"/>
        <v>(</v>
      </c>
      <c r="BM51" s="33">
        <f t="shared" si="189"/>
        <v>2</v>
      </c>
      <c r="BN51" s="49" t="str">
        <f t="shared" si="189"/>
        <v>)</v>
      </c>
      <c r="BO51" s="12">
        <f t="shared" si="189"/>
        <v>2</v>
      </c>
      <c r="BP51" s="12" t="str">
        <f t="shared" si="189"/>
        <v>-</v>
      </c>
      <c r="BQ51" s="49">
        <f t="shared" si="189"/>
        <v>3</v>
      </c>
      <c r="BR51" s="12" t="str">
        <f t="shared" si="189"/>
        <v>(</v>
      </c>
      <c r="BS51" s="33">
        <f t="shared" si="189"/>
        <v>1</v>
      </c>
      <c r="BT51" s="49" t="str">
        <f t="shared" si="189"/>
        <v>)</v>
      </c>
      <c r="BU51" s="12">
        <f t="shared" si="189"/>
        <v>0</v>
      </c>
      <c r="BV51" s="12" t="str">
        <f t="shared" si="189"/>
        <v>-</v>
      </c>
      <c r="BW51" s="49">
        <f t="shared" si="189"/>
        <v>0</v>
      </c>
      <c r="BX51" s="12" t="str">
        <f t="shared" si="189"/>
        <v>(</v>
      </c>
      <c r="BY51" s="12">
        <f t="shared" si="189"/>
        <v>0</v>
      </c>
      <c r="BZ51" s="49" t="str">
        <f t="shared" si="189"/>
        <v>)</v>
      </c>
      <c r="CA51" s="12">
        <f t="shared" si="189"/>
        <v>2</v>
      </c>
      <c r="CB51" s="12" t="str">
        <f t="shared" si="189"/>
        <v>-</v>
      </c>
      <c r="CC51" s="49">
        <f t="shared" si="189"/>
        <v>2</v>
      </c>
      <c r="CD51" s="12" t="str">
        <f t="shared" si="189"/>
        <v>(</v>
      </c>
      <c r="CE51" s="33">
        <f t="shared" si="189"/>
        <v>1</v>
      </c>
      <c r="CF51" s="49" t="str">
        <f t="shared" si="189"/>
        <v>)</v>
      </c>
      <c r="CG51" s="12">
        <f t="shared" si="189"/>
        <v>0</v>
      </c>
      <c r="CH51" s="12" t="str">
        <f t="shared" si="189"/>
        <v>-</v>
      </c>
      <c r="CI51" s="53">
        <f t="shared" si="189"/>
        <v>0</v>
      </c>
      <c r="CJ51" s="33">
        <f>IFERROR(IF($B$15="W",CJ22,CJ23),"0")</f>
        <v>4</v>
      </c>
      <c r="CK51" s="33">
        <f t="shared" ref="CK51:CV51" si="190">IFERROR(IF($B$15="W",CK22,CK23),"0")</f>
        <v>16</v>
      </c>
      <c r="CL51" s="33">
        <f t="shared" si="190"/>
        <v>0</v>
      </c>
      <c r="CM51" s="33">
        <f t="shared" si="190"/>
        <v>0</v>
      </c>
      <c r="CN51" s="33">
        <f t="shared" si="190"/>
        <v>20</v>
      </c>
      <c r="CO51" s="33">
        <f t="shared" si="190"/>
        <v>8</v>
      </c>
      <c r="CP51" s="33">
        <f t="shared" si="190"/>
        <v>6</v>
      </c>
      <c r="CQ51" s="33">
        <f t="shared" si="190"/>
        <v>8</v>
      </c>
      <c r="CR51" s="33">
        <f t="shared" si="190"/>
        <v>3</v>
      </c>
      <c r="CS51" s="33">
        <f t="shared" si="190"/>
        <v>1</v>
      </c>
      <c r="CT51" s="33">
        <f t="shared" si="190"/>
        <v>10</v>
      </c>
      <c r="CU51" s="33">
        <f t="shared" si="190"/>
        <v>0</v>
      </c>
      <c r="CV51" s="33">
        <f t="shared" si="190"/>
        <v>36.25</v>
      </c>
      <c r="CW51" s="33"/>
      <c r="CX51" s="4"/>
      <c r="CY51" s="4"/>
      <c r="CZ51" s="4"/>
      <c r="DA51" s="4"/>
      <c r="DB51" s="8"/>
      <c r="DC51" s="8"/>
      <c r="DH51" s="8"/>
      <c r="DS51" s="10"/>
      <c r="DT51" s="10"/>
      <c r="EF51" s="38" t="s">
        <v>229</v>
      </c>
      <c r="EG51" s="6">
        <f t="shared" si="146"/>
        <v>33.009552344836685</v>
      </c>
      <c r="EW51" s="38" t="s">
        <v>229</v>
      </c>
      <c r="EX51" s="6">
        <f t="shared" si="147"/>
        <v>2.25</v>
      </c>
      <c r="EY51" s="6">
        <f t="shared" si="177"/>
        <v>3</v>
      </c>
      <c r="EZ51" s="6">
        <f t="shared" si="178"/>
        <v>16.125</v>
      </c>
    </row>
    <row r="52" spans="3:156" x14ac:dyDescent="0.2">
      <c r="C52" s="38" t="s">
        <v>113</v>
      </c>
      <c r="D52" s="28">
        <f t="shared" si="144"/>
        <v>72.169999999999987</v>
      </c>
      <c r="E52" s="86">
        <f t="shared" si="148"/>
        <v>14</v>
      </c>
      <c r="F52" s="33" t="s">
        <v>52</v>
      </c>
      <c r="G52" s="49">
        <f t="shared" si="149"/>
        <v>35</v>
      </c>
      <c r="H52" s="12" t="s">
        <v>53</v>
      </c>
      <c r="I52" s="33">
        <f t="shared" si="150"/>
        <v>9</v>
      </c>
      <c r="J52" s="49" t="s">
        <v>54</v>
      </c>
      <c r="K52" s="12">
        <f t="shared" si="151"/>
        <v>8</v>
      </c>
      <c r="L52" s="33" t="s">
        <v>52</v>
      </c>
      <c r="M52" s="49">
        <f t="shared" si="152"/>
        <v>12</v>
      </c>
      <c r="N52" s="12" t="s">
        <v>53</v>
      </c>
      <c r="O52" s="33">
        <f t="shared" si="153"/>
        <v>3</v>
      </c>
      <c r="P52" s="49" t="s">
        <v>54</v>
      </c>
      <c r="Q52" s="12">
        <f t="shared" si="154"/>
        <v>0</v>
      </c>
      <c r="R52" s="33" t="s">
        <v>52</v>
      </c>
      <c r="S52" s="49">
        <f t="shared" si="155"/>
        <v>4</v>
      </c>
      <c r="T52" s="12" t="s">
        <v>53</v>
      </c>
      <c r="U52" s="33">
        <f t="shared" si="156"/>
        <v>0</v>
      </c>
      <c r="V52" s="49" t="s">
        <v>54</v>
      </c>
      <c r="W52" s="12">
        <f t="shared" si="157"/>
        <v>6</v>
      </c>
      <c r="X52" s="33" t="s">
        <v>52</v>
      </c>
      <c r="Y52" s="49">
        <f t="shared" si="158"/>
        <v>19</v>
      </c>
      <c r="Z52" s="12" t="s">
        <v>53</v>
      </c>
      <c r="AA52" s="33">
        <f t="shared" si="159"/>
        <v>6</v>
      </c>
      <c r="AB52" s="49" t="s">
        <v>54</v>
      </c>
      <c r="AC52" s="12">
        <f t="shared" si="160"/>
        <v>6.4</v>
      </c>
      <c r="AD52" s="33" t="s">
        <v>52</v>
      </c>
      <c r="AE52" s="53">
        <f t="shared" si="161"/>
        <v>8</v>
      </c>
      <c r="AF52" s="12"/>
      <c r="AG52" s="43">
        <f t="shared" si="162"/>
        <v>13</v>
      </c>
      <c r="AH52" s="33" t="s">
        <v>52</v>
      </c>
      <c r="AI52" s="49">
        <f t="shared" si="163"/>
        <v>30</v>
      </c>
      <c r="AJ52" s="12" t="s">
        <v>53</v>
      </c>
      <c r="AK52" s="33">
        <f t="shared" si="164"/>
        <v>9</v>
      </c>
      <c r="AL52" s="49" t="s">
        <v>54</v>
      </c>
      <c r="AM52" s="12">
        <f t="shared" si="165"/>
        <v>7</v>
      </c>
      <c r="AN52" s="33" t="s">
        <v>52</v>
      </c>
      <c r="AO52" s="49">
        <f t="shared" si="166"/>
        <v>8</v>
      </c>
      <c r="AP52" s="12" t="s">
        <v>53</v>
      </c>
      <c r="AQ52" s="33">
        <f t="shared" si="167"/>
        <v>3</v>
      </c>
      <c r="AR52" s="49" t="s">
        <v>54</v>
      </c>
      <c r="AS52" s="12">
        <f t="shared" si="168"/>
        <v>0</v>
      </c>
      <c r="AT52" s="33" t="s">
        <v>52</v>
      </c>
      <c r="AU52" s="49">
        <f t="shared" si="169"/>
        <v>4</v>
      </c>
      <c r="AV52" s="12" t="s">
        <v>53</v>
      </c>
      <c r="AW52" s="33">
        <f t="shared" si="170"/>
        <v>0</v>
      </c>
      <c r="AX52" s="49" t="s">
        <v>54</v>
      </c>
      <c r="AY52" s="12">
        <f t="shared" si="171"/>
        <v>6</v>
      </c>
      <c r="AZ52" s="33" t="s">
        <v>52</v>
      </c>
      <c r="BA52" s="49">
        <f t="shared" si="172"/>
        <v>18</v>
      </c>
      <c r="BB52" s="12" t="s">
        <v>53</v>
      </c>
      <c r="BC52" s="33">
        <f t="shared" si="173"/>
        <v>6</v>
      </c>
      <c r="BD52" s="49" t="s">
        <v>54</v>
      </c>
      <c r="BE52" s="12">
        <f t="shared" si="174"/>
        <v>0</v>
      </c>
      <c r="BF52" s="33" t="s">
        <v>52</v>
      </c>
      <c r="BG52" s="53">
        <f t="shared" si="175"/>
        <v>0</v>
      </c>
      <c r="BH52" s="12"/>
      <c r="BI52" s="43">
        <f>IFERROR(IF($B$16="W",BI22,BI23),"0")</f>
        <v>1</v>
      </c>
      <c r="BJ52" s="12" t="str">
        <f t="shared" ref="BJ52:CI52" si="191">IFERROR(IF($B$16="W",BJ22,BJ23),"0")</f>
        <v>-</v>
      </c>
      <c r="BK52" s="49">
        <f t="shared" si="191"/>
        <v>5</v>
      </c>
      <c r="BL52" s="12" t="str">
        <f t="shared" si="191"/>
        <v>(</v>
      </c>
      <c r="BM52" s="33">
        <f t="shared" si="191"/>
        <v>0</v>
      </c>
      <c r="BN52" s="49" t="str">
        <f t="shared" si="191"/>
        <v>)</v>
      </c>
      <c r="BO52" s="12">
        <f t="shared" si="191"/>
        <v>1</v>
      </c>
      <c r="BP52" s="12" t="str">
        <f t="shared" si="191"/>
        <v>-</v>
      </c>
      <c r="BQ52" s="49">
        <f t="shared" si="191"/>
        <v>4</v>
      </c>
      <c r="BR52" s="12" t="str">
        <f t="shared" si="191"/>
        <v>(</v>
      </c>
      <c r="BS52" s="33">
        <f t="shared" si="191"/>
        <v>0</v>
      </c>
      <c r="BT52" s="49" t="str">
        <f t="shared" si="191"/>
        <v>)</v>
      </c>
      <c r="BU52" s="12">
        <f t="shared" si="191"/>
        <v>0</v>
      </c>
      <c r="BV52" s="12" t="str">
        <f t="shared" si="191"/>
        <v>-</v>
      </c>
      <c r="BW52" s="49">
        <f t="shared" si="191"/>
        <v>0</v>
      </c>
      <c r="BX52" s="12" t="str">
        <f t="shared" si="191"/>
        <v>(</v>
      </c>
      <c r="BY52" s="12">
        <f t="shared" si="191"/>
        <v>0</v>
      </c>
      <c r="BZ52" s="49" t="str">
        <f t="shared" si="191"/>
        <v>)</v>
      </c>
      <c r="CA52" s="12">
        <f t="shared" si="191"/>
        <v>0</v>
      </c>
      <c r="CB52" s="12" t="str">
        <f t="shared" si="191"/>
        <v>-</v>
      </c>
      <c r="CC52" s="49">
        <f t="shared" si="191"/>
        <v>1</v>
      </c>
      <c r="CD52" s="12" t="str">
        <f t="shared" si="191"/>
        <v>(</v>
      </c>
      <c r="CE52" s="33">
        <f t="shared" si="191"/>
        <v>0</v>
      </c>
      <c r="CF52" s="49" t="str">
        <f t="shared" si="191"/>
        <v>)</v>
      </c>
      <c r="CG52" s="12">
        <f t="shared" si="191"/>
        <v>0</v>
      </c>
      <c r="CH52" s="12" t="str">
        <f t="shared" si="191"/>
        <v>-</v>
      </c>
      <c r="CI52" s="53">
        <f t="shared" si="191"/>
        <v>0</v>
      </c>
      <c r="CJ52" s="33">
        <f>IFERROR(IF($B$16="W",CJ22,CJ23),"0")</f>
        <v>5</v>
      </c>
      <c r="CK52" s="33">
        <f t="shared" ref="CK52:CV52" si="192">IFERROR(IF($B$16="W",CK22,CK23),"0")</f>
        <v>8</v>
      </c>
      <c r="CL52" s="33">
        <f t="shared" si="192"/>
        <v>0</v>
      </c>
      <c r="CM52" s="33">
        <f t="shared" si="192"/>
        <v>0</v>
      </c>
      <c r="CN52" s="33">
        <f t="shared" si="192"/>
        <v>13</v>
      </c>
      <c r="CO52" s="33">
        <f t="shared" si="192"/>
        <v>9</v>
      </c>
      <c r="CP52" s="33">
        <f t="shared" si="192"/>
        <v>15</v>
      </c>
      <c r="CQ52" s="33">
        <f t="shared" si="192"/>
        <v>3</v>
      </c>
      <c r="CR52" s="33">
        <f t="shared" si="192"/>
        <v>8</v>
      </c>
      <c r="CS52" s="33">
        <f t="shared" si="192"/>
        <v>6</v>
      </c>
      <c r="CT52" s="33">
        <f t="shared" si="192"/>
        <v>2</v>
      </c>
      <c r="CU52" s="33">
        <f t="shared" si="192"/>
        <v>1</v>
      </c>
      <c r="CV52" s="33">
        <f t="shared" si="192"/>
        <v>40.4</v>
      </c>
      <c r="CW52" s="33"/>
      <c r="CX52" s="4"/>
      <c r="CY52" s="4"/>
      <c r="CZ52" s="4"/>
      <c r="DA52" s="4"/>
      <c r="DB52" s="8"/>
      <c r="DC52" s="8"/>
      <c r="DH52" s="8"/>
      <c r="DS52" s="10"/>
      <c r="DT52" s="10"/>
      <c r="EF52" s="38" t="s">
        <v>113</v>
      </c>
      <c r="EG52" s="6">
        <f t="shared" si="146"/>
        <v>33.915254817916114</v>
      </c>
      <c r="EW52" s="38" t="s">
        <v>113</v>
      </c>
      <c r="EX52" s="6">
        <f t="shared" si="147"/>
        <v>6.4</v>
      </c>
      <c r="EY52" s="6">
        <f t="shared" si="177"/>
        <v>8</v>
      </c>
      <c r="EZ52" s="6">
        <f t="shared" si="178"/>
        <v>17.071999999999999</v>
      </c>
    </row>
    <row r="53" spans="3:156" x14ac:dyDescent="0.2">
      <c r="C53" s="38" t="s">
        <v>49</v>
      </c>
      <c r="D53" s="28">
        <f t="shared" si="144"/>
        <v>72.169999999999987</v>
      </c>
      <c r="E53" s="86">
        <f t="shared" si="148"/>
        <v>14</v>
      </c>
      <c r="F53" s="33" t="s">
        <v>52</v>
      </c>
      <c r="G53" s="49">
        <f t="shared" si="149"/>
        <v>35</v>
      </c>
      <c r="H53" s="12" t="s">
        <v>53</v>
      </c>
      <c r="I53" s="33">
        <f t="shared" si="150"/>
        <v>9</v>
      </c>
      <c r="J53" s="49" t="s">
        <v>54</v>
      </c>
      <c r="K53" s="12">
        <f t="shared" si="151"/>
        <v>8</v>
      </c>
      <c r="L53" s="33" t="s">
        <v>52</v>
      </c>
      <c r="M53" s="49">
        <f t="shared" si="152"/>
        <v>12</v>
      </c>
      <c r="N53" s="12" t="s">
        <v>53</v>
      </c>
      <c r="O53" s="33">
        <f t="shared" si="153"/>
        <v>3</v>
      </c>
      <c r="P53" s="49" t="s">
        <v>54</v>
      </c>
      <c r="Q53" s="12">
        <f t="shared" si="154"/>
        <v>0</v>
      </c>
      <c r="R53" s="33" t="s">
        <v>52</v>
      </c>
      <c r="S53" s="49">
        <f t="shared" si="155"/>
        <v>4</v>
      </c>
      <c r="T53" s="12" t="s">
        <v>53</v>
      </c>
      <c r="U53" s="33">
        <f t="shared" si="156"/>
        <v>0</v>
      </c>
      <c r="V53" s="49" t="s">
        <v>54</v>
      </c>
      <c r="W53" s="12">
        <f t="shared" si="157"/>
        <v>6</v>
      </c>
      <c r="X53" s="33" t="s">
        <v>52</v>
      </c>
      <c r="Y53" s="49">
        <f t="shared" si="158"/>
        <v>19</v>
      </c>
      <c r="Z53" s="12" t="s">
        <v>53</v>
      </c>
      <c r="AA53" s="33">
        <f t="shared" si="159"/>
        <v>6</v>
      </c>
      <c r="AB53" s="49" t="s">
        <v>54</v>
      </c>
      <c r="AC53" s="12">
        <f t="shared" si="160"/>
        <v>6.4</v>
      </c>
      <c r="AD53" s="33" t="s">
        <v>52</v>
      </c>
      <c r="AE53" s="53">
        <f t="shared" si="161"/>
        <v>8</v>
      </c>
      <c r="AF53" s="12"/>
      <c r="AG53" s="43">
        <f t="shared" si="162"/>
        <v>13</v>
      </c>
      <c r="AH53" s="33" t="s">
        <v>52</v>
      </c>
      <c r="AI53" s="49">
        <f t="shared" si="163"/>
        <v>30</v>
      </c>
      <c r="AJ53" s="12" t="s">
        <v>53</v>
      </c>
      <c r="AK53" s="33">
        <f t="shared" si="164"/>
        <v>9</v>
      </c>
      <c r="AL53" s="49" t="s">
        <v>54</v>
      </c>
      <c r="AM53" s="12">
        <f t="shared" si="165"/>
        <v>7</v>
      </c>
      <c r="AN53" s="33" t="s">
        <v>52</v>
      </c>
      <c r="AO53" s="49">
        <f t="shared" si="166"/>
        <v>8</v>
      </c>
      <c r="AP53" s="12" t="s">
        <v>53</v>
      </c>
      <c r="AQ53" s="33">
        <f t="shared" si="167"/>
        <v>3</v>
      </c>
      <c r="AR53" s="49" t="s">
        <v>54</v>
      </c>
      <c r="AS53" s="12">
        <f t="shared" si="168"/>
        <v>0</v>
      </c>
      <c r="AT53" s="33" t="s">
        <v>52</v>
      </c>
      <c r="AU53" s="49">
        <f t="shared" si="169"/>
        <v>4</v>
      </c>
      <c r="AV53" s="12" t="s">
        <v>53</v>
      </c>
      <c r="AW53" s="33">
        <f t="shared" si="170"/>
        <v>0</v>
      </c>
      <c r="AX53" s="49" t="s">
        <v>54</v>
      </c>
      <c r="AY53" s="12">
        <f t="shared" si="171"/>
        <v>6</v>
      </c>
      <c r="AZ53" s="33" t="s">
        <v>52</v>
      </c>
      <c r="BA53" s="49">
        <f t="shared" si="172"/>
        <v>18</v>
      </c>
      <c r="BB53" s="12" t="s">
        <v>53</v>
      </c>
      <c r="BC53" s="33">
        <f t="shared" si="173"/>
        <v>6</v>
      </c>
      <c r="BD53" s="49" t="s">
        <v>54</v>
      </c>
      <c r="BE53" s="12">
        <f t="shared" si="174"/>
        <v>0</v>
      </c>
      <c r="BF53" s="33" t="s">
        <v>52</v>
      </c>
      <c r="BG53" s="53">
        <f t="shared" si="175"/>
        <v>0</v>
      </c>
      <c r="BH53" s="12"/>
      <c r="BI53" s="43">
        <f>IFERROR(IF($B$17="W",BI22,BI23),"0")</f>
        <v>1</v>
      </c>
      <c r="BJ53" s="12" t="str">
        <f t="shared" ref="BJ53:CI53" si="193">IFERROR(IF($B$17="W",BJ22,BJ23),"0")</f>
        <v>-</v>
      </c>
      <c r="BK53" s="49">
        <f t="shared" si="193"/>
        <v>5</v>
      </c>
      <c r="BL53" s="12" t="str">
        <f t="shared" si="193"/>
        <v>(</v>
      </c>
      <c r="BM53" s="33">
        <f t="shared" si="193"/>
        <v>0</v>
      </c>
      <c r="BN53" s="49" t="str">
        <f t="shared" si="193"/>
        <v>)</v>
      </c>
      <c r="BO53" s="12">
        <f t="shared" si="193"/>
        <v>1</v>
      </c>
      <c r="BP53" s="12" t="str">
        <f t="shared" si="193"/>
        <v>-</v>
      </c>
      <c r="BQ53" s="49">
        <f t="shared" si="193"/>
        <v>4</v>
      </c>
      <c r="BR53" s="12" t="str">
        <f t="shared" si="193"/>
        <v>(</v>
      </c>
      <c r="BS53" s="33">
        <f t="shared" si="193"/>
        <v>0</v>
      </c>
      <c r="BT53" s="49" t="str">
        <f t="shared" si="193"/>
        <v>)</v>
      </c>
      <c r="BU53" s="12">
        <f t="shared" si="193"/>
        <v>0</v>
      </c>
      <c r="BV53" s="12" t="str">
        <f t="shared" si="193"/>
        <v>-</v>
      </c>
      <c r="BW53" s="49">
        <f t="shared" si="193"/>
        <v>0</v>
      </c>
      <c r="BX53" s="12" t="str">
        <f t="shared" si="193"/>
        <v>(</v>
      </c>
      <c r="BY53" s="12">
        <f t="shared" si="193"/>
        <v>0</v>
      </c>
      <c r="BZ53" s="49" t="str">
        <f t="shared" si="193"/>
        <v>)</v>
      </c>
      <c r="CA53" s="12">
        <f t="shared" si="193"/>
        <v>0</v>
      </c>
      <c r="CB53" s="12" t="str">
        <f t="shared" si="193"/>
        <v>-</v>
      </c>
      <c r="CC53" s="49">
        <f t="shared" si="193"/>
        <v>1</v>
      </c>
      <c r="CD53" s="12" t="str">
        <f t="shared" si="193"/>
        <v>(</v>
      </c>
      <c r="CE53" s="33">
        <f t="shared" si="193"/>
        <v>0</v>
      </c>
      <c r="CF53" s="49" t="str">
        <f t="shared" si="193"/>
        <v>)</v>
      </c>
      <c r="CG53" s="12">
        <f t="shared" si="193"/>
        <v>0</v>
      </c>
      <c r="CH53" s="12" t="str">
        <f t="shared" si="193"/>
        <v>-</v>
      </c>
      <c r="CI53" s="53">
        <f t="shared" si="193"/>
        <v>0</v>
      </c>
      <c r="CJ53" s="33">
        <f>IFERROR(IF($B$17="W",CJ22,CJ23),"0")</f>
        <v>5</v>
      </c>
      <c r="CK53" s="33">
        <f t="shared" ref="CK53:CV53" si="194">IFERROR(IF($B$17="W",CK22,CK23),"0")</f>
        <v>8</v>
      </c>
      <c r="CL53" s="33">
        <f t="shared" si="194"/>
        <v>0</v>
      </c>
      <c r="CM53" s="33">
        <f t="shared" si="194"/>
        <v>0</v>
      </c>
      <c r="CN53" s="33">
        <f t="shared" si="194"/>
        <v>13</v>
      </c>
      <c r="CO53" s="33">
        <f t="shared" si="194"/>
        <v>9</v>
      </c>
      <c r="CP53" s="33">
        <f t="shared" si="194"/>
        <v>15</v>
      </c>
      <c r="CQ53" s="33">
        <f t="shared" si="194"/>
        <v>3</v>
      </c>
      <c r="CR53" s="33">
        <f t="shared" si="194"/>
        <v>8</v>
      </c>
      <c r="CS53" s="33">
        <f t="shared" si="194"/>
        <v>6</v>
      </c>
      <c r="CT53" s="33">
        <f t="shared" si="194"/>
        <v>2</v>
      </c>
      <c r="CU53" s="33">
        <f t="shared" si="194"/>
        <v>1</v>
      </c>
      <c r="CV53" s="33">
        <f t="shared" si="194"/>
        <v>40.4</v>
      </c>
      <c r="CW53" s="33"/>
      <c r="CX53" s="4"/>
      <c r="CY53" s="4"/>
      <c r="CZ53" s="4"/>
      <c r="DA53" s="4"/>
      <c r="DB53" s="8"/>
      <c r="DC53" s="8"/>
      <c r="DH53" s="8"/>
      <c r="DS53" s="10"/>
      <c r="DT53" s="10"/>
      <c r="EF53" s="38" t="s">
        <v>49</v>
      </c>
      <c r="EG53" s="6">
        <f t="shared" si="146"/>
        <v>33.915254817916114</v>
      </c>
      <c r="EW53" s="38" t="s">
        <v>49</v>
      </c>
      <c r="EX53" s="6">
        <f t="shared" si="147"/>
        <v>6.4</v>
      </c>
      <c r="EY53" s="6">
        <f t="shared" si="177"/>
        <v>8</v>
      </c>
      <c r="EZ53" s="6">
        <f t="shared" si="178"/>
        <v>17.071999999999999</v>
      </c>
    </row>
    <row r="54" spans="3:156" ht="17" thickBot="1" x14ac:dyDescent="0.25">
      <c r="C54" s="38" t="s">
        <v>230</v>
      </c>
      <c r="D54" s="28">
        <f t="shared" si="144"/>
        <v>72.169999999999987</v>
      </c>
      <c r="E54" s="87">
        <f t="shared" si="148"/>
        <v>14</v>
      </c>
      <c r="F54" s="55" t="s">
        <v>52</v>
      </c>
      <c r="G54" s="54">
        <f t="shared" si="149"/>
        <v>35</v>
      </c>
      <c r="H54" s="45" t="s">
        <v>53</v>
      </c>
      <c r="I54" s="55">
        <f t="shared" si="150"/>
        <v>9</v>
      </c>
      <c r="J54" s="54" t="s">
        <v>54</v>
      </c>
      <c r="K54" s="45">
        <f t="shared" si="151"/>
        <v>8</v>
      </c>
      <c r="L54" s="55" t="s">
        <v>52</v>
      </c>
      <c r="M54" s="54">
        <f t="shared" si="152"/>
        <v>12</v>
      </c>
      <c r="N54" s="45" t="s">
        <v>53</v>
      </c>
      <c r="O54" s="55">
        <f t="shared" si="153"/>
        <v>3</v>
      </c>
      <c r="P54" s="54" t="s">
        <v>54</v>
      </c>
      <c r="Q54" s="45">
        <f t="shared" si="154"/>
        <v>0</v>
      </c>
      <c r="R54" s="55" t="s">
        <v>52</v>
      </c>
      <c r="S54" s="54">
        <f t="shared" si="155"/>
        <v>4</v>
      </c>
      <c r="T54" s="45" t="s">
        <v>53</v>
      </c>
      <c r="U54" s="55">
        <f t="shared" si="156"/>
        <v>0</v>
      </c>
      <c r="V54" s="54" t="s">
        <v>54</v>
      </c>
      <c r="W54" s="45">
        <f t="shared" si="157"/>
        <v>6</v>
      </c>
      <c r="X54" s="55" t="s">
        <v>52</v>
      </c>
      <c r="Y54" s="54">
        <f t="shared" si="158"/>
        <v>19</v>
      </c>
      <c r="Z54" s="45" t="s">
        <v>53</v>
      </c>
      <c r="AA54" s="55">
        <f t="shared" si="159"/>
        <v>6</v>
      </c>
      <c r="AB54" s="54" t="s">
        <v>54</v>
      </c>
      <c r="AC54" s="45">
        <f t="shared" si="160"/>
        <v>6.4</v>
      </c>
      <c r="AD54" s="55" t="s">
        <v>52</v>
      </c>
      <c r="AE54" s="56">
        <f t="shared" si="161"/>
        <v>8</v>
      </c>
      <c r="AF54" s="1"/>
      <c r="AG54" s="44">
        <f t="shared" si="162"/>
        <v>13</v>
      </c>
      <c r="AH54" s="55" t="s">
        <v>52</v>
      </c>
      <c r="AI54" s="54">
        <f t="shared" si="163"/>
        <v>30</v>
      </c>
      <c r="AJ54" s="45" t="s">
        <v>53</v>
      </c>
      <c r="AK54" s="55">
        <f t="shared" si="164"/>
        <v>9</v>
      </c>
      <c r="AL54" s="54" t="s">
        <v>54</v>
      </c>
      <c r="AM54" s="45">
        <f t="shared" si="165"/>
        <v>7</v>
      </c>
      <c r="AN54" s="55" t="s">
        <v>52</v>
      </c>
      <c r="AO54" s="54">
        <f t="shared" si="166"/>
        <v>8</v>
      </c>
      <c r="AP54" s="45" t="s">
        <v>53</v>
      </c>
      <c r="AQ54" s="55">
        <f t="shared" si="167"/>
        <v>3</v>
      </c>
      <c r="AR54" s="54" t="s">
        <v>54</v>
      </c>
      <c r="AS54" s="45">
        <f t="shared" si="168"/>
        <v>0</v>
      </c>
      <c r="AT54" s="55" t="s">
        <v>52</v>
      </c>
      <c r="AU54" s="54">
        <f t="shared" si="169"/>
        <v>4</v>
      </c>
      <c r="AV54" s="45" t="s">
        <v>53</v>
      </c>
      <c r="AW54" s="55">
        <f t="shared" si="170"/>
        <v>0</v>
      </c>
      <c r="AX54" s="54" t="s">
        <v>54</v>
      </c>
      <c r="AY54" s="45">
        <f t="shared" si="171"/>
        <v>6</v>
      </c>
      <c r="AZ54" s="55" t="s">
        <v>52</v>
      </c>
      <c r="BA54" s="54">
        <f t="shared" si="172"/>
        <v>18</v>
      </c>
      <c r="BB54" s="45" t="s">
        <v>53</v>
      </c>
      <c r="BC54" s="55">
        <f t="shared" si="173"/>
        <v>6</v>
      </c>
      <c r="BD54" s="54" t="s">
        <v>54</v>
      </c>
      <c r="BE54" s="45">
        <f t="shared" si="174"/>
        <v>0</v>
      </c>
      <c r="BF54" s="55" t="s">
        <v>52</v>
      </c>
      <c r="BG54" s="56">
        <f t="shared" si="175"/>
        <v>0</v>
      </c>
      <c r="BH54" s="12"/>
      <c r="BI54" s="44">
        <f>IFERROR(IF($B$18="W",BI22,BI23),"0")</f>
        <v>1</v>
      </c>
      <c r="BJ54" s="45" t="str">
        <f t="shared" ref="BJ54:CV54" si="195">IFERROR(IF($B$18="W",BJ22,BJ23),"0")</f>
        <v>-</v>
      </c>
      <c r="BK54" s="54">
        <f t="shared" si="195"/>
        <v>5</v>
      </c>
      <c r="BL54" s="45" t="str">
        <f t="shared" si="195"/>
        <v>(</v>
      </c>
      <c r="BM54" s="55">
        <f t="shared" si="195"/>
        <v>0</v>
      </c>
      <c r="BN54" s="54" t="str">
        <f t="shared" si="195"/>
        <v>)</v>
      </c>
      <c r="BO54" s="45">
        <f t="shared" si="195"/>
        <v>1</v>
      </c>
      <c r="BP54" s="45" t="str">
        <f t="shared" si="195"/>
        <v>-</v>
      </c>
      <c r="BQ54" s="54">
        <f t="shared" si="195"/>
        <v>4</v>
      </c>
      <c r="BR54" s="45" t="str">
        <f t="shared" si="195"/>
        <v>(</v>
      </c>
      <c r="BS54" s="55">
        <f t="shared" si="195"/>
        <v>0</v>
      </c>
      <c r="BT54" s="54" t="str">
        <f t="shared" si="195"/>
        <v>)</v>
      </c>
      <c r="BU54" s="45">
        <f t="shared" si="195"/>
        <v>0</v>
      </c>
      <c r="BV54" s="45" t="str">
        <f t="shared" si="195"/>
        <v>-</v>
      </c>
      <c r="BW54" s="54">
        <f t="shared" si="195"/>
        <v>0</v>
      </c>
      <c r="BX54" s="45" t="str">
        <f t="shared" si="195"/>
        <v>(</v>
      </c>
      <c r="BY54" s="45">
        <f t="shared" si="195"/>
        <v>0</v>
      </c>
      <c r="BZ54" s="54" t="str">
        <f t="shared" si="195"/>
        <v>)</v>
      </c>
      <c r="CA54" s="45">
        <f t="shared" si="195"/>
        <v>0</v>
      </c>
      <c r="CB54" s="45" t="str">
        <f t="shared" si="195"/>
        <v>-</v>
      </c>
      <c r="CC54" s="54">
        <f t="shared" si="195"/>
        <v>1</v>
      </c>
      <c r="CD54" s="45" t="str">
        <f t="shared" si="195"/>
        <v>(</v>
      </c>
      <c r="CE54" s="55">
        <f t="shared" si="195"/>
        <v>0</v>
      </c>
      <c r="CF54" s="54" t="str">
        <f t="shared" si="195"/>
        <v>)</v>
      </c>
      <c r="CG54" s="45">
        <f t="shared" si="195"/>
        <v>0</v>
      </c>
      <c r="CH54" s="45" t="str">
        <f t="shared" si="195"/>
        <v>-</v>
      </c>
      <c r="CI54" s="56">
        <f t="shared" si="195"/>
        <v>0</v>
      </c>
      <c r="CJ54" s="33">
        <f t="shared" si="195"/>
        <v>5</v>
      </c>
      <c r="CK54" s="33">
        <f t="shared" si="195"/>
        <v>8</v>
      </c>
      <c r="CL54" s="33">
        <f t="shared" si="195"/>
        <v>0</v>
      </c>
      <c r="CM54" s="33">
        <f>IFERROR(IF($B$18="W",CM22,CM23),"0")</f>
        <v>0</v>
      </c>
      <c r="CN54" s="33">
        <f t="shared" si="195"/>
        <v>13</v>
      </c>
      <c r="CO54" s="33">
        <f t="shared" si="195"/>
        <v>9</v>
      </c>
      <c r="CP54" s="33">
        <f t="shared" si="195"/>
        <v>15</v>
      </c>
      <c r="CQ54" s="33">
        <f t="shared" si="195"/>
        <v>3</v>
      </c>
      <c r="CR54" s="33">
        <f t="shared" si="195"/>
        <v>8</v>
      </c>
      <c r="CS54" s="33">
        <f t="shared" si="195"/>
        <v>6</v>
      </c>
      <c r="CT54" s="33">
        <f t="shared" si="195"/>
        <v>2</v>
      </c>
      <c r="CU54" s="33">
        <f t="shared" si="195"/>
        <v>1</v>
      </c>
      <c r="CV54" s="33">
        <f t="shared" si="195"/>
        <v>40.4</v>
      </c>
      <c r="CW54" s="33"/>
      <c r="CX54" s="1"/>
      <c r="CY54" s="1"/>
      <c r="CZ54" s="1"/>
      <c r="EF54" s="38" t="s">
        <v>230</v>
      </c>
      <c r="EG54" s="6">
        <f t="shared" si="146"/>
        <v>33.915254817916114</v>
      </c>
      <c r="EW54" s="38" t="s">
        <v>230</v>
      </c>
      <c r="EX54" s="6">
        <f t="shared" si="147"/>
        <v>6.4</v>
      </c>
      <c r="EY54" s="6">
        <f t="shared" si="177"/>
        <v>8</v>
      </c>
      <c r="EZ54" s="6">
        <f t="shared" si="178"/>
        <v>17.071999999999999</v>
      </c>
    </row>
    <row r="55" spans="3:156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I55" s="2"/>
    </row>
    <row r="56" spans="3:156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I56" s="3"/>
    </row>
    <row r="57" spans="3:156" x14ac:dyDescent="0.2">
      <c r="E57" s="48"/>
      <c r="G57" s="51"/>
      <c r="H57" s="48"/>
      <c r="I57" s="531"/>
      <c r="J57" s="51"/>
      <c r="K57" s="48"/>
      <c r="M57" s="51"/>
      <c r="N57" s="48"/>
      <c r="O57" s="531"/>
      <c r="P57" s="51"/>
      <c r="Q57" s="48"/>
      <c r="S57" s="51"/>
      <c r="T57" s="48"/>
      <c r="U57" s="531"/>
      <c r="V57" s="51"/>
      <c r="W57" s="48"/>
      <c r="Y57" s="51"/>
      <c r="Z57" s="48"/>
      <c r="AA57" s="531"/>
      <c r="AB57" s="51"/>
      <c r="AC57" s="48"/>
      <c r="AE57" s="51"/>
      <c r="AG57" s="48"/>
      <c r="AI57" s="51"/>
      <c r="AJ57" s="48"/>
      <c r="AK57" s="531"/>
      <c r="AL57" s="51"/>
      <c r="AM57" s="48"/>
      <c r="AO57" s="51"/>
      <c r="AP57" s="48"/>
      <c r="AQ57" s="531"/>
      <c r="AR57" s="51"/>
      <c r="AS57" s="48"/>
      <c r="AU57" s="51"/>
      <c r="AV57" s="48"/>
      <c r="AW57" s="531"/>
      <c r="AX57" s="51"/>
      <c r="AY57" s="48"/>
      <c r="BA57" s="51"/>
      <c r="BB57" s="48"/>
      <c r="BC57" s="531"/>
      <c r="BD57" s="51"/>
      <c r="BE57" s="48"/>
      <c r="BG57" s="51"/>
      <c r="BH57" s="51"/>
      <c r="BI57" s="48"/>
      <c r="BK57" s="51"/>
      <c r="BL57" s="48"/>
      <c r="BM57" s="531"/>
      <c r="BN57" s="51"/>
      <c r="BO57" s="48"/>
      <c r="BQ57" s="51"/>
      <c r="BR57" s="48"/>
      <c r="BS57" s="531"/>
      <c r="BT57" s="51"/>
      <c r="BU57" s="48"/>
      <c r="BW57" s="51"/>
      <c r="BX57" s="48"/>
      <c r="BY57" s="531"/>
      <c r="BZ57" s="51"/>
      <c r="CA57" s="48"/>
      <c r="CC57" s="51"/>
      <c r="CD57" s="48"/>
      <c r="CE57" s="531"/>
      <c r="CF57" s="51"/>
      <c r="CG57" s="48"/>
      <c r="CI57" s="51"/>
      <c r="CJ57" s="1"/>
      <c r="CK57" s="1"/>
      <c r="CL57" s="1"/>
      <c r="CM57" s="1"/>
      <c r="DD57" s="3"/>
      <c r="DE57" s="3"/>
      <c r="DI57" s="3"/>
    </row>
    <row r="58" spans="3:156" x14ac:dyDescent="0.2">
      <c r="E58" s="48"/>
      <c r="G58" s="51"/>
      <c r="H58" s="48"/>
      <c r="I58" s="531"/>
      <c r="J58" s="51"/>
      <c r="K58" s="48"/>
      <c r="M58" s="51"/>
      <c r="N58" s="48"/>
      <c r="O58" s="531"/>
      <c r="P58" s="51"/>
      <c r="Q58" s="48"/>
      <c r="S58" s="51"/>
      <c r="T58" s="48"/>
      <c r="U58" s="531"/>
      <c r="V58" s="51"/>
      <c r="W58" s="48"/>
      <c r="Y58" s="51"/>
      <c r="Z58" s="48"/>
      <c r="AA58" s="531"/>
      <c r="AB58" s="51"/>
      <c r="AC58" s="48"/>
      <c r="AE58" s="51"/>
      <c r="AG58" s="48"/>
      <c r="AI58" s="51"/>
      <c r="AJ58" s="48"/>
      <c r="AK58" s="531"/>
      <c r="AL58" s="51"/>
      <c r="AM58" s="48"/>
      <c r="AO58" s="51"/>
      <c r="AP58" s="48"/>
      <c r="AQ58" s="531"/>
      <c r="AR58" s="51"/>
      <c r="AS58" s="48"/>
      <c r="AU58" s="51"/>
      <c r="AV58" s="48"/>
      <c r="AW58" s="531"/>
      <c r="AX58" s="51"/>
      <c r="AY58" s="48"/>
      <c r="BA58" s="51"/>
      <c r="BB58" s="48"/>
      <c r="BC58" s="531"/>
      <c r="BD58" s="51"/>
      <c r="BE58" s="48"/>
      <c r="BG58" s="51"/>
      <c r="BH58" s="51"/>
      <c r="BI58" s="48"/>
      <c r="BK58" s="51"/>
      <c r="BL58" s="48"/>
      <c r="BM58" s="531"/>
      <c r="BN58" s="51"/>
      <c r="BO58" s="48"/>
      <c r="BQ58" s="51"/>
      <c r="BR58" s="48"/>
      <c r="BS58" s="531"/>
      <c r="BT58" s="51"/>
      <c r="BU58" s="48"/>
      <c r="BW58" s="51"/>
      <c r="BX58" s="48"/>
      <c r="BY58" s="531"/>
      <c r="BZ58" s="51"/>
      <c r="CA58" s="48"/>
      <c r="CC58" s="51"/>
      <c r="CD58" s="48"/>
      <c r="CE58" s="531"/>
      <c r="CF58" s="51"/>
      <c r="CG58" s="48"/>
      <c r="CI58" s="51"/>
      <c r="DD58" s="2"/>
      <c r="DE58" s="2"/>
      <c r="DI58" s="2"/>
    </row>
    <row r="59" spans="3:156" ht="19" x14ac:dyDescent="0.25">
      <c r="C59" s="24"/>
      <c r="D59" s="24"/>
      <c r="E59" s="61"/>
      <c r="F59" s="24"/>
      <c r="G59" s="62"/>
      <c r="H59" s="61"/>
      <c r="I59" s="337"/>
      <c r="J59" s="62"/>
      <c r="K59" s="61"/>
      <c r="L59" s="24"/>
      <c r="M59" s="62"/>
      <c r="N59" s="61"/>
      <c r="O59" s="337"/>
      <c r="P59" s="62"/>
      <c r="Q59" s="61"/>
      <c r="R59" s="24"/>
      <c r="S59" s="62"/>
      <c r="T59" s="61"/>
      <c r="U59" s="337"/>
      <c r="V59" s="62"/>
      <c r="W59" s="61"/>
      <c r="X59" s="24"/>
      <c r="Y59" s="62"/>
      <c r="Z59" s="61"/>
      <c r="AA59" s="337"/>
      <c r="AB59" s="62"/>
      <c r="AC59" s="61"/>
      <c r="AD59" s="24"/>
      <c r="AE59" s="62"/>
      <c r="AF59" s="24"/>
      <c r="AG59" s="61"/>
      <c r="AH59" s="24"/>
      <c r="AI59" s="62"/>
      <c r="AJ59" s="61"/>
      <c r="AK59" s="337"/>
      <c r="AL59" s="62"/>
      <c r="AM59" s="61"/>
      <c r="AN59" s="24"/>
      <c r="AO59" s="62"/>
      <c r="AP59" s="61"/>
      <c r="AQ59" s="337"/>
      <c r="AR59" s="62"/>
      <c r="AS59" s="61"/>
      <c r="AT59" s="24"/>
      <c r="AU59" s="62"/>
      <c r="AV59" s="61"/>
      <c r="AW59" s="337"/>
      <c r="AX59" s="62"/>
      <c r="AY59" s="61"/>
      <c r="AZ59" s="24"/>
      <c r="BA59" s="62"/>
      <c r="BB59" s="61"/>
      <c r="BC59" s="337"/>
      <c r="BD59" s="62"/>
      <c r="BE59" s="61"/>
      <c r="BF59" s="24"/>
      <c r="BG59" s="62"/>
      <c r="BH59" s="62"/>
      <c r="BI59" s="61"/>
      <c r="BJ59" s="24"/>
      <c r="BK59" s="62"/>
      <c r="BL59" s="61"/>
      <c r="BM59" s="337"/>
      <c r="BN59" s="62"/>
      <c r="BO59" s="61"/>
      <c r="BP59" s="24"/>
      <c r="BQ59" s="62"/>
      <c r="BR59" s="61"/>
      <c r="BS59" s="337"/>
      <c r="BT59" s="62"/>
      <c r="BU59" s="61"/>
      <c r="BV59" s="24"/>
      <c r="BW59" s="62"/>
      <c r="BX59" s="61"/>
      <c r="BY59" s="337"/>
      <c r="BZ59" s="62"/>
      <c r="CA59" s="61"/>
      <c r="CB59" s="24"/>
      <c r="CC59" s="62"/>
      <c r="CD59" s="61"/>
      <c r="CE59" s="337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24"/>
      <c r="DG59" s="24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</row>
    <row r="60" spans="3:156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337"/>
      <c r="DE60" s="337"/>
      <c r="DF60" s="337"/>
      <c r="DG60" s="337"/>
      <c r="DH60" s="66"/>
      <c r="DI60" s="337"/>
      <c r="DJ60" s="337"/>
      <c r="DK60" s="337"/>
      <c r="DL60" s="337"/>
      <c r="DM60" s="337"/>
      <c r="DN60" s="337"/>
      <c r="DO60" s="337"/>
      <c r="DP60" s="337"/>
      <c r="DQ60" s="337"/>
      <c r="DR60" s="337"/>
      <c r="DS60" s="337"/>
      <c r="DT60" s="24"/>
      <c r="DU60" s="24"/>
      <c r="DV60" s="24"/>
      <c r="DW60" s="24"/>
      <c r="DX60" s="24"/>
      <c r="DY60" s="24"/>
      <c r="DZ60" s="24"/>
    </row>
    <row r="61" spans="3:156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337"/>
      <c r="DE61" s="337"/>
      <c r="DF61" s="337"/>
      <c r="DG61" s="337"/>
      <c r="DH61" s="66"/>
      <c r="DI61" s="337"/>
      <c r="DJ61" s="337"/>
      <c r="DK61" s="337"/>
      <c r="DL61" s="337"/>
      <c r="DM61" s="337"/>
      <c r="DN61" s="337"/>
      <c r="DO61" s="337"/>
      <c r="DP61" s="337"/>
      <c r="DQ61" s="337"/>
      <c r="DR61" s="337"/>
      <c r="DS61" s="337"/>
      <c r="DT61" s="24"/>
      <c r="DU61" s="24"/>
      <c r="DV61" s="24"/>
      <c r="DW61" s="24"/>
      <c r="DX61" s="24"/>
      <c r="DY61" s="24"/>
      <c r="DZ61" s="24"/>
    </row>
    <row r="62" spans="3:156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531"/>
      <c r="DE62" s="531"/>
      <c r="DF62" s="531"/>
      <c r="DG62" s="531"/>
      <c r="DH62" s="23"/>
      <c r="DI62" s="531"/>
      <c r="DJ62" s="531"/>
      <c r="DK62" s="531"/>
      <c r="DL62" s="531"/>
      <c r="DM62" s="531"/>
      <c r="DN62" s="531"/>
      <c r="DO62" s="531"/>
      <c r="DP62" s="531"/>
      <c r="DQ62" s="531"/>
      <c r="DR62" s="531"/>
      <c r="DS62" s="531"/>
    </row>
    <row r="63" spans="3:156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531"/>
      <c r="DE63" s="531"/>
      <c r="DF63" s="531"/>
      <c r="DG63" s="531"/>
      <c r="DH63" s="23"/>
      <c r="DI63" s="531"/>
      <c r="DJ63" s="531"/>
      <c r="DK63" s="531"/>
      <c r="DL63" s="531"/>
      <c r="DM63" s="531"/>
      <c r="DN63" s="531"/>
      <c r="DO63" s="531"/>
      <c r="DP63" s="531"/>
      <c r="DQ63" s="531"/>
      <c r="DR63" s="531"/>
      <c r="DS63" s="531"/>
    </row>
    <row r="64" spans="3:156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531"/>
      <c r="DE64" s="531"/>
      <c r="DF64" s="531"/>
      <c r="DG64" s="531"/>
      <c r="DH64" s="23"/>
      <c r="DI64" s="531"/>
      <c r="DJ64" s="531"/>
      <c r="DK64" s="531"/>
      <c r="DL64" s="531"/>
      <c r="DM64" s="531"/>
      <c r="DN64" s="531"/>
      <c r="DO64" s="531"/>
      <c r="DP64" s="531"/>
      <c r="DQ64" s="531"/>
      <c r="DR64" s="531"/>
      <c r="DS64" s="531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531"/>
      <c r="DE65" s="531"/>
      <c r="DF65" s="531"/>
      <c r="DG65" s="531"/>
      <c r="DH65" s="23"/>
      <c r="DI65" s="531"/>
      <c r="DJ65" s="531"/>
      <c r="DK65" s="531"/>
      <c r="DL65" s="531"/>
      <c r="DM65" s="531"/>
      <c r="DN65" s="531"/>
      <c r="DO65" s="531"/>
      <c r="DP65" s="531"/>
      <c r="DQ65" s="531"/>
      <c r="DR65" s="531"/>
      <c r="DS65" s="531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531"/>
      <c r="DE66" s="531"/>
      <c r="DF66" s="531"/>
      <c r="DG66" s="531"/>
      <c r="DH66" s="23"/>
      <c r="DI66" s="531"/>
      <c r="DJ66" s="531"/>
      <c r="DK66" s="531"/>
      <c r="DL66" s="531"/>
      <c r="DM66" s="531"/>
      <c r="DN66" s="531"/>
      <c r="DO66" s="531"/>
      <c r="DP66" s="531"/>
      <c r="DQ66" s="531"/>
      <c r="DR66" s="531"/>
      <c r="DS66" s="531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531"/>
      <c r="DE67" s="531"/>
      <c r="DF67" s="531"/>
      <c r="DG67" s="531"/>
      <c r="DH67" s="23"/>
      <c r="DI67" s="531"/>
      <c r="DJ67" s="531"/>
      <c r="DK67" s="531"/>
      <c r="DL67" s="531"/>
      <c r="DM67" s="531"/>
      <c r="DN67" s="531"/>
      <c r="DO67" s="531"/>
      <c r="DP67" s="531"/>
      <c r="DQ67" s="531"/>
      <c r="DR67" s="531"/>
      <c r="DS67" s="531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531"/>
      <c r="DE68" s="531"/>
      <c r="DF68" s="531"/>
      <c r="DG68" s="531"/>
      <c r="DH68" s="23"/>
      <c r="DI68" s="531"/>
      <c r="DJ68" s="531"/>
      <c r="DK68" s="531"/>
      <c r="DL68" s="531"/>
      <c r="DM68" s="531"/>
      <c r="DN68" s="531"/>
      <c r="DO68" s="531"/>
      <c r="DP68" s="531"/>
      <c r="DQ68" s="531"/>
      <c r="DR68" s="531"/>
      <c r="DS68" s="531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531"/>
      <c r="DE69" s="531"/>
      <c r="DF69" s="531"/>
      <c r="DG69" s="531"/>
      <c r="DH69" s="23"/>
      <c r="DI69" s="531"/>
      <c r="DJ69" s="531"/>
      <c r="DK69" s="531"/>
      <c r="DL69" s="531"/>
      <c r="DM69" s="531"/>
      <c r="DN69" s="531"/>
      <c r="DO69" s="531"/>
      <c r="DP69" s="531"/>
      <c r="DQ69" s="531"/>
      <c r="DR69" s="531"/>
      <c r="DS69" s="531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531"/>
      <c r="DE70" s="531"/>
      <c r="DF70" s="531"/>
      <c r="DG70" s="531"/>
      <c r="DH70" s="23"/>
      <c r="DI70" s="531"/>
      <c r="DJ70" s="531"/>
      <c r="DK70" s="531"/>
      <c r="DL70" s="531"/>
      <c r="DM70" s="531"/>
      <c r="DN70" s="531"/>
      <c r="DO70" s="531"/>
      <c r="DP70" s="531"/>
      <c r="DQ70" s="531"/>
      <c r="DR70" s="531"/>
      <c r="DS70" s="531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531"/>
      <c r="DE71" s="531"/>
      <c r="DF71" s="531"/>
      <c r="DG71" s="531"/>
      <c r="DH71" s="23"/>
      <c r="DI71" s="531"/>
      <c r="DJ71" s="531"/>
      <c r="DK71" s="531"/>
      <c r="DL71" s="531"/>
      <c r="DM71" s="531"/>
      <c r="DN71" s="531"/>
      <c r="DO71" s="531"/>
      <c r="DP71" s="531"/>
      <c r="DQ71" s="531"/>
      <c r="DR71" s="531"/>
      <c r="DS71" s="531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531"/>
      <c r="DE72" s="531"/>
      <c r="DF72" s="531"/>
      <c r="DG72" s="531"/>
      <c r="DH72" s="23"/>
      <c r="DI72" s="531"/>
      <c r="DJ72" s="531"/>
      <c r="DK72" s="531"/>
      <c r="DL72" s="531"/>
      <c r="DM72" s="531"/>
      <c r="DN72" s="531"/>
      <c r="DO72" s="531"/>
      <c r="DP72" s="531"/>
      <c r="DQ72" s="531"/>
      <c r="DR72" s="531"/>
      <c r="DS72" s="531"/>
    </row>
    <row r="73" spans="3:123" x14ac:dyDescent="0.2">
      <c r="CJ73" s="531"/>
      <c r="CK73" s="531"/>
      <c r="CL73" s="531"/>
      <c r="CM73" s="531"/>
      <c r="CN73" s="531"/>
      <c r="CO73" s="531"/>
      <c r="CP73" s="531"/>
      <c r="CQ73" s="531"/>
      <c r="CR73" s="531"/>
      <c r="CS73" s="22"/>
      <c r="CT73" s="531"/>
      <c r="CU73" s="531"/>
      <c r="CV73" s="531"/>
      <c r="CW73" s="531"/>
      <c r="CX73" s="531"/>
      <c r="CY73" s="531"/>
      <c r="CZ73" s="531"/>
      <c r="DA73" s="531"/>
      <c r="DB73" s="531"/>
      <c r="DC73" s="531"/>
      <c r="DD73" s="531"/>
      <c r="DE73" s="531"/>
      <c r="DF73" s="531"/>
      <c r="DG73" s="531"/>
      <c r="DH73" s="531"/>
      <c r="DI73" s="531"/>
      <c r="DJ73" s="531"/>
      <c r="DK73" s="531"/>
      <c r="DL73" s="531"/>
      <c r="DM73" s="531"/>
      <c r="DN73" s="531"/>
      <c r="DO73" s="531"/>
      <c r="DP73" s="531"/>
      <c r="DQ73" s="531"/>
      <c r="DR73" s="531"/>
      <c r="DS73" s="531"/>
    </row>
  </sheetData>
  <dataConsolidate/>
  <mergeCells count="26">
    <mergeCell ref="C2:D2"/>
    <mergeCell ref="E2:AE2"/>
    <mergeCell ref="AG2:BG2"/>
    <mergeCell ref="BI2:CI2"/>
    <mergeCell ref="CJ2:CN2"/>
    <mergeCell ref="FS2:FU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FC2:FF2"/>
    <mergeCell ref="FG3:FI3"/>
    <mergeCell ref="FK3:FM3"/>
    <mergeCell ref="FO3:FQ3"/>
    <mergeCell ref="CY29:CZ29"/>
    <mergeCell ref="BE3:BG3"/>
    <mergeCell ref="BI3:BN3"/>
    <mergeCell ref="BO3:BT3"/>
    <mergeCell ref="BU3:BZ3"/>
    <mergeCell ref="CA3:CF3"/>
    <mergeCell ref="CG3:CI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C44B1-6D8A-5843-B1AC-B6EF7DC98BE8}">
  <dimension ref="A1"/>
  <sheetViews>
    <sheetView workbookViewId="0">
      <selection activeCell="G8" sqref="G8"/>
    </sheetView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85E2-A31E-894F-80F4-5BD8826226F6}">
  <sheetPr codeName="Sheet9"/>
  <dimension ref="A1:IX73"/>
  <sheetViews>
    <sheetView tabSelected="1" showRuler="0" zoomScale="115" zoomScaleNormal="110" workbookViewId="0">
      <pane xSplit="3" topLeftCell="FA1" activePane="topRight" state="frozen"/>
      <selection pane="topRight" activeCell="GK31" sqref="GK31"/>
    </sheetView>
  </sheetViews>
  <sheetFormatPr baseColWidth="10" defaultRowHeight="16" outlineLevelCol="1" x14ac:dyDescent="0.2"/>
  <cols>
    <col min="1" max="1" width="2.1640625" customWidth="1"/>
    <col min="2" max="2" width="6" customWidth="1"/>
    <col min="3" max="3" width="22.33203125" customWidth="1"/>
    <col min="4" max="4" width="9.83203125" customWidth="1"/>
    <col min="5" max="5" width="5.1640625" customWidth="1"/>
    <col min="6" max="6" width="1.33203125" customWidth="1"/>
    <col min="7" max="7" width="5.5" customWidth="1"/>
    <col min="8" max="8" width="1.6640625" customWidth="1"/>
    <col min="9" max="9" width="4" customWidth="1"/>
    <col min="10" max="10" width="2.33203125" customWidth="1"/>
    <col min="11" max="11" width="4.83203125" customWidth="1"/>
    <col min="12" max="12" width="1.33203125" customWidth="1"/>
    <col min="13" max="13" width="4.6640625" customWidth="1"/>
    <col min="14" max="14" width="1.6640625" customWidth="1"/>
    <col min="15" max="15" width="4" customWidth="1"/>
    <col min="16" max="16" width="3" customWidth="1"/>
    <col min="17" max="17" width="4.5" customWidth="1"/>
    <col min="18" max="18" width="1.33203125" customWidth="1"/>
    <col min="19" max="19" width="4.83203125" customWidth="1"/>
    <col min="20" max="20" width="1.6640625" customWidth="1"/>
    <col min="21" max="21" width="3.33203125" customWidth="1"/>
    <col min="22" max="22" width="3.83203125" customWidth="1"/>
    <col min="23" max="23" width="4.5" customWidth="1"/>
    <col min="24" max="24" width="1.33203125" customWidth="1"/>
    <col min="25" max="25" width="4" customWidth="1"/>
    <col min="26" max="26" width="1.6640625" customWidth="1"/>
    <col min="27" max="27" width="4.5" customWidth="1"/>
    <col min="28" max="28" width="3.83203125" customWidth="1"/>
    <col min="29" max="29" width="4" customWidth="1"/>
    <col min="30" max="30" width="1.33203125" customWidth="1"/>
    <col min="31" max="31" width="4" customWidth="1"/>
    <col min="32" max="32" width="2.6640625" customWidth="1" outlineLevel="1"/>
    <col min="33" max="33" width="4.83203125" customWidth="1" outlineLevel="1"/>
    <col min="34" max="34" width="1.33203125" customWidth="1" outlineLevel="1"/>
    <col min="35" max="35" width="5" customWidth="1" outlineLevel="1"/>
    <col min="36" max="36" width="1.6640625" customWidth="1" outlineLevel="1"/>
    <col min="37" max="37" width="5.33203125" customWidth="1" outlineLevel="1"/>
    <col min="38" max="38" width="3" customWidth="1" outlineLevel="1"/>
    <col min="39" max="39" width="4.6640625" customWidth="1" outlineLevel="1"/>
    <col min="40" max="40" width="1.33203125" customWidth="1" outlineLevel="1"/>
    <col min="41" max="41" width="4" customWidth="1" outlineLevel="1"/>
    <col min="42" max="42" width="1.6640625" customWidth="1" outlineLevel="1"/>
    <col min="43" max="43" width="4" customWidth="1" outlineLevel="1"/>
    <col min="44" max="45" width="3.33203125" customWidth="1" outlineLevel="1"/>
    <col min="46" max="46" width="1.33203125" customWidth="1" outlineLevel="1"/>
    <col min="47" max="47" width="4.83203125" customWidth="1" outlineLevel="1"/>
    <col min="48" max="48" width="1.6640625" customWidth="1" outlineLevel="1"/>
    <col min="49" max="49" width="3" customWidth="1" outlineLevel="1"/>
    <col min="50" max="50" width="3.83203125" customWidth="1" outlineLevel="1"/>
    <col min="51" max="51" width="4.5" customWidth="1" outlineLevel="1"/>
    <col min="52" max="52" width="1.33203125" customWidth="1" outlineLevel="1"/>
    <col min="53" max="53" width="4.83203125" customWidth="1" outlineLevel="1"/>
    <col min="54" max="54" width="1.6640625" customWidth="1" outlineLevel="1"/>
    <col min="55" max="55" width="4.83203125" customWidth="1" outlineLevel="1"/>
    <col min="56" max="56" width="3.83203125" customWidth="1" outlineLevel="1"/>
    <col min="57" max="57" width="3.33203125" customWidth="1" outlineLevel="1"/>
    <col min="58" max="58" width="1.33203125" customWidth="1" outlineLevel="1"/>
    <col min="59" max="59" width="3.6640625" customWidth="1" outlineLevel="1"/>
    <col min="60" max="60" width="2.5" customWidth="1" outlineLevel="1"/>
    <col min="61" max="61" width="5.5" customWidth="1" outlineLevel="1"/>
    <col min="62" max="62" width="1.33203125" customWidth="1" outlineLevel="1"/>
    <col min="63" max="63" width="4.6640625" customWidth="1" outlineLevel="1"/>
    <col min="64" max="64" width="1.6640625" customWidth="1" outlineLevel="1"/>
    <col min="65" max="65" width="4.6640625" customWidth="1" outlineLevel="1"/>
    <col min="66" max="66" width="2.33203125" customWidth="1" outlineLevel="1"/>
    <col min="67" max="67" width="3.33203125" customWidth="1" outlineLevel="1"/>
    <col min="68" max="68" width="1.33203125" customWidth="1" outlineLevel="1"/>
    <col min="69" max="69" width="3.83203125" customWidth="1" outlineLevel="1"/>
    <col min="70" max="70" width="1.6640625" customWidth="1" outlineLevel="1"/>
    <col min="71" max="71" width="3" customWidth="1" outlineLevel="1"/>
    <col min="72" max="72" width="2.83203125" customWidth="1" outlineLevel="1"/>
    <col min="73" max="73" width="3.33203125" customWidth="1" outlineLevel="1"/>
    <col min="74" max="74" width="1.33203125" customWidth="1" outlineLevel="1"/>
    <col min="75" max="75" width="3.5" customWidth="1" outlineLevel="1"/>
    <col min="76" max="76" width="1.6640625" customWidth="1" outlineLevel="1"/>
    <col min="77" max="77" width="2" customWidth="1" outlineLevel="1"/>
    <col min="78" max="78" width="3.83203125" customWidth="1" outlineLevel="1"/>
    <col min="79" max="79" width="3.33203125" customWidth="1" outlineLevel="1"/>
    <col min="80" max="80" width="1.33203125" customWidth="1" outlineLevel="1"/>
    <col min="81" max="81" width="4.1640625" customWidth="1" outlineLevel="1"/>
    <col min="82" max="82" width="1.6640625" customWidth="1" outlineLevel="1"/>
    <col min="83" max="83" width="3" customWidth="1" outlineLevel="1"/>
    <col min="84" max="84" width="3.83203125" customWidth="1" outlineLevel="1"/>
    <col min="85" max="85" width="3.33203125" customWidth="1" outlineLevel="1"/>
    <col min="86" max="86" width="1.33203125" customWidth="1" outlineLevel="1"/>
    <col min="87" max="87" width="3.6640625" customWidth="1" outlineLevel="1"/>
    <col min="88" max="92" width="4.6640625" customWidth="1"/>
    <col min="93" max="93" width="5.83203125" customWidth="1"/>
    <col min="94" max="94" width="6" customWidth="1"/>
    <col min="95" max="95" width="6.1640625" customWidth="1"/>
    <col min="96" max="96" width="7" customWidth="1"/>
    <col min="97" max="100" width="6.83203125" customWidth="1"/>
    <col min="101" max="101" width="3.5" customWidth="1"/>
    <col min="104" max="104" width="9.83203125" customWidth="1"/>
    <col min="105" max="105" width="10.5" customWidth="1"/>
    <col min="106" max="106" width="6.6640625" customWidth="1"/>
    <col min="107" max="107" width="6.83203125" customWidth="1"/>
    <col min="108" max="120" width="8.1640625" customWidth="1"/>
    <col min="121" max="121" width="7.5" customWidth="1"/>
    <col min="122" max="122" width="0.1640625" customWidth="1"/>
    <col min="123" max="123" width="0.1640625" hidden="1" customWidth="1"/>
    <col min="124" max="124" width="9.5" customWidth="1"/>
    <col min="125" max="125" width="15.5" customWidth="1"/>
    <col min="130" max="130" width="21.6640625" customWidth="1"/>
    <col min="131" max="131" width="20.6640625" customWidth="1"/>
    <col min="132" max="132" width="13.5" customWidth="1"/>
    <col min="134" max="134" width="11.6640625" bestFit="1" customWidth="1"/>
    <col min="135" max="135" width="11.83203125" customWidth="1"/>
    <col min="136" max="136" width="12.5" customWidth="1"/>
    <col min="137" max="137" width="13.6640625" customWidth="1"/>
    <col min="138" max="138" width="11.83203125" customWidth="1"/>
    <col min="139" max="139" width="15" customWidth="1"/>
    <col min="140" max="140" width="17" customWidth="1"/>
    <col min="141" max="141" width="16.5" customWidth="1"/>
    <col min="143" max="143" width="11.6640625" bestFit="1" customWidth="1"/>
    <col min="144" max="144" width="8.83203125" customWidth="1"/>
    <col min="145" max="145" width="11.6640625" bestFit="1" customWidth="1"/>
    <col min="149" max="149" width="11.6640625" bestFit="1" customWidth="1"/>
    <col min="150" max="150" width="18.83203125" customWidth="1"/>
    <col min="152" max="152" width="9.83203125" customWidth="1"/>
    <col min="153" max="153" width="12.33203125" customWidth="1"/>
    <col min="154" max="154" width="10.1640625" customWidth="1"/>
    <col min="155" max="155" width="9.5" customWidth="1"/>
    <col min="156" max="156" width="12.5" customWidth="1"/>
    <col min="159" max="159" width="3" customWidth="1"/>
    <col min="160" max="160" width="3.6640625" customWidth="1"/>
    <col min="161" max="161" width="20.1640625" customWidth="1"/>
    <col min="162" max="162" width="7.5" customWidth="1"/>
    <col min="163" max="163" width="4" customWidth="1"/>
    <col min="164" max="164" width="1.33203125" customWidth="1"/>
    <col min="165" max="165" width="5.6640625" customWidth="1"/>
    <col min="166" max="166" width="6" customWidth="1"/>
    <col min="167" max="167" width="5.83203125" customWidth="1"/>
    <col min="168" max="168" width="0.83203125" customWidth="1"/>
    <col min="169" max="169" width="4.1640625" customWidth="1"/>
    <col min="170" max="170" width="6" customWidth="1"/>
    <col min="171" max="171" width="4.83203125" customWidth="1"/>
    <col min="172" max="172" width="0.6640625" customWidth="1"/>
    <col min="173" max="173" width="4.1640625" customWidth="1"/>
    <col min="174" max="174" width="6" customWidth="1"/>
    <col min="175" max="176" width="4.1640625" customWidth="1"/>
    <col min="177" max="178" width="4.33203125" customWidth="1"/>
    <col min="179" max="179" width="4.6640625" customWidth="1"/>
    <col min="180" max="180" width="4.33203125" customWidth="1"/>
    <col min="181" max="182" width="4.5" customWidth="1"/>
    <col min="183" max="183" width="4.1640625" customWidth="1"/>
    <col min="184" max="184" width="3.83203125" customWidth="1"/>
    <col min="185" max="185" width="5.6640625" customWidth="1"/>
    <col min="186" max="186" width="8" customWidth="1"/>
    <col min="187" max="187" width="8.33203125" customWidth="1"/>
    <col min="188" max="188" width="8.1640625" style="482" customWidth="1"/>
    <col min="189" max="189" width="8.1640625" customWidth="1"/>
    <col min="190" max="190" width="7.33203125" customWidth="1"/>
    <col min="191" max="191" width="9.83203125" customWidth="1"/>
    <col min="192" max="192" width="9" customWidth="1"/>
    <col min="193" max="193" width="8.1640625" customWidth="1"/>
    <col min="194" max="194" width="10.83203125" style="365"/>
    <col min="195" max="195" width="11.6640625" style="365" customWidth="1"/>
    <col min="196" max="197" width="11.33203125" style="365" customWidth="1"/>
    <col min="198" max="198" width="11.33203125" customWidth="1"/>
    <col min="199" max="199" width="12" style="380" customWidth="1"/>
    <col min="200" max="200" width="11.6640625" customWidth="1"/>
    <col min="201" max="201" width="32.6640625" style="48" customWidth="1"/>
    <col min="202" max="202" width="9.83203125" style="398" customWidth="1"/>
    <col min="203" max="203" width="6.5" customWidth="1"/>
    <col min="204" max="204" width="10.1640625" customWidth="1"/>
    <col min="205" max="205" width="8.83203125" customWidth="1"/>
    <col min="206" max="206" width="13.1640625" customWidth="1"/>
    <col min="207" max="207" width="10.5" customWidth="1"/>
    <col min="208" max="208" width="6.6640625" customWidth="1"/>
    <col min="209" max="209" width="11.1640625" style="48" customWidth="1"/>
    <col min="210" max="210" width="11.1640625" customWidth="1"/>
    <col min="211" max="211" width="3.1640625" customWidth="1"/>
    <col min="212" max="212" width="10.33203125" customWidth="1"/>
    <col min="213" max="214" width="11.1640625" customWidth="1"/>
    <col min="215" max="215" width="27.5" customWidth="1"/>
    <col min="220" max="220" width="26" customWidth="1"/>
    <col min="225" max="225" width="13.83203125" customWidth="1"/>
    <col min="226" max="226" width="12.33203125" customWidth="1"/>
    <col min="227" max="227" width="21.5" customWidth="1"/>
    <col min="228" max="228" width="9" customWidth="1"/>
    <col min="229" max="229" width="9.83203125" style="51" customWidth="1"/>
    <col min="230" max="230" width="8.83203125" style="394" customWidth="1"/>
    <col min="233" max="233" width="14.6640625" customWidth="1"/>
    <col min="239" max="239" width="18" customWidth="1"/>
    <col min="246" max="246" width="6" customWidth="1"/>
    <col min="247" max="247" width="5" customWidth="1"/>
    <col min="248" max="248" width="12.6640625" customWidth="1"/>
    <col min="251" max="251" width="21.1640625" customWidth="1"/>
    <col min="252" max="252" width="8.83203125" customWidth="1"/>
    <col min="253" max="253" width="8" customWidth="1"/>
    <col min="257" max="257" width="11.6640625" customWidth="1"/>
  </cols>
  <sheetData>
    <row r="1" spans="1:258" ht="17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40"/>
      <c r="GG1" s="139"/>
      <c r="GH1" s="139"/>
      <c r="GI1" s="139"/>
      <c r="GT1" s="140"/>
      <c r="GU1" s="139"/>
      <c r="GW1" s="139"/>
      <c r="GX1" s="139"/>
      <c r="GY1" s="139"/>
      <c r="GZ1" s="139"/>
      <c r="HA1" s="190"/>
      <c r="HB1" s="139"/>
      <c r="HC1" s="139"/>
      <c r="HD1" s="139"/>
      <c r="HE1" s="139"/>
      <c r="HF1" s="139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</row>
    <row r="2" spans="1:258" ht="16" customHeight="1" thickBot="1" x14ac:dyDescent="0.25">
      <c r="A2" s="139"/>
      <c r="B2" s="139"/>
      <c r="C2" s="537" t="s">
        <v>99</v>
      </c>
      <c r="D2" s="538"/>
      <c r="E2" s="539" t="s">
        <v>50</v>
      </c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1"/>
      <c r="AF2" s="159"/>
      <c r="AG2" s="539" t="s">
        <v>51</v>
      </c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1"/>
      <c r="BH2" s="225"/>
      <c r="BI2" s="539" t="s">
        <v>69</v>
      </c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1"/>
      <c r="CJ2" s="542" t="s">
        <v>60</v>
      </c>
      <c r="CK2" s="543"/>
      <c r="CL2" s="543"/>
      <c r="CM2" s="543"/>
      <c r="CN2" s="543"/>
      <c r="CO2" s="139"/>
      <c r="CP2" s="139"/>
      <c r="CQ2" s="139"/>
      <c r="CR2" s="139"/>
      <c r="CS2" s="139"/>
      <c r="CT2" s="139"/>
      <c r="CU2" s="139"/>
      <c r="CV2" s="139"/>
      <c r="CW2" s="226"/>
      <c r="CX2" s="139"/>
      <c r="CY2" s="139"/>
      <c r="CZ2" s="139"/>
      <c r="DA2" s="139"/>
      <c r="DB2" s="490" t="s">
        <v>68</v>
      </c>
      <c r="DC2" s="226"/>
      <c r="DD2" s="222"/>
      <c r="DE2" s="222"/>
      <c r="DH2" s="222"/>
      <c r="DI2" s="222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V2" s="5"/>
      <c r="FC2" s="547" t="s">
        <v>261</v>
      </c>
      <c r="FD2" s="547"/>
      <c r="FE2" s="547"/>
      <c r="FF2" s="547"/>
      <c r="FG2" s="279"/>
      <c r="FH2" s="280"/>
      <c r="FI2" s="280"/>
      <c r="FJ2" s="280"/>
      <c r="FK2" s="280"/>
      <c r="FL2" s="280"/>
      <c r="FM2" s="280"/>
      <c r="FN2" s="280"/>
      <c r="FO2" s="280"/>
      <c r="FP2" s="280"/>
      <c r="FQ2" s="280"/>
      <c r="FR2" s="281"/>
      <c r="FS2" s="542" t="s">
        <v>60</v>
      </c>
      <c r="FT2" s="543"/>
      <c r="FU2" s="543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40"/>
      <c r="GG2" s="139"/>
      <c r="GH2" s="226"/>
      <c r="GP2" s="5"/>
      <c r="GQ2" s="140"/>
      <c r="GR2" s="139"/>
      <c r="GS2" s="190"/>
      <c r="GT2" s="140"/>
      <c r="GU2" s="139"/>
      <c r="GV2" s="139"/>
      <c r="GW2" s="139"/>
      <c r="GX2" s="307"/>
      <c r="GY2" s="139"/>
      <c r="GZ2" s="139"/>
      <c r="HA2" s="190"/>
      <c r="HB2" s="139"/>
      <c r="HC2" s="139"/>
      <c r="HD2" s="139"/>
      <c r="HE2" s="139"/>
      <c r="HF2" s="139"/>
      <c r="HH2" s="557" t="s">
        <v>152</v>
      </c>
      <c r="HI2" s="557"/>
      <c r="HJ2" s="557"/>
      <c r="HV2" s="337"/>
      <c r="HW2" s="24"/>
      <c r="HX2" s="24"/>
      <c r="HY2" s="24"/>
      <c r="HZ2" s="24"/>
      <c r="IA2" s="24"/>
      <c r="IF2" t="s">
        <v>157</v>
      </c>
      <c r="IH2" s="24"/>
      <c r="II2" s="24"/>
      <c r="IJ2" s="24"/>
      <c r="IK2" s="556" t="s">
        <v>173</v>
      </c>
      <c r="IL2" s="556"/>
      <c r="IM2" s="556"/>
      <c r="IN2" s="556"/>
      <c r="IO2" s="24"/>
      <c r="IP2" s="24"/>
      <c r="IQ2" s="24"/>
      <c r="IR2" s="24"/>
      <c r="IS2" s="24"/>
      <c r="IT2" s="24"/>
      <c r="IU2" s="24"/>
      <c r="IV2" s="24"/>
      <c r="IW2" s="24"/>
    </row>
    <row r="3" spans="1:258" ht="22" thickBot="1" x14ac:dyDescent="0.3">
      <c r="A3" s="139"/>
      <c r="B3" s="139"/>
      <c r="C3" s="112" t="s">
        <v>0</v>
      </c>
      <c r="D3" s="227" t="s">
        <v>38</v>
      </c>
      <c r="E3" s="544" t="s">
        <v>39</v>
      </c>
      <c r="F3" s="545"/>
      <c r="G3" s="545"/>
      <c r="H3" s="545"/>
      <c r="I3" s="545"/>
      <c r="J3" s="545"/>
      <c r="K3" s="545" t="s">
        <v>40</v>
      </c>
      <c r="L3" s="545"/>
      <c r="M3" s="545"/>
      <c r="N3" s="545"/>
      <c r="O3" s="545"/>
      <c r="P3" s="545"/>
      <c r="Q3" s="545" t="s">
        <v>55</v>
      </c>
      <c r="R3" s="545"/>
      <c r="S3" s="545"/>
      <c r="T3" s="545"/>
      <c r="U3" s="545"/>
      <c r="V3" s="545"/>
      <c r="W3" s="545" t="s">
        <v>56</v>
      </c>
      <c r="X3" s="545"/>
      <c r="Y3" s="545"/>
      <c r="Z3" s="545"/>
      <c r="AA3" s="545"/>
      <c r="AB3" s="545"/>
      <c r="AC3" s="545" t="s">
        <v>41</v>
      </c>
      <c r="AD3" s="545"/>
      <c r="AE3" s="546"/>
      <c r="AF3" s="227"/>
      <c r="AG3" s="544" t="s">
        <v>39</v>
      </c>
      <c r="AH3" s="545"/>
      <c r="AI3" s="545"/>
      <c r="AJ3" s="545"/>
      <c r="AK3" s="545"/>
      <c r="AL3" s="545"/>
      <c r="AM3" s="545" t="s">
        <v>40</v>
      </c>
      <c r="AN3" s="545"/>
      <c r="AO3" s="545"/>
      <c r="AP3" s="545"/>
      <c r="AQ3" s="545"/>
      <c r="AR3" s="545"/>
      <c r="AS3" s="545" t="s">
        <v>55</v>
      </c>
      <c r="AT3" s="545"/>
      <c r="AU3" s="545"/>
      <c r="AV3" s="545"/>
      <c r="AW3" s="545"/>
      <c r="AX3" s="545"/>
      <c r="AY3" s="545" t="s">
        <v>56</v>
      </c>
      <c r="AZ3" s="545"/>
      <c r="BA3" s="545"/>
      <c r="BB3" s="545"/>
      <c r="BC3" s="545"/>
      <c r="BD3" s="545"/>
      <c r="BE3" s="545" t="s">
        <v>41</v>
      </c>
      <c r="BF3" s="545"/>
      <c r="BG3" s="546"/>
      <c r="BH3" s="227"/>
      <c r="BI3" s="544" t="s">
        <v>39</v>
      </c>
      <c r="BJ3" s="545"/>
      <c r="BK3" s="545"/>
      <c r="BL3" s="545"/>
      <c r="BM3" s="545"/>
      <c r="BN3" s="545"/>
      <c r="BO3" s="545" t="s">
        <v>40</v>
      </c>
      <c r="BP3" s="545"/>
      <c r="BQ3" s="545"/>
      <c r="BR3" s="545"/>
      <c r="BS3" s="545"/>
      <c r="BT3" s="545"/>
      <c r="BU3" s="545" t="s">
        <v>55</v>
      </c>
      <c r="BV3" s="545"/>
      <c r="BW3" s="545"/>
      <c r="BX3" s="545"/>
      <c r="BY3" s="545"/>
      <c r="BZ3" s="545"/>
      <c r="CA3" s="545" t="s">
        <v>56</v>
      </c>
      <c r="CB3" s="545"/>
      <c r="CC3" s="545"/>
      <c r="CD3" s="545"/>
      <c r="CE3" s="545"/>
      <c r="CF3" s="545"/>
      <c r="CG3" s="545" t="s">
        <v>41</v>
      </c>
      <c r="CH3" s="545"/>
      <c r="CI3" s="546"/>
      <c r="CJ3" s="227" t="s">
        <v>57</v>
      </c>
      <c r="CK3" s="227" t="s">
        <v>58</v>
      </c>
      <c r="CL3" s="418" t="s">
        <v>247</v>
      </c>
      <c r="CM3" s="418" t="s">
        <v>248</v>
      </c>
      <c r="CN3" s="227" t="s">
        <v>59</v>
      </c>
      <c r="CO3" s="174" t="s">
        <v>61</v>
      </c>
      <c r="CP3" s="227" t="s">
        <v>221</v>
      </c>
      <c r="CQ3" s="227" t="s">
        <v>62</v>
      </c>
      <c r="CR3" s="227" t="s">
        <v>63</v>
      </c>
      <c r="CS3" s="227" t="s">
        <v>64</v>
      </c>
      <c r="CT3" s="227" t="s">
        <v>1</v>
      </c>
      <c r="CU3" s="227" t="s">
        <v>65</v>
      </c>
      <c r="CV3" s="227" t="s">
        <v>66</v>
      </c>
      <c r="CW3" s="227"/>
      <c r="CX3" s="227" t="s">
        <v>105</v>
      </c>
      <c r="CY3" s="227" t="s">
        <v>28</v>
      </c>
      <c r="CZ3" s="227" t="s">
        <v>100</v>
      </c>
      <c r="DA3" s="227" t="s">
        <v>36</v>
      </c>
      <c r="DB3" s="227" t="s">
        <v>134</v>
      </c>
      <c r="DC3" s="227" t="s">
        <v>183</v>
      </c>
      <c r="DD3" s="68" t="s">
        <v>72</v>
      </c>
      <c r="DE3" s="70" t="s">
        <v>12</v>
      </c>
      <c r="DF3" s="69" t="s">
        <v>13</v>
      </c>
      <c r="DG3" s="68" t="s">
        <v>14</v>
      </c>
      <c r="DH3" s="70" t="s">
        <v>15</v>
      </c>
      <c r="DI3" s="70" t="s">
        <v>16</v>
      </c>
      <c r="DJ3" s="69" t="s">
        <v>17</v>
      </c>
      <c r="DK3" s="69" t="s">
        <v>18</v>
      </c>
      <c r="DL3" s="69" t="s">
        <v>19</v>
      </c>
      <c r="DM3" s="69" t="s">
        <v>83</v>
      </c>
      <c r="DN3" s="69" t="s">
        <v>20</v>
      </c>
      <c r="DO3" s="69" t="s">
        <v>21</v>
      </c>
      <c r="DP3" s="69" t="s">
        <v>22</v>
      </c>
      <c r="DQ3" s="71" t="s">
        <v>23</v>
      </c>
      <c r="DR3" s="17"/>
      <c r="DS3" s="17"/>
      <c r="DT3" s="532" t="s">
        <v>135</v>
      </c>
      <c r="DU3" s="102" t="s">
        <v>91</v>
      </c>
      <c r="DV3" s="103" t="s">
        <v>2</v>
      </c>
      <c r="DW3" s="104" t="s">
        <v>3</v>
      </c>
      <c r="DX3" s="104" t="s">
        <v>4</v>
      </c>
      <c r="DY3" s="104" t="s">
        <v>5</v>
      </c>
      <c r="DZ3" s="104" t="s">
        <v>6</v>
      </c>
      <c r="EA3" s="104" t="s">
        <v>7</v>
      </c>
      <c r="EB3" s="104" t="s">
        <v>8</v>
      </c>
      <c r="EC3" s="104" t="s">
        <v>9</v>
      </c>
      <c r="ED3" s="104" t="s">
        <v>10</v>
      </c>
      <c r="EE3" s="105" t="s">
        <v>92</v>
      </c>
      <c r="EF3" s="102" t="s">
        <v>93</v>
      </c>
      <c r="EG3" s="106" t="s">
        <v>94</v>
      </c>
      <c r="EH3" s="94" t="s">
        <v>27</v>
      </c>
      <c r="EI3" s="95" t="s">
        <v>24</v>
      </c>
      <c r="EJ3" s="95" t="s">
        <v>25</v>
      </c>
      <c r="EK3" s="96" t="s">
        <v>26</v>
      </c>
      <c r="EL3" s="97" t="s">
        <v>29</v>
      </c>
      <c r="EM3" s="98" t="s">
        <v>30</v>
      </c>
      <c r="EN3" s="98" t="s">
        <v>88</v>
      </c>
      <c r="EO3" s="98" t="s">
        <v>31</v>
      </c>
      <c r="EP3" s="98" t="s">
        <v>32</v>
      </c>
      <c r="EQ3" s="98" t="s">
        <v>33</v>
      </c>
      <c r="ER3" s="99" t="s">
        <v>34</v>
      </c>
      <c r="ES3" s="100" t="s">
        <v>35</v>
      </c>
      <c r="ET3" s="101" t="s">
        <v>37</v>
      </c>
      <c r="EV3" s="46" t="s">
        <v>128</v>
      </c>
      <c r="EW3" s="267" t="s">
        <v>129</v>
      </c>
      <c r="EX3" s="107" t="s">
        <v>86</v>
      </c>
      <c r="EY3" s="108" t="s">
        <v>85</v>
      </c>
      <c r="EZ3" s="21" t="s">
        <v>249</v>
      </c>
      <c r="FC3" s="139"/>
      <c r="FD3" s="139"/>
      <c r="FE3" s="112" t="s">
        <v>0</v>
      </c>
      <c r="FF3" s="227" t="s">
        <v>38</v>
      </c>
      <c r="FG3" s="548" t="s">
        <v>39</v>
      </c>
      <c r="FH3" s="549"/>
      <c r="FI3" s="549"/>
      <c r="FJ3" s="266" t="s">
        <v>102</v>
      </c>
      <c r="FK3" s="550" t="s">
        <v>103</v>
      </c>
      <c r="FL3" s="550"/>
      <c r="FM3" s="550"/>
      <c r="FN3" s="266" t="s">
        <v>102</v>
      </c>
      <c r="FO3" s="549" t="s">
        <v>41</v>
      </c>
      <c r="FP3" s="549"/>
      <c r="FQ3" s="549"/>
      <c r="FR3" s="189" t="s">
        <v>102</v>
      </c>
      <c r="FS3" s="227" t="s">
        <v>57</v>
      </c>
      <c r="FT3" s="227" t="s">
        <v>58</v>
      </c>
      <c r="FU3" s="227" t="s">
        <v>59</v>
      </c>
      <c r="FV3" s="174" t="s">
        <v>61</v>
      </c>
      <c r="FW3" s="227" t="s">
        <v>221</v>
      </c>
      <c r="FX3" s="227" t="s">
        <v>62</v>
      </c>
      <c r="FY3" s="227" t="s">
        <v>63</v>
      </c>
      <c r="FZ3" s="227" t="s">
        <v>64</v>
      </c>
      <c r="GA3" s="227" t="s">
        <v>1</v>
      </c>
      <c r="GB3" s="227" t="s">
        <v>65</v>
      </c>
      <c r="GC3" s="174" t="s">
        <v>66</v>
      </c>
      <c r="GD3" s="199" t="s">
        <v>105</v>
      </c>
      <c r="GE3" s="227" t="s">
        <v>28</v>
      </c>
      <c r="GF3" s="481" t="s">
        <v>100</v>
      </c>
      <c r="GG3" s="173" t="s">
        <v>36</v>
      </c>
      <c r="GH3" s="227" t="s">
        <v>101</v>
      </c>
      <c r="GI3" s="293" t="s">
        <v>133</v>
      </c>
      <c r="GJ3" s="223" t="s">
        <v>106</v>
      </c>
      <c r="GK3" s="224" t="s">
        <v>107</v>
      </c>
      <c r="GL3" s="16" t="s">
        <v>108</v>
      </c>
      <c r="GM3" s="16" t="s">
        <v>109</v>
      </c>
      <c r="GN3" s="364" t="s">
        <v>110</v>
      </c>
      <c r="GO3" s="214" t="s">
        <v>111</v>
      </c>
      <c r="GP3" s="17"/>
      <c r="GQ3" s="379" t="s">
        <v>158</v>
      </c>
      <c r="GR3" s="379" t="s">
        <v>184</v>
      </c>
      <c r="GS3" s="112"/>
      <c r="GT3" s="400" t="s">
        <v>105</v>
      </c>
      <c r="GU3" s="400"/>
      <c r="GV3" s="401"/>
      <c r="GW3" s="400" t="s">
        <v>169</v>
      </c>
      <c r="GX3" s="402"/>
      <c r="GY3" s="403" t="s">
        <v>191</v>
      </c>
      <c r="GZ3" s="403"/>
      <c r="HA3" s="407"/>
      <c r="HB3" s="403" t="s">
        <v>158</v>
      </c>
      <c r="HC3" s="403"/>
      <c r="HD3" s="403"/>
      <c r="HE3" s="403" t="s">
        <v>135</v>
      </c>
      <c r="HF3" s="404"/>
      <c r="HG3" s="306"/>
      <c r="HH3" s="306" t="s">
        <v>40</v>
      </c>
      <c r="HI3" s="306" t="s">
        <v>137</v>
      </c>
      <c r="HJ3" s="306" t="s">
        <v>138</v>
      </c>
      <c r="HK3" s="306"/>
      <c r="HL3" s="306"/>
      <c r="HM3" s="306" t="s">
        <v>181</v>
      </c>
      <c r="HN3" s="306"/>
      <c r="HO3" s="306"/>
      <c r="HQ3" s="316" t="s">
        <v>172</v>
      </c>
      <c r="HR3" s="316" t="s">
        <v>153</v>
      </c>
      <c r="HU3" s="51" t="s">
        <v>136</v>
      </c>
      <c r="HV3" s="316" t="s">
        <v>186</v>
      </c>
      <c r="HW3" s="316"/>
      <c r="HX3" s="24"/>
      <c r="HY3" s="61"/>
      <c r="HZ3" s="337"/>
      <c r="IA3" s="24"/>
      <c r="IB3" s="318"/>
      <c r="IC3" s="324"/>
      <c r="ID3" s="318"/>
      <c r="IE3" s="319"/>
      <c r="IF3" s="318" t="s">
        <v>156</v>
      </c>
      <c r="IJ3" s="24"/>
      <c r="IK3" s="24"/>
      <c r="IL3" s="321" t="s">
        <v>167</v>
      </c>
      <c r="IM3" s="321" t="s">
        <v>168</v>
      </c>
      <c r="IN3" s="321" t="s">
        <v>166</v>
      </c>
      <c r="IO3" s="322"/>
      <c r="IP3" s="24"/>
      <c r="IQ3" s="333" t="s">
        <v>136</v>
      </c>
      <c r="IR3" s="321" t="s">
        <v>169</v>
      </c>
      <c r="IS3" s="321" t="s">
        <v>170</v>
      </c>
      <c r="IV3" s="336"/>
      <c r="IW3" s="321"/>
      <c r="IX3" s="328"/>
    </row>
    <row r="4" spans="1:258" ht="17" thickBot="1" x14ac:dyDescent="0.25">
      <c r="A4" s="139"/>
      <c r="B4" s="5" t="s">
        <v>82</v>
      </c>
      <c r="C4" s="41" t="s">
        <v>205</v>
      </c>
      <c r="D4" s="308">
        <f>SUM(Start:Stop!D4)</f>
        <v>61.336666666666673</v>
      </c>
      <c r="E4" s="114">
        <f>SUM(Start:Stop!E4)</f>
        <v>8</v>
      </c>
      <c r="F4" s="339" t="s">
        <v>52</v>
      </c>
      <c r="G4" s="115">
        <f>SUM(Start:Stop!G4)</f>
        <v>25</v>
      </c>
      <c r="H4" s="116" t="s">
        <v>53</v>
      </c>
      <c r="I4" s="339">
        <f>SUM(Start:Stop!I4)</f>
        <v>8</v>
      </c>
      <c r="J4" s="115" t="s">
        <v>54</v>
      </c>
      <c r="K4" s="116">
        <f>SUM(Start:Stop!K4)</f>
        <v>4</v>
      </c>
      <c r="L4" s="339" t="s">
        <v>52</v>
      </c>
      <c r="M4" s="115">
        <f>SUM(Start:Stop!M4)</f>
        <v>10</v>
      </c>
      <c r="N4" s="116" t="s">
        <v>53</v>
      </c>
      <c r="O4" s="339">
        <f>SUM(Start:Stop!O4)</f>
        <v>4</v>
      </c>
      <c r="P4" s="115" t="s">
        <v>54</v>
      </c>
      <c r="Q4" s="116">
        <f>SUM(Start:Stop!Q4)</f>
        <v>0</v>
      </c>
      <c r="R4" s="339" t="s">
        <v>52</v>
      </c>
      <c r="S4" s="115">
        <f>SUM(Start:Stop!S4)</f>
        <v>2</v>
      </c>
      <c r="T4" s="116" t="s">
        <v>53</v>
      </c>
      <c r="U4" s="339">
        <f>SUM(Start:Stop!U4)</f>
        <v>0</v>
      </c>
      <c r="V4" s="115" t="s">
        <v>54</v>
      </c>
      <c r="W4" s="116">
        <f>SUM(Start:Stop!W4)</f>
        <v>4</v>
      </c>
      <c r="X4" s="339" t="s">
        <v>52</v>
      </c>
      <c r="Y4" s="115">
        <f>SUM(Start:Stop!Y4)</f>
        <v>13</v>
      </c>
      <c r="Z4" s="116" t="s">
        <v>53</v>
      </c>
      <c r="AA4" s="339">
        <f>SUM(Start:Stop!AA4)</f>
        <v>4</v>
      </c>
      <c r="AB4" s="115" t="s">
        <v>54</v>
      </c>
      <c r="AC4" s="329">
        <f>SUM(Start:Stop!AC4)</f>
        <v>1.4</v>
      </c>
      <c r="AD4" s="339" t="s">
        <v>52</v>
      </c>
      <c r="AE4" s="294">
        <f>SUM(Start:Stop!AE4)</f>
        <v>2</v>
      </c>
      <c r="AF4" s="226"/>
      <c r="AG4" s="243">
        <f>SUM(Start:Stop!AG4)</f>
        <v>8</v>
      </c>
      <c r="AH4" s="244" t="s">
        <v>52</v>
      </c>
      <c r="AI4" s="245">
        <f>SUM(Start:Stop!AI4)</f>
        <v>18</v>
      </c>
      <c r="AJ4" s="246" t="s">
        <v>53</v>
      </c>
      <c r="AK4" s="244">
        <f>SUM(Start:Stop!AK4)</f>
        <v>8</v>
      </c>
      <c r="AL4" s="245" t="s">
        <v>54</v>
      </c>
      <c r="AM4" s="246">
        <f>SUM(Start:Stop!AM4)</f>
        <v>4</v>
      </c>
      <c r="AN4" s="244" t="s">
        <v>52</v>
      </c>
      <c r="AO4" s="245">
        <f>SUM(Start:Stop!AO4)</f>
        <v>6</v>
      </c>
      <c r="AP4" s="246" t="s">
        <v>53</v>
      </c>
      <c r="AQ4" s="244">
        <f>SUM(Start:Stop!AQ4)</f>
        <v>4</v>
      </c>
      <c r="AR4" s="245" t="s">
        <v>54</v>
      </c>
      <c r="AS4" s="246">
        <f>SUM(Start:Stop!AS4)</f>
        <v>0</v>
      </c>
      <c r="AT4" s="244" t="s">
        <v>52</v>
      </c>
      <c r="AU4" s="245">
        <f>SUM(Start:Stop!AU4)</f>
        <v>2</v>
      </c>
      <c r="AV4" s="246" t="s">
        <v>53</v>
      </c>
      <c r="AW4" s="244">
        <f>SUM(Start:Stop!AW4)</f>
        <v>0</v>
      </c>
      <c r="AX4" s="245" t="s">
        <v>54</v>
      </c>
      <c r="AY4" s="246">
        <f>SUM(Start:Stop!AY4)</f>
        <v>4</v>
      </c>
      <c r="AZ4" s="244" t="s">
        <v>52</v>
      </c>
      <c r="BA4" s="245">
        <f>SUM(Start:Stop!BA4)</f>
        <v>10</v>
      </c>
      <c r="BB4" s="246" t="s">
        <v>53</v>
      </c>
      <c r="BC4" s="244">
        <f>SUM(Start:Stop!BC4)</f>
        <v>4</v>
      </c>
      <c r="BD4" s="245" t="s">
        <v>54</v>
      </c>
      <c r="BE4" s="246">
        <f>SUM(Start:Stop!BE4)</f>
        <v>0</v>
      </c>
      <c r="BF4" s="244" t="s">
        <v>52</v>
      </c>
      <c r="BG4" s="247">
        <f>SUM(Start:Stop!BG4)</f>
        <v>0</v>
      </c>
      <c r="BH4" s="115"/>
      <c r="BI4" s="243">
        <f>SUM(Start:Stop!BI4)</f>
        <v>0</v>
      </c>
      <c r="BJ4" s="244" t="s">
        <v>52</v>
      </c>
      <c r="BK4" s="245">
        <f>SUM(Start:Stop!BK4)</f>
        <v>7</v>
      </c>
      <c r="BL4" s="246" t="s">
        <v>53</v>
      </c>
      <c r="BM4" s="244">
        <f>SUM(Start:Stop!BM4)</f>
        <v>0</v>
      </c>
      <c r="BN4" s="245" t="s">
        <v>54</v>
      </c>
      <c r="BO4" s="246">
        <f>SUM(Start:Stop!BO4)</f>
        <v>0</v>
      </c>
      <c r="BP4" s="244" t="s">
        <v>52</v>
      </c>
      <c r="BQ4" s="245">
        <f>SUM(Start:Stop!BQ4)</f>
        <v>4</v>
      </c>
      <c r="BR4" s="246" t="s">
        <v>53</v>
      </c>
      <c r="BS4" s="244">
        <f>SUM(Start:Stop!BS4)</f>
        <v>0</v>
      </c>
      <c r="BT4" s="245" t="s">
        <v>54</v>
      </c>
      <c r="BU4" s="246">
        <f>SUM(Start:Stop!BU4)</f>
        <v>0</v>
      </c>
      <c r="BV4" s="244" t="s">
        <v>52</v>
      </c>
      <c r="BW4" s="245">
        <f>SUM(Start:Stop!BW4)</f>
        <v>0</v>
      </c>
      <c r="BX4" s="246" t="s">
        <v>53</v>
      </c>
      <c r="BY4" s="244">
        <f>SUM(Start:Stop!BY4)</f>
        <v>0</v>
      </c>
      <c r="BZ4" s="245" t="s">
        <v>54</v>
      </c>
      <c r="CA4" s="246">
        <f>SUM(Start:Stop!CA4)</f>
        <v>0</v>
      </c>
      <c r="CB4" s="244" t="s">
        <v>52</v>
      </c>
      <c r="CC4" s="245">
        <f>SUM(Start:Stop!CC4)</f>
        <v>3</v>
      </c>
      <c r="CD4" s="246" t="s">
        <v>53</v>
      </c>
      <c r="CE4" s="244">
        <f>SUM(Start:Stop!CE4)</f>
        <v>0</v>
      </c>
      <c r="CF4" s="245" t="s">
        <v>54</v>
      </c>
      <c r="CG4" s="246">
        <f>SUM(Start:Stop!CG4)</f>
        <v>0</v>
      </c>
      <c r="CH4" s="244" t="s">
        <v>52</v>
      </c>
      <c r="CI4" s="247">
        <f>SUM(Start:Stop!CI4)</f>
        <v>0</v>
      </c>
      <c r="CJ4" s="140">
        <f>SUM(Start:Stop!CJ4)</f>
        <v>8</v>
      </c>
      <c r="CK4" s="148">
        <f>SUM(Start:Stop!CK4)</f>
        <v>9</v>
      </c>
      <c r="CL4" s="148">
        <f>SUM(Start:Stop!CL4)</f>
        <v>4</v>
      </c>
      <c r="CM4" s="148">
        <f>SUM(Start:Stop!CM4)</f>
        <v>5</v>
      </c>
      <c r="CN4" s="148">
        <f>SUM(Start:Stop!CN4)</f>
        <v>17</v>
      </c>
      <c r="CO4" s="175">
        <f>SUM(Start:Stop!CO4)</f>
        <v>3</v>
      </c>
      <c r="CP4" s="140">
        <f>SUM(Start:Stop!CP4)</f>
        <v>9</v>
      </c>
      <c r="CQ4" s="140">
        <f>SUM(Start:Stop!CQ4)</f>
        <v>0</v>
      </c>
      <c r="CR4" s="148">
        <f>SUM(Start:Stop!CR4)</f>
        <v>2</v>
      </c>
      <c r="CS4" s="148">
        <f>SUM(Start:Stop!CS4)</f>
        <v>3</v>
      </c>
      <c r="CT4" s="140">
        <f>SUM(Start:Stop!CT4)</f>
        <v>2</v>
      </c>
      <c r="CU4" s="140">
        <f>SUM(Start:Stop!CU4)</f>
        <v>0</v>
      </c>
      <c r="CV4" s="148">
        <f>SUM(Start:Stop!CV4)</f>
        <v>21.4</v>
      </c>
      <c r="CW4" s="140"/>
      <c r="CX4" s="164">
        <f>IFERROR(100*(EH4/EG4),"0")</f>
        <v>96.887418837317625</v>
      </c>
      <c r="CY4" s="147">
        <f t="shared" ref="CY4" si="0">IFERROR(DU4/EG4,"0")</f>
        <v>0.39646955823171515</v>
      </c>
      <c r="CZ4" s="165">
        <f>IFERROR((EG4/(EG25*DD4)),"0")</f>
        <v>0.16468888162965706</v>
      </c>
      <c r="DA4" s="164">
        <f>IFERROR(ES4+0.2*(100*ET4*(1-ER4)-ES4),"0")</f>
        <v>111.83735769596964</v>
      </c>
      <c r="DB4" s="148">
        <f>CX4-DA4</f>
        <v>-14.949938858652018</v>
      </c>
      <c r="DC4" s="147">
        <f>CV4/D4</f>
        <v>0.348894081843378</v>
      </c>
      <c r="DD4" s="77">
        <f>IFERROR(D4/($D$21/10),"0")</f>
        <v>0.86176859024193786</v>
      </c>
      <c r="DE4" s="37">
        <f>IFERROR(E4/G4,"0")</f>
        <v>0.32</v>
      </c>
      <c r="DF4" s="37">
        <f>IFERROR(W4/Y4,"0")</f>
        <v>0.30769230769230771</v>
      </c>
      <c r="DG4" s="536">
        <f>IFERROR(((E4-W4)+1.5*W4)/G4,"0")</f>
        <v>0.4</v>
      </c>
      <c r="DH4" s="64">
        <f t="shared" ref="DH4" si="1">IFERROR(CJ4/(DD4*(CJ25+CK40)),"0")</f>
        <v>9.2832346068148455E-2</v>
      </c>
      <c r="DI4" s="64">
        <f t="shared" ref="DI4" si="2">IFERROR(CK4/(DD4*(CK25+CJ40)),"0")</f>
        <v>0.14306354702283153</v>
      </c>
      <c r="DJ4" s="64">
        <f t="shared" ref="DJ4" si="3">IFERROR(CU4/(DD4*(M40)),"0")</f>
        <v>0</v>
      </c>
      <c r="DK4" s="64">
        <f>IFERROR(CS4/(DD4*EG25),"0")</f>
        <v>1.9786350576157918E-2</v>
      </c>
      <c r="DL4" s="64">
        <f>IFERROR(CO4/(DD4*(E25-E4)),"0")</f>
        <v>5.6148596412186565E-2</v>
      </c>
      <c r="DM4" s="64">
        <f t="shared" ref="DM4" si="4">IFERROR((CO4+CP4)/(DD4*EG25),"0")</f>
        <v>7.9145402304631671E-2</v>
      </c>
      <c r="DN4" s="64">
        <f>IFERROR(CT4/EG4,"0")</f>
        <v>8.0095876865374699E-2</v>
      </c>
      <c r="DO4" s="37">
        <f>IFERROR(CO4/CT4,"0")</f>
        <v>1.5</v>
      </c>
      <c r="DP4" s="66">
        <f>IFERROR((40/D4)*CQ4,"0")</f>
        <v>0</v>
      </c>
      <c r="DQ4" s="78">
        <f>IFERROR((40/D4)*CR4,"0")</f>
        <v>1.3042769414705722</v>
      </c>
      <c r="DR4" s="6"/>
      <c r="DS4" s="36"/>
      <c r="DT4" s="533">
        <f>IFERROR(((E4*85.91)+(CS4*53.897)+(W4*51.757)+(EX4*46.845)+(CU4*39.19)+(CJ4*39.19)+(CO4*34.677)+(CK4*14.707)-(CQ4*17.174)-((EY4-EX4)*20.091)-((G4-E4)*39.19)-(CT4*53.897))*(1/D4),"0")</f>
        <v>14.435368729960329</v>
      </c>
      <c r="DU4" s="18">
        <f>IFERROR((DV4+DX4+DY4)*(1-(CJ25/EZ25)*EA4*EC4)+ED4,"0")</f>
        <v>9.8998743442961974</v>
      </c>
      <c r="DV4" s="13">
        <f>IFERROR(E4*(1-0.5*((CV4-EX4)/(2*G4))*DW4),"0")</f>
        <v>6.8795439368260762</v>
      </c>
      <c r="DW4" s="14">
        <f>IFERROR(((D4/(D25/5))*(1.14*((CO25-CO4)/E25)))+((((CO25/D25)*D4*5-CO4)/((E25/D25)*D4*5-E4))*(1-(D4/(D25/5)))),"0")</f>
        <v>0.70028503948370258</v>
      </c>
      <c r="DX4" s="14">
        <f t="shared" ref="DX4" si="5">IFERROR(0.5*(((CV25-EX25)-(CV4-EX4))/(2*(G25-G4)))*CO4,"0")</f>
        <v>0.79137931034482767</v>
      </c>
      <c r="DY4" s="14">
        <f>IFERROR((1-(1-(EX4/EY4))^2)*0.4*EY4,"0")</f>
        <v>0.72799999999999998</v>
      </c>
      <c r="DZ4" s="15">
        <f>IFERROR(E25+(1-(1-(EX25/EY25))^2)*EY25*0.4,"0")</f>
        <v>80.183666666666667</v>
      </c>
      <c r="EA4" s="14">
        <f>IFERROR(((1-EB4)*EC4)/((1-EB4)*EC4+EB4*(1-EC4)),"0")</f>
        <v>0.69017933574970569</v>
      </c>
      <c r="EB4" s="14">
        <f t="shared" ref="EB4" si="6">IFERROR(CJ25/(CJ25+(CN40-CJ40)),"0")</f>
        <v>0.22</v>
      </c>
      <c r="EC4" s="14">
        <f t="shared" ref="EC4" si="7">IFERROR(DZ4/((G25+(EY25*0.4))+CT25),"0")</f>
        <v>0.38586942572986843</v>
      </c>
      <c r="ED4" s="14">
        <f>IFERROR(CJ4*EA4*EC4,"0")</f>
        <v>2.1305528314908879</v>
      </c>
      <c r="EE4" s="19">
        <f>IFERROR((G4-E4)*(1-1.07*EB4),"0")</f>
        <v>12.998199999999999</v>
      </c>
      <c r="EF4" s="67">
        <f>IFERROR(((1-(EX4/EY4))^2)*0.4*EY4,"0")</f>
        <v>7.2000000000000022E-2</v>
      </c>
      <c r="EG4" s="74">
        <f>SUM(CT4+DU4+EE4+EF4)</f>
        <v>24.970074344296197</v>
      </c>
      <c r="EH4" s="27">
        <f>IFERROR((EI4+EJ4+EX4)*(1-(CJ25/DZ4)*EA4*EC4)+EK4,"0")</f>
        <v>24.192860513947849</v>
      </c>
      <c r="EI4" s="25">
        <f t="shared" ref="EI4:EI13" si="8">IFERROR(2*(E4+(0.5*W4))*(1-0.5*((CV4-EX4)/(2*G4))*DW4),"0")</f>
        <v>17.19885984206519</v>
      </c>
      <c r="EJ4" s="25">
        <f>IFERROR(2*((E25-E4+0.5*(W25-W4))/(E25-E4))*0.5*(((CV25-EX25)-(CV4-EX4))/(2*(G25-G4)))*CO4,"0")</f>
        <v>1.9529199110122359</v>
      </c>
      <c r="EK4" s="26">
        <f t="shared" ref="EK4" si="9">IFERROR(CJ4*EA4*EC4*(CV25/(E25+(1-(1-(EX25/EY25))^2)*0.4*EY25)),"0")</f>
        <v>5.1427992467509345</v>
      </c>
      <c r="EL4" s="29">
        <f>IFERROR((EN4*(1-EM4))/(EN4*(1-EM4)+(1-EN4)*EM4),"0")</f>
        <v>0.84281356540462948</v>
      </c>
      <c r="EM4" s="30">
        <f t="shared" ref="EM4" si="10">IFERROR(CJ40/(CJ40+CK25),"0")</f>
        <v>0.16438356164383561</v>
      </c>
      <c r="EN4" s="30">
        <f t="shared" ref="EN4" si="11">IFERROR(E40/G40,"0")</f>
        <v>0.51333333333333331</v>
      </c>
      <c r="EO4" s="31">
        <f>IFERROR(CS4+CU4*EL4*(1-1.07*EM4)+CK4*(1-EL4),"0")</f>
        <v>4.4146779113583348</v>
      </c>
      <c r="EP4" s="31">
        <f>IFERROR((((G40-E40-CU25)/D25)*EL4*(1-1.07*EM4)+((CT40-CS25)/D25))*D4+(CQ4/CQ25)*0.4*EY40*(1-(EX40/EY40))^2,"0")</f>
        <v>10.711283434923288</v>
      </c>
      <c r="EQ4" s="31">
        <f>IFERROR(EO4+EP4,"0")</f>
        <v>15.125961346281624</v>
      </c>
      <c r="ER4" s="93">
        <f t="shared" ref="ER4" si="12">IFERROR((EQ4*D40)/(EG25*D4),"0")</f>
        <v>0.49881262333156973</v>
      </c>
      <c r="ES4" s="109">
        <f t="shared" ref="ES4" si="13">IFERROR(100*(CV40/EG25),"0")</f>
        <v>110.54897278261357</v>
      </c>
      <c r="ET4" s="32">
        <f t="shared" ref="ET4" si="14">IFERROR(CV40/(E40+(1-(1-(EX40/EY40))^2)*EY40*0.4),"0")</f>
        <v>2.3342746205435931</v>
      </c>
      <c r="EV4" s="275"/>
      <c r="EW4" s="276"/>
      <c r="EX4" s="37">
        <f>AC4</f>
        <v>1.4</v>
      </c>
      <c r="EY4" s="72">
        <f>AE4</f>
        <v>2</v>
      </c>
      <c r="EZ4" s="7">
        <v>0.7</v>
      </c>
      <c r="FB4" s="41"/>
      <c r="FC4" s="178"/>
      <c r="FD4" s="179" t="s">
        <v>82</v>
      </c>
      <c r="FE4" s="180" t="s">
        <v>233</v>
      </c>
      <c r="FF4" s="393">
        <f t="shared" ref="FF4:FF18" si="15">D4</f>
        <v>61.336666666666673</v>
      </c>
      <c r="FG4" s="182">
        <f t="shared" ref="FG4:FG18" si="16">E4</f>
        <v>8</v>
      </c>
      <c r="FH4" s="183" t="s">
        <v>52</v>
      </c>
      <c r="FI4" s="184">
        <f>G4</f>
        <v>25</v>
      </c>
      <c r="FJ4" s="193">
        <f>IFERROR(FG4/FI4,"0")</f>
        <v>0.32</v>
      </c>
      <c r="FK4" s="185">
        <f t="shared" ref="FK4:FK18" si="17">W4</f>
        <v>4</v>
      </c>
      <c r="FL4" s="183" t="s">
        <v>52</v>
      </c>
      <c r="FM4" s="186">
        <f t="shared" ref="FM4:FM18" si="18">Y4</f>
        <v>13</v>
      </c>
      <c r="FN4" s="193">
        <f t="shared" ref="FN4:FN23" si="19">IFERROR(FK4/FM4,"0")</f>
        <v>0.30769230769230771</v>
      </c>
      <c r="FO4" s="261">
        <f>EV4</f>
        <v>0</v>
      </c>
      <c r="FP4" s="183" t="s">
        <v>52</v>
      </c>
      <c r="FQ4" s="268">
        <f>EW4</f>
        <v>0</v>
      </c>
      <c r="FR4" s="196" t="str">
        <f>IFERROR(FO4/FQ4,"0")</f>
        <v>0</v>
      </c>
      <c r="FS4" s="179">
        <f t="shared" ref="FS4:FS23" si="20">CJ4</f>
        <v>8</v>
      </c>
      <c r="FT4" s="179">
        <f t="shared" ref="FT4:FT23" si="21">CK4</f>
        <v>9</v>
      </c>
      <c r="FU4" s="179">
        <f t="shared" ref="FU4:GB18" si="22">CN4</f>
        <v>17</v>
      </c>
      <c r="FV4" s="187">
        <f t="shared" si="22"/>
        <v>3</v>
      </c>
      <c r="FW4" s="179">
        <f t="shared" si="22"/>
        <v>9</v>
      </c>
      <c r="FX4" s="179">
        <f t="shared" si="22"/>
        <v>0</v>
      </c>
      <c r="FY4" s="179">
        <f t="shared" si="22"/>
        <v>2</v>
      </c>
      <c r="FZ4" s="179">
        <f t="shared" si="22"/>
        <v>3</v>
      </c>
      <c r="GA4" s="179">
        <f t="shared" si="22"/>
        <v>2</v>
      </c>
      <c r="GB4" s="179">
        <f t="shared" si="22"/>
        <v>0</v>
      </c>
      <c r="GC4" s="191">
        <f>((FK4*3)+((FG4-FK4)*2)+FO4)</f>
        <v>20</v>
      </c>
      <c r="GD4" s="200">
        <f>CX4</f>
        <v>96.887418837317625</v>
      </c>
      <c r="GE4" s="181">
        <f>CY4</f>
        <v>0.39646955823171515</v>
      </c>
      <c r="GF4" s="181">
        <f>CZ4</f>
        <v>0.16468888162965706</v>
      </c>
      <c r="GG4" s="258">
        <f>DA4</f>
        <v>111.83735769596964</v>
      </c>
      <c r="GH4" s="260">
        <f>GD4-GG4</f>
        <v>-14.949938858652018</v>
      </c>
      <c r="GI4" s="297">
        <f t="shared" ref="GI4:GI18" si="23">GC4/FF4</f>
        <v>0.32606923536764304</v>
      </c>
      <c r="GJ4" s="82"/>
      <c r="GK4" s="24"/>
      <c r="GL4" s="366">
        <f t="shared" ref="GL4:GL18" si="24">(CQ4/CQ25)*(EY25-EX25)</f>
        <v>0</v>
      </c>
      <c r="GM4" s="366">
        <f>((E26/G26)*(1-(CJ26/(CJ26+CK25))))/((E26/G26)*(1-(CJ26/(CJ26+CK25)))+((1-(E26/G26)))*(CJ26/(CJ26+CK25)))</f>
        <v>0.82896917467683129</v>
      </c>
      <c r="GN4" s="370">
        <f>GK4+(GL4/10)+(GJ4*GM4*(1-(CJ26/(CJ26+CK25))))+(CK4*(1-GM4))</f>
        <v>1.5392774279085184</v>
      </c>
      <c r="GO4" s="371">
        <f>GN4/(DD4*EG26)</f>
        <v>9.4323200203997922E-3</v>
      </c>
      <c r="GP4" s="46"/>
      <c r="GQ4" s="383"/>
      <c r="GR4" s="384"/>
      <c r="GS4" s="389" t="s">
        <v>143</v>
      </c>
      <c r="GT4" s="120">
        <v>130.13409028478443</v>
      </c>
      <c r="GU4" s="147"/>
      <c r="GV4" s="160" t="s">
        <v>150</v>
      </c>
      <c r="GW4" s="399">
        <v>0.37586998689030299</v>
      </c>
      <c r="GX4" s="160" t="s">
        <v>143</v>
      </c>
      <c r="GY4" s="147">
        <v>1.4261363636363635</v>
      </c>
      <c r="GZ4" s="147"/>
      <c r="HA4" s="405" t="s">
        <v>147</v>
      </c>
      <c r="HB4" s="147">
        <v>0.75471698113207553</v>
      </c>
      <c r="HC4" s="139"/>
      <c r="HD4" s="417" t="s">
        <v>150</v>
      </c>
      <c r="HE4" s="120">
        <v>42.180224944898235</v>
      </c>
      <c r="HF4" s="120"/>
      <c r="HG4" s="41" t="s">
        <v>118</v>
      </c>
      <c r="HH4" s="28">
        <f t="shared" ref="HH4:HH10" si="25">(K4*2)/M4</f>
        <v>0.8</v>
      </c>
      <c r="HI4" s="28">
        <f t="shared" ref="HI4:HI10" si="26">(Q4*2)/S4</f>
        <v>0</v>
      </c>
      <c r="HJ4" s="28">
        <f t="shared" ref="HJ4:HJ10" si="27">(W4*3)/Y4</f>
        <v>0.92307692307692313</v>
      </c>
      <c r="HK4" s="33"/>
      <c r="HL4" s="41"/>
      <c r="HM4" s="90">
        <f t="shared" ref="HM4:HM11" si="28">(GD4/100)*(GF4*75)</f>
        <v>11.967210489226506</v>
      </c>
      <c r="HN4" s="6"/>
      <c r="HO4" s="37"/>
      <c r="HQ4" s="6">
        <f t="shared" ref="HQ4:HQ13" si="29">(FV4+FZ4)/GA4</f>
        <v>3</v>
      </c>
      <c r="HR4" s="6">
        <f t="shared" ref="HR4:HR13" si="30">(CO4+CP4)/CT4</f>
        <v>6</v>
      </c>
      <c r="HS4" s="41"/>
      <c r="HT4" s="396">
        <v>1</v>
      </c>
      <c r="HU4" s="397" t="s">
        <v>150</v>
      </c>
      <c r="HV4" s="395">
        <v>16.712927488509678</v>
      </c>
      <c r="HX4" s="24"/>
      <c r="HY4" s="228"/>
      <c r="HZ4" s="37"/>
      <c r="IA4" s="24"/>
      <c r="IC4" s="6"/>
      <c r="IE4" s="41" t="s">
        <v>143</v>
      </c>
      <c r="IF4" s="6">
        <v>1.0739282131518273</v>
      </c>
      <c r="IJ4" s="24"/>
      <c r="IK4" s="12" t="s">
        <v>143</v>
      </c>
      <c r="IL4" s="250">
        <v>33</v>
      </c>
      <c r="IM4" s="36">
        <v>10</v>
      </c>
      <c r="IN4" s="326">
        <f t="shared" ref="IN4:IN9" si="31">IL4/(IL4+IM4)</f>
        <v>0.76744186046511631</v>
      </c>
      <c r="IO4" s="323"/>
      <c r="IP4" s="24"/>
      <c r="IQ4" s="41" t="s">
        <v>139</v>
      </c>
      <c r="IR4" s="64">
        <f t="shared" ref="IR4:IR13" si="32">CZ4</f>
        <v>0.16468888162965706</v>
      </c>
      <c r="IS4" s="66">
        <f t="shared" ref="IS4:IS13" si="33">CX4</f>
        <v>96.887418837317625</v>
      </c>
      <c r="IV4" s="41"/>
      <c r="IW4" s="64"/>
    </row>
    <row r="5" spans="1:258" ht="17" thickBot="1" x14ac:dyDescent="0.25">
      <c r="A5" s="139"/>
      <c r="B5" s="5" t="s">
        <v>82</v>
      </c>
      <c r="C5" s="41" t="s">
        <v>206</v>
      </c>
      <c r="D5" s="308">
        <f>SUM(Start:Stop!D5)</f>
        <v>28.403333333333332</v>
      </c>
      <c r="E5" s="114">
        <f>SUM(Start:Stop!E5)</f>
        <v>3</v>
      </c>
      <c r="F5" s="339" t="s">
        <v>52</v>
      </c>
      <c r="G5" s="115">
        <f>SUM(Start:Stop!G5)</f>
        <v>10</v>
      </c>
      <c r="H5" s="116" t="s">
        <v>53</v>
      </c>
      <c r="I5" s="339">
        <f>SUM(Start:Stop!I5)</f>
        <v>1</v>
      </c>
      <c r="J5" s="115" t="s">
        <v>54</v>
      </c>
      <c r="K5" s="116">
        <f>SUM(Start:Stop!K5)</f>
        <v>1</v>
      </c>
      <c r="L5" s="339" t="s">
        <v>52</v>
      </c>
      <c r="M5" s="115">
        <f>SUM(Start:Stop!M5)</f>
        <v>2</v>
      </c>
      <c r="N5" s="116" t="s">
        <v>53</v>
      </c>
      <c r="O5" s="339">
        <f>SUM(Start:Stop!O5)</f>
        <v>0</v>
      </c>
      <c r="P5" s="115" t="s">
        <v>54</v>
      </c>
      <c r="Q5" s="116">
        <f>SUM(Start:Stop!Q5)</f>
        <v>1</v>
      </c>
      <c r="R5" s="339" t="s">
        <v>52</v>
      </c>
      <c r="S5" s="115">
        <f>SUM(Start:Stop!S5)</f>
        <v>3</v>
      </c>
      <c r="T5" s="116" t="s">
        <v>53</v>
      </c>
      <c r="U5" s="339">
        <f>SUM(Start:Stop!U5)</f>
        <v>0</v>
      </c>
      <c r="V5" s="115" t="s">
        <v>54</v>
      </c>
      <c r="W5" s="116">
        <f>SUM(Start:Stop!W5)</f>
        <v>1</v>
      </c>
      <c r="X5" s="339" t="s">
        <v>52</v>
      </c>
      <c r="Y5" s="115">
        <f>SUM(Start:Stop!Y5)</f>
        <v>5</v>
      </c>
      <c r="Z5" s="116" t="s">
        <v>53</v>
      </c>
      <c r="AA5" s="339">
        <f>SUM(Start:Stop!AA5)</f>
        <v>1</v>
      </c>
      <c r="AB5" s="115" t="s">
        <v>54</v>
      </c>
      <c r="AC5" s="329">
        <f>SUM(Start:Stop!AC5)</f>
        <v>0</v>
      </c>
      <c r="AD5" s="339" t="s">
        <v>52</v>
      </c>
      <c r="AE5" s="294">
        <f>SUM(Start:Stop!AE5)</f>
        <v>0</v>
      </c>
      <c r="AF5" s="226"/>
      <c r="AG5" s="243">
        <f>SUM(Start:Stop!AG5)</f>
        <v>3</v>
      </c>
      <c r="AH5" s="244" t="s">
        <v>52</v>
      </c>
      <c r="AI5" s="245">
        <f>SUM(Start:Stop!AI5)</f>
        <v>10</v>
      </c>
      <c r="AJ5" s="246" t="s">
        <v>53</v>
      </c>
      <c r="AK5" s="244">
        <f>SUM(Start:Stop!AK5)</f>
        <v>1</v>
      </c>
      <c r="AL5" s="245" t="s">
        <v>54</v>
      </c>
      <c r="AM5" s="246">
        <f>SUM(Start:Stop!AM5)</f>
        <v>1</v>
      </c>
      <c r="AN5" s="244" t="s">
        <v>52</v>
      </c>
      <c r="AO5" s="245">
        <f>SUM(Start:Stop!AO5)</f>
        <v>2</v>
      </c>
      <c r="AP5" s="246" t="s">
        <v>53</v>
      </c>
      <c r="AQ5" s="244">
        <f>SUM(Start:Stop!AQ5)</f>
        <v>0</v>
      </c>
      <c r="AR5" s="245" t="s">
        <v>54</v>
      </c>
      <c r="AS5" s="246">
        <f>SUM(Start:Stop!AS5)</f>
        <v>1</v>
      </c>
      <c r="AT5" s="244" t="s">
        <v>52</v>
      </c>
      <c r="AU5" s="245">
        <f>SUM(Start:Stop!AU5)</f>
        <v>3</v>
      </c>
      <c r="AV5" s="246" t="s">
        <v>53</v>
      </c>
      <c r="AW5" s="244">
        <f>SUM(Start:Stop!AW5)</f>
        <v>0</v>
      </c>
      <c r="AX5" s="245" t="s">
        <v>54</v>
      </c>
      <c r="AY5" s="246">
        <f>SUM(Start:Stop!AY5)</f>
        <v>1</v>
      </c>
      <c r="AZ5" s="244" t="s">
        <v>52</v>
      </c>
      <c r="BA5" s="245">
        <f>SUM(Start:Stop!BA5)</f>
        <v>5</v>
      </c>
      <c r="BB5" s="246" t="s">
        <v>53</v>
      </c>
      <c r="BC5" s="244">
        <f>SUM(Start:Stop!BC5)</f>
        <v>1</v>
      </c>
      <c r="BD5" s="245" t="s">
        <v>54</v>
      </c>
      <c r="BE5" s="246">
        <f>SUM(Start:Stop!BE5)</f>
        <v>0</v>
      </c>
      <c r="BF5" s="244" t="s">
        <v>52</v>
      </c>
      <c r="BG5" s="247">
        <f>SUM(Start:Stop!BG5)</f>
        <v>0</v>
      </c>
      <c r="BH5" s="115"/>
      <c r="BI5" s="243">
        <f>SUM(Start:Stop!BI5)</f>
        <v>0</v>
      </c>
      <c r="BJ5" s="244" t="s">
        <v>52</v>
      </c>
      <c r="BK5" s="245">
        <f>SUM(Start:Stop!BK5)</f>
        <v>0</v>
      </c>
      <c r="BL5" s="246" t="s">
        <v>53</v>
      </c>
      <c r="BM5" s="244">
        <f>SUM(Start:Stop!BM5)</f>
        <v>0</v>
      </c>
      <c r="BN5" s="245" t="s">
        <v>54</v>
      </c>
      <c r="BO5" s="246">
        <f>SUM(Start:Stop!BO5)</f>
        <v>0</v>
      </c>
      <c r="BP5" s="244" t="s">
        <v>52</v>
      </c>
      <c r="BQ5" s="245">
        <f>SUM(Start:Stop!BQ5)</f>
        <v>0</v>
      </c>
      <c r="BR5" s="246" t="s">
        <v>53</v>
      </c>
      <c r="BS5" s="244">
        <f>SUM(Start:Stop!BS5)</f>
        <v>0</v>
      </c>
      <c r="BT5" s="245" t="s">
        <v>54</v>
      </c>
      <c r="BU5" s="246">
        <f>SUM(Start:Stop!BU5)</f>
        <v>0</v>
      </c>
      <c r="BV5" s="244" t="s">
        <v>52</v>
      </c>
      <c r="BW5" s="245">
        <f>SUM(Start:Stop!BW5)</f>
        <v>0</v>
      </c>
      <c r="BX5" s="246" t="s">
        <v>53</v>
      </c>
      <c r="BY5" s="244">
        <f>SUM(Start:Stop!BY5)</f>
        <v>0</v>
      </c>
      <c r="BZ5" s="245" t="s">
        <v>54</v>
      </c>
      <c r="CA5" s="246">
        <f>SUM(Start:Stop!CA5)</f>
        <v>0</v>
      </c>
      <c r="CB5" s="244" t="s">
        <v>52</v>
      </c>
      <c r="CC5" s="245">
        <f>SUM(Start:Stop!CC5)</f>
        <v>0</v>
      </c>
      <c r="CD5" s="246" t="s">
        <v>53</v>
      </c>
      <c r="CE5" s="244">
        <f>SUM(Start:Stop!CE5)</f>
        <v>0</v>
      </c>
      <c r="CF5" s="245" t="s">
        <v>54</v>
      </c>
      <c r="CG5" s="246">
        <f>SUM(Start:Stop!CG5)</f>
        <v>0</v>
      </c>
      <c r="CH5" s="244" t="s">
        <v>52</v>
      </c>
      <c r="CI5" s="247">
        <f>SUM(Start:Stop!CI5)</f>
        <v>0</v>
      </c>
      <c r="CJ5" s="140">
        <f>SUM(Start:Stop!CJ5)</f>
        <v>1</v>
      </c>
      <c r="CK5" s="148">
        <f>SUM(Start:Stop!CK5)</f>
        <v>4</v>
      </c>
      <c r="CL5" s="148">
        <f>SUM(Start:Stop!CL5)</f>
        <v>1</v>
      </c>
      <c r="CM5" s="148">
        <f>SUM(Start:Stop!CM5)</f>
        <v>2</v>
      </c>
      <c r="CN5" s="148">
        <f>SUM(Start:Stop!CN5)</f>
        <v>5</v>
      </c>
      <c r="CO5" s="175">
        <f>SUM(Start:Stop!CO5)</f>
        <v>5</v>
      </c>
      <c r="CP5" s="140">
        <f>SUM(Start:Stop!CP5)</f>
        <v>5</v>
      </c>
      <c r="CQ5" s="140">
        <f>SUM(Start:Stop!CQ5)</f>
        <v>1</v>
      </c>
      <c r="CR5" s="148">
        <f>SUM(Start:Stop!CR5)</f>
        <v>0</v>
      </c>
      <c r="CS5" s="148">
        <f>SUM(Start:Stop!CS5)</f>
        <v>3</v>
      </c>
      <c r="CT5" s="140">
        <f>SUM(Start:Stop!CT5)</f>
        <v>0</v>
      </c>
      <c r="CU5" s="140">
        <f>SUM(Start:Stop!CU5)</f>
        <v>0</v>
      </c>
      <c r="CV5" s="148">
        <f>SUM(Start:Stop!CV5)</f>
        <v>7</v>
      </c>
      <c r="CW5" s="140"/>
      <c r="CX5" s="164">
        <f t="shared" ref="CX5:CX18" si="34">IFERROR(100*(EH5/EG5),"0")</f>
        <v>99.776340939907442</v>
      </c>
      <c r="CY5" s="147">
        <f t="shared" ref="CY5:CY18" si="35">IFERROR(DU5/EG5,"0")</f>
        <v>0.42336228657952163</v>
      </c>
      <c r="CZ5" s="165">
        <f t="shared" ref="CZ5:CZ18" si="36">IFERROR((EG5/(EG26*DD5)),"0")</f>
        <v>0.13719920115939721</v>
      </c>
      <c r="DA5" s="164">
        <f t="shared" ref="DA5:DA18" si="37">IFERROR(ES5+0.2*(100*ET5*(1-ER5)-ES5),"0")</f>
        <v>93.064097167992088</v>
      </c>
      <c r="DB5" s="148">
        <f t="shared" ref="DB5:DB18" si="38">CX5-DA5</f>
        <v>6.7122437719153538</v>
      </c>
      <c r="DC5" s="147">
        <f t="shared" ref="DC5:DC18" si="39">CV5/D5</f>
        <v>0.24644994718929703</v>
      </c>
      <c r="DD5" s="77">
        <f>IFERROR(D5/($D$21/10),"0")</f>
        <v>0.39906147260755132</v>
      </c>
      <c r="DE5" s="37">
        <f t="shared" ref="DE5:DE18" si="40">IFERROR(E5/G5,"0")</f>
        <v>0.3</v>
      </c>
      <c r="DF5" s="37">
        <f t="shared" ref="DF5:DF18" si="41">IFERROR(W5/Y5,"0")</f>
        <v>0.2</v>
      </c>
      <c r="DG5" s="536">
        <f t="shared" ref="DG5:DG18" si="42">IFERROR(((E5-W5)+1.5*W5)/G5,"0")</f>
        <v>0.35</v>
      </c>
      <c r="DH5" s="64">
        <f>IFERROR(CJ5/(DD5*(CJ26+CK41)),"0")</f>
        <v>2.8475904449968528E-2</v>
      </c>
      <c r="DI5" s="64">
        <f>IFERROR(CK5/(DD5*(CK26+CJ41)),"0")</f>
        <v>0.11792374548692849</v>
      </c>
      <c r="DJ5" s="64">
        <f>IFERROR(CU5/(DD5*(M41)),"0")</f>
        <v>0</v>
      </c>
      <c r="DK5" s="64">
        <f t="shared" ref="DK5:DK18" si="43">IFERROR(CS5/(DD5*EG26),"0")</f>
        <v>3.9698467423540558E-2</v>
      </c>
      <c r="DL5" s="64">
        <f>IFERROR(CO5/(DD5*(E26-E5)),"0")</f>
        <v>0.15859997415172344</v>
      </c>
      <c r="DM5" s="64">
        <f t="shared" ref="DM5:DM18" si="44">IFERROR((CO5+CP5)/(DD5*EG26),"0")</f>
        <v>0.1323282247451352</v>
      </c>
      <c r="DN5" s="64">
        <f>IFERROR(CT5/EG5,"0")</f>
        <v>0</v>
      </c>
      <c r="DO5" s="37" t="str">
        <f t="shared" ref="DO5:DO18" si="45">IFERROR(CO5/CT5,"0")</f>
        <v>0</v>
      </c>
      <c r="DP5" s="66">
        <f t="shared" ref="DP5:DP18" si="46">IFERROR((40/D5)*CQ5,"0")</f>
        <v>1.4082854125102688</v>
      </c>
      <c r="DQ5" s="78">
        <f t="shared" ref="DQ5:DQ18" si="47">IFERROR((40/D5)*CR5,"0")</f>
        <v>0</v>
      </c>
      <c r="DR5" s="6"/>
      <c r="DS5" s="36"/>
      <c r="DT5" s="533">
        <f>IFERROR(((E5*85.91)+(CS5*53.897)+(W5*51.757)+(EX5*46.845)+(CU5*39.19)+(CJ5*39.19)+(CO5*34.677)+(CK5*14.707)-(CQ5*17.174)-((EY5-EX5)*20.091)-((G5-E5)*39.19)-(CT5*53.897))*(1/D5),"0")</f>
        <v>15.881128975472363</v>
      </c>
      <c r="DU5" s="18">
        <f t="shared" ref="DU5:DU20" si="48">IFERROR((DV5+DX5+DY5)*(1-(CJ26/EZ26)*EA5*EC5)+ED5,"0")</f>
        <v>4.3894617064196311</v>
      </c>
      <c r="DV5" s="13">
        <f t="shared" ref="DV5:DV20" si="49">IFERROR(E5*(1-0.5*((CV5-EX5)/(2*G5))*DW5),"0")</f>
        <v>2.7388059248639793</v>
      </c>
      <c r="DW5" s="14">
        <f t="shared" ref="DW5:DW19" si="50">IFERROR(((D5/(D26/5))*(1.14*((CO26-CO5)/E26)))+((((CO26/D26)*D5*5-CO5)/((E26/D26)*D5*5-E5))*(1-(D5/(D26/5)))),"0")</f>
        <v>0.49751252406861113</v>
      </c>
      <c r="DX5" s="14">
        <f t="shared" ref="DX5:DX20" si="51">IFERROR(0.5*(((CV26-EX26)-(CV5-EX5))/(2*(G26-G5)))*CO5,"0")</f>
        <v>1.4952531645569622</v>
      </c>
      <c r="DY5" s="14" t="str">
        <f t="shared" ref="DY5:DY20" si="52">IFERROR((1-(1-(EX5/EY5))^2)*0.4*EY5,"0")</f>
        <v>0</v>
      </c>
      <c r="DZ5" s="15">
        <f>IFERROR(E26+(1-(1-(EX26/EY26))^2)*EY26*0.4,"0")</f>
        <v>90.692869565217393</v>
      </c>
      <c r="EA5" s="14">
        <f t="shared" ref="EA5:EA20" si="53">IFERROR(((1-EB5)*EC5)/((1-EB5)*EC5+EB5*(1-EC5)),"0")</f>
        <v>0.8313678936568254</v>
      </c>
      <c r="EB5" s="14">
        <f t="shared" ref="EB5:EB20" si="54">IFERROR(CJ26/(CJ26+(CN41-CJ41)),"0")</f>
        <v>0.13636363636363635</v>
      </c>
      <c r="EC5" s="14">
        <f t="shared" ref="EC5:EC20" si="55">IFERROR(DZ5/((G26+(EY26*0.4))+CT26),"0")</f>
        <v>0.43770689944602992</v>
      </c>
      <c r="ED5" s="14">
        <f t="shared" ref="ED5:ED20" si="56">IFERROR(CJ5*EA5*EC5,"0")</f>
        <v>0.36389546303150577</v>
      </c>
      <c r="EE5" s="19">
        <f t="shared" ref="EE5:EE20" si="57">IFERROR((G5-E5)*(1-1.07*EB5),"0")</f>
        <v>5.9786363636363635</v>
      </c>
      <c r="EF5" s="67" t="str">
        <f t="shared" ref="EF5:EF20" si="58">IFERROR(((1-(EX5/EY5))^2)*0.4*EY5,"0")</f>
        <v>0</v>
      </c>
      <c r="EG5" s="74">
        <f t="shared" ref="EG5:EG20" si="59">SUM(CT5+DU5+EE5+EF5)</f>
        <v>10.368098070055995</v>
      </c>
      <c r="EH5" s="27">
        <f>IFERROR((EI5+EJ5+EX5)*(1-(CJ26/DZ5)*EA5*EC5)+EK5,"0")</f>
        <v>10.344908879363032</v>
      </c>
      <c r="EI5" s="25">
        <f t="shared" si="8"/>
        <v>6.3905471580159512</v>
      </c>
      <c r="EJ5" s="25">
        <f t="shared" ref="EJ5:EJ20" si="60">IFERROR(2*((E26-E5+0.5*(W26-W5))/(E26-E5))*0.5*(((CV26-EX26)-(CV5-EX5))/(2*(G26-G5)))*CO5,"0")</f>
        <v>3.5772512417881752</v>
      </c>
      <c r="EK5" s="26">
        <f t="shared" ref="EK5:EK20" si="61">IFERROR(CJ5*EA5*EC5*(CV26/(E26+(1-(1-(EX26/EY26))^2)*0.4*EY26)),"0")</f>
        <v>0.85704721083541469</v>
      </c>
      <c r="EL5" s="29">
        <f t="shared" ref="EL5:EL20" si="62">IFERROR((EN5*(1-EM5))/(EN5*(1-EM5)+(1-EN5)*EM5),"0")</f>
        <v>0.68147778332501241</v>
      </c>
      <c r="EM5" s="30">
        <f t="shared" ref="EM5:EM20" si="63">IFERROR(CJ41/(CJ41+CK26),"0")</f>
        <v>0.25882352941176473</v>
      </c>
      <c r="EN5" s="30">
        <f t="shared" ref="EN5:EN20" si="64">IFERROR(E41/G41,"0")</f>
        <v>0.42763157894736842</v>
      </c>
      <c r="EO5" s="31">
        <f t="shared" ref="EO5:EO20" si="65">IFERROR(CS5+CU5*EL5*(1-1.07*EM5)+CK5*(1-EL5),"0")</f>
        <v>4.2740888666999499</v>
      </c>
      <c r="EP5" s="31">
        <f t="shared" ref="EP5:EP20" si="66">IFERROR((((G41-E41-CU26)/D26)*EL5*(1-1.07*EM5)+((CT41-CS26)/D26))*D5+(CQ5/CQ26)*0.4*EY41*(1-(EX41/EY41))^2,"0")</f>
        <v>4.7312879280802402</v>
      </c>
      <c r="EQ5" s="31">
        <f t="shared" ref="EQ5:EQ20" si="67">IFERROR(EO5+EP5,"0")</f>
        <v>9.0053767947801902</v>
      </c>
      <c r="ER5" s="93">
        <f t="shared" ref="ER5:ER20" si="68">IFERROR((EQ5*D41)/(EG26*D5),"0")</f>
        <v>0.59583276220714909</v>
      </c>
      <c r="ES5" s="109">
        <f t="shared" ref="ES5:ES20" si="69">IFERROR(100*(CV41/EG26),"0")</f>
        <v>92.121979380800298</v>
      </c>
      <c r="ET5" s="32">
        <f t="shared" ref="ET5:ET20" si="70">IFERROR(CV41/(E41+(1-(1-(EX41/EY41))^2)*EY41*0.4),"0")</f>
        <v>2.3958539748436802</v>
      </c>
      <c r="EV5" s="275"/>
      <c r="EW5" s="276"/>
      <c r="EX5" s="37">
        <f>AC5</f>
        <v>0</v>
      </c>
      <c r="EY5" s="72">
        <f t="shared" ref="EY5:EY18" si="71">AE5</f>
        <v>0</v>
      </c>
      <c r="EZ5" s="7">
        <v>0.75</v>
      </c>
      <c r="FB5" s="41"/>
      <c r="FC5" s="139"/>
      <c r="FD5" s="423" t="s">
        <v>82</v>
      </c>
      <c r="FE5" s="41" t="s">
        <v>234</v>
      </c>
      <c r="FF5" s="164">
        <f t="shared" si="15"/>
        <v>28.403333333333332</v>
      </c>
      <c r="FG5" s="144">
        <f t="shared" si="16"/>
        <v>3</v>
      </c>
      <c r="FH5" s="265" t="s">
        <v>52</v>
      </c>
      <c r="FI5" s="145">
        <f t="shared" ref="FI5:FI23" si="72">G5</f>
        <v>10</v>
      </c>
      <c r="FJ5" s="194">
        <f t="shared" ref="FJ5:FJ23" si="73">IFERROR(FG5/FI5,"0")</f>
        <v>0.3</v>
      </c>
      <c r="FK5" s="110">
        <f t="shared" si="17"/>
        <v>1</v>
      </c>
      <c r="FL5" s="265" t="s">
        <v>52</v>
      </c>
      <c r="FM5" s="168">
        <f t="shared" si="18"/>
        <v>5</v>
      </c>
      <c r="FN5" s="194">
        <f t="shared" si="19"/>
        <v>0.2</v>
      </c>
      <c r="FO5" s="262">
        <f t="shared" ref="FO5:FO18" si="74">EV5</f>
        <v>0</v>
      </c>
      <c r="FP5" s="419" t="s">
        <v>52</v>
      </c>
      <c r="FQ5" s="274">
        <f t="shared" ref="FQ5:FQ18" si="75">EW5</f>
        <v>0</v>
      </c>
      <c r="FR5" s="197" t="str">
        <f t="shared" ref="FR5:FR23" si="76">IFERROR(FO5/FQ5,"0")</f>
        <v>0</v>
      </c>
      <c r="FS5" s="140">
        <f t="shared" si="20"/>
        <v>1</v>
      </c>
      <c r="FT5" s="140">
        <f t="shared" si="21"/>
        <v>4</v>
      </c>
      <c r="FU5" s="140">
        <f t="shared" si="22"/>
        <v>5</v>
      </c>
      <c r="FV5" s="175">
        <f t="shared" si="22"/>
        <v>5</v>
      </c>
      <c r="FW5" s="140">
        <f t="shared" si="22"/>
        <v>5</v>
      </c>
      <c r="FX5" s="140">
        <f t="shared" si="22"/>
        <v>1</v>
      </c>
      <c r="FY5" s="140">
        <f t="shared" si="22"/>
        <v>0</v>
      </c>
      <c r="FZ5" s="140">
        <f t="shared" si="22"/>
        <v>3</v>
      </c>
      <c r="GA5" s="140">
        <f t="shared" si="22"/>
        <v>0</v>
      </c>
      <c r="GB5" s="140">
        <f t="shared" si="22"/>
        <v>0</v>
      </c>
      <c r="GC5" s="192">
        <f t="shared" ref="GC5:GC23" si="77">((FK5*3)+((FG5-FK5)*2)+FO5)</f>
        <v>7</v>
      </c>
      <c r="GD5" s="201">
        <f t="shared" ref="GD5:GG18" si="78">CX5</f>
        <v>99.776340939907442</v>
      </c>
      <c r="GE5" s="147">
        <f>CY5</f>
        <v>0.42336228657952163</v>
      </c>
      <c r="GF5" s="147">
        <f t="shared" si="78"/>
        <v>0.13719920115939721</v>
      </c>
      <c r="GG5" s="259">
        <f>DA5</f>
        <v>93.064097167992088</v>
      </c>
      <c r="GH5" s="192">
        <f t="shared" ref="GH5:GH18" si="79">GD5-GG5</f>
        <v>6.7122437719153538</v>
      </c>
      <c r="GI5" s="161">
        <f t="shared" si="23"/>
        <v>0.24644994718929703</v>
      </c>
      <c r="GJ5" s="82"/>
      <c r="GK5" s="24"/>
      <c r="GL5" s="366">
        <f t="shared" si="24"/>
        <v>0.26999999999999996</v>
      </c>
      <c r="GM5" s="366">
        <f>((E28/G28)*(1-(CJ28/(CJ28+CK27))))/((E28/G28)*(1-(CJ28/(CJ28+CK27)))+((1-(E28/G28)))*(CJ28/(CJ28+CK27)))</f>
        <v>0.74860335195530736</v>
      </c>
      <c r="GN5" s="370">
        <f>GK5+(GL5/10)+(GJ5*GM5*(1-(CJ28/(CJ28+CK27))))+(CK5*(1-GM5))</f>
        <v>1.0325865921787705</v>
      </c>
      <c r="GO5" s="371">
        <f>GN5/(DD5*EG28)</f>
        <v>1.5212116542561424E-2</v>
      </c>
      <c r="GP5" s="46"/>
      <c r="GQ5" s="383">
        <f t="shared" ref="GQ5:GQ16" si="80">FM5/FI5</f>
        <v>0.5</v>
      </c>
      <c r="GR5" s="385">
        <f t="shared" ref="GR5:GR16" si="81">FM5/FF5</f>
        <v>0.17603567656378361</v>
      </c>
      <c r="GS5" s="389" t="s">
        <v>148</v>
      </c>
      <c r="GT5" s="120">
        <v>124.86783730154269</v>
      </c>
      <c r="GU5" s="147"/>
      <c r="GV5" s="160" t="s">
        <v>189</v>
      </c>
      <c r="GW5" s="399">
        <v>0.26276542248543316</v>
      </c>
      <c r="GX5" s="160" t="s">
        <v>148</v>
      </c>
      <c r="GY5" s="147">
        <v>1.4235294117647059</v>
      </c>
      <c r="GZ5" s="147"/>
      <c r="HA5" s="405" t="s">
        <v>148</v>
      </c>
      <c r="HB5" s="147">
        <v>0.69411764705882351</v>
      </c>
      <c r="HC5" s="139"/>
      <c r="HD5" s="416" t="s">
        <v>143</v>
      </c>
      <c r="HE5" s="164">
        <v>25.09888593407884</v>
      </c>
      <c r="HF5" s="164"/>
      <c r="HG5" s="41" t="s">
        <v>174</v>
      </c>
      <c r="HH5" s="28">
        <f t="shared" si="25"/>
        <v>1</v>
      </c>
      <c r="HI5" s="28">
        <f t="shared" si="26"/>
        <v>0.66666666666666663</v>
      </c>
      <c r="HJ5" s="28">
        <f t="shared" si="27"/>
        <v>0.6</v>
      </c>
      <c r="HK5" s="58"/>
      <c r="HL5" s="41"/>
      <c r="HM5" s="90">
        <f t="shared" si="28"/>
        <v>10.26692570367222</v>
      </c>
      <c r="HN5" s="6"/>
      <c r="HO5" s="37"/>
      <c r="HQ5" s="6" t="e">
        <f t="shared" si="29"/>
        <v>#DIV/0!</v>
      </c>
      <c r="HR5" s="6" t="e">
        <f t="shared" si="30"/>
        <v>#DIV/0!</v>
      </c>
      <c r="HS5" s="41"/>
      <c r="HT5" s="396">
        <v>2</v>
      </c>
      <c r="HU5" s="397" t="s">
        <v>143</v>
      </c>
      <c r="HV5" s="395">
        <v>11.878503740832258</v>
      </c>
      <c r="HX5" s="24"/>
      <c r="HY5" s="228"/>
      <c r="HZ5" s="37"/>
      <c r="IA5" s="24"/>
      <c r="IC5" s="6"/>
      <c r="IE5" s="41" t="s">
        <v>142</v>
      </c>
      <c r="IF5" s="6">
        <v>0.83707532726725142</v>
      </c>
      <c r="IJ5" s="24"/>
      <c r="IK5" s="12" t="s">
        <v>149</v>
      </c>
      <c r="IL5" s="250">
        <v>35</v>
      </c>
      <c r="IM5" s="36">
        <v>14</v>
      </c>
      <c r="IN5" s="326">
        <f t="shared" si="31"/>
        <v>0.7142857142857143</v>
      </c>
      <c r="IO5" s="323"/>
      <c r="IP5" s="24"/>
      <c r="IQ5" s="41" t="s">
        <v>140</v>
      </c>
      <c r="IR5" s="64">
        <f t="shared" si="32"/>
        <v>0.13719920115939721</v>
      </c>
      <c r="IS5" s="66">
        <f t="shared" si="33"/>
        <v>99.776340939907442</v>
      </c>
      <c r="IV5" s="41"/>
      <c r="IW5" s="64"/>
    </row>
    <row r="6" spans="1:258" ht="17" thickBot="1" x14ac:dyDescent="0.25">
      <c r="A6" s="139"/>
      <c r="B6" s="89" t="s">
        <v>82</v>
      </c>
      <c r="C6" s="41" t="s">
        <v>207</v>
      </c>
      <c r="D6" s="308">
        <f>SUM(Start:Stop!D6)</f>
        <v>32.006666666666668</v>
      </c>
      <c r="E6" s="114">
        <f>SUM(Start:Stop!E6)</f>
        <v>5</v>
      </c>
      <c r="F6" s="339" t="s">
        <v>52</v>
      </c>
      <c r="G6" s="115">
        <f>SUM(Start:Stop!G6)</f>
        <v>12</v>
      </c>
      <c r="H6" s="116" t="s">
        <v>53</v>
      </c>
      <c r="I6" s="339">
        <f>SUM(Start:Stop!I6)</f>
        <v>3</v>
      </c>
      <c r="J6" s="115" t="s">
        <v>54</v>
      </c>
      <c r="K6" s="116">
        <f>SUM(Start:Stop!K6)</f>
        <v>4</v>
      </c>
      <c r="L6" s="339" t="s">
        <v>52</v>
      </c>
      <c r="M6" s="115">
        <f>SUM(Start:Stop!M6)</f>
        <v>6</v>
      </c>
      <c r="N6" s="116" t="s">
        <v>53</v>
      </c>
      <c r="O6" s="339">
        <f>SUM(Start:Stop!O6)</f>
        <v>2</v>
      </c>
      <c r="P6" s="115" t="s">
        <v>54</v>
      </c>
      <c r="Q6" s="116">
        <f>SUM(Start:Stop!Q6)</f>
        <v>0</v>
      </c>
      <c r="R6" s="339" t="s">
        <v>52</v>
      </c>
      <c r="S6" s="115">
        <f>SUM(Start:Stop!S6)</f>
        <v>1</v>
      </c>
      <c r="T6" s="116" t="s">
        <v>53</v>
      </c>
      <c r="U6" s="339">
        <f>SUM(Start:Stop!U6)</f>
        <v>0</v>
      </c>
      <c r="V6" s="115" t="s">
        <v>54</v>
      </c>
      <c r="W6" s="116">
        <f>SUM(Start:Stop!W6)</f>
        <v>1</v>
      </c>
      <c r="X6" s="339" t="s">
        <v>52</v>
      </c>
      <c r="Y6" s="115">
        <f>SUM(Start:Stop!Y6)</f>
        <v>5</v>
      </c>
      <c r="Z6" s="116" t="s">
        <v>53</v>
      </c>
      <c r="AA6" s="339">
        <f>SUM(Start:Stop!AA6)</f>
        <v>1</v>
      </c>
      <c r="AB6" s="115" t="s">
        <v>54</v>
      </c>
      <c r="AC6" s="329">
        <f>SUM(Start:Stop!AC6)</f>
        <v>1.4</v>
      </c>
      <c r="AD6" s="339" t="s">
        <v>52</v>
      </c>
      <c r="AE6" s="294">
        <f>SUM(Start:Stop!AE6)</f>
        <v>2</v>
      </c>
      <c r="AF6" s="226"/>
      <c r="AG6" s="243">
        <f>SUM(Start:Stop!AG6)</f>
        <v>4</v>
      </c>
      <c r="AH6" s="244" t="s">
        <v>52</v>
      </c>
      <c r="AI6" s="245">
        <f>SUM(Start:Stop!AI6)</f>
        <v>10</v>
      </c>
      <c r="AJ6" s="246" t="s">
        <v>53</v>
      </c>
      <c r="AK6" s="244">
        <f>SUM(Start:Stop!AK6)</f>
        <v>3</v>
      </c>
      <c r="AL6" s="245" t="s">
        <v>54</v>
      </c>
      <c r="AM6" s="246">
        <f>SUM(Start:Stop!AM6)</f>
        <v>3</v>
      </c>
      <c r="AN6" s="244" t="s">
        <v>52</v>
      </c>
      <c r="AO6" s="245">
        <f>SUM(Start:Stop!AO6)</f>
        <v>4</v>
      </c>
      <c r="AP6" s="246" t="s">
        <v>53</v>
      </c>
      <c r="AQ6" s="244">
        <f>SUM(Start:Stop!AQ6)</f>
        <v>2</v>
      </c>
      <c r="AR6" s="245" t="s">
        <v>54</v>
      </c>
      <c r="AS6" s="246">
        <f>SUM(Start:Stop!AS6)</f>
        <v>0</v>
      </c>
      <c r="AT6" s="244" t="s">
        <v>52</v>
      </c>
      <c r="AU6" s="245">
        <f>SUM(Start:Stop!AU6)</f>
        <v>1</v>
      </c>
      <c r="AV6" s="246" t="s">
        <v>53</v>
      </c>
      <c r="AW6" s="244">
        <f>SUM(Start:Stop!AW6)</f>
        <v>0</v>
      </c>
      <c r="AX6" s="245" t="s">
        <v>54</v>
      </c>
      <c r="AY6" s="246">
        <f>SUM(Start:Stop!AY6)</f>
        <v>1</v>
      </c>
      <c r="AZ6" s="244" t="s">
        <v>52</v>
      </c>
      <c r="BA6" s="245">
        <f>SUM(Start:Stop!BA6)</f>
        <v>5</v>
      </c>
      <c r="BB6" s="246" t="s">
        <v>53</v>
      </c>
      <c r="BC6" s="244">
        <f>SUM(Start:Stop!BC6)</f>
        <v>1</v>
      </c>
      <c r="BD6" s="245" t="s">
        <v>54</v>
      </c>
      <c r="BE6" s="246">
        <f>SUM(Start:Stop!BE6)</f>
        <v>0</v>
      </c>
      <c r="BF6" s="244" t="s">
        <v>52</v>
      </c>
      <c r="BG6" s="247">
        <f>SUM(Start:Stop!BG6)</f>
        <v>0</v>
      </c>
      <c r="BH6" s="115"/>
      <c r="BI6" s="243">
        <f>SUM(Start:Stop!BI6)</f>
        <v>1</v>
      </c>
      <c r="BJ6" s="244" t="s">
        <v>52</v>
      </c>
      <c r="BK6" s="245">
        <f>SUM(Start:Stop!BK6)</f>
        <v>2</v>
      </c>
      <c r="BL6" s="246" t="s">
        <v>53</v>
      </c>
      <c r="BM6" s="244">
        <f>SUM(Start:Stop!BM6)</f>
        <v>0</v>
      </c>
      <c r="BN6" s="245" t="s">
        <v>54</v>
      </c>
      <c r="BO6" s="246">
        <f>SUM(Start:Stop!BO6)</f>
        <v>1</v>
      </c>
      <c r="BP6" s="244" t="s">
        <v>52</v>
      </c>
      <c r="BQ6" s="245">
        <f>SUM(Start:Stop!BQ6)</f>
        <v>2</v>
      </c>
      <c r="BR6" s="246" t="s">
        <v>53</v>
      </c>
      <c r="BS6" s="244">
        <f>SUM(Start:Stop!BS6)</f>
        <v>0</v>
      </c>
      <c r="BT6" s="245" t="s">
        <v>54</v>
      </c>
      <c r="BU6" s="246">
        <f>SUM(Start:Stop!BU6)</f>
        <v>0</v>
      </c>
      <c r="BV6" s="244" t="s">
        <v>52</v>
      </c>
      <c r="BW6" s="245">
        <f>SUM(Start:Stop!BW6)</f>
        <v>0</v>
      </c>
      <c r="BX6" s="246" t="s">
        <v>53</v>
      </c>
      <c r="BY6" s="244">
        <f>SUM(Start:Stop!BY6)</f>
        <v>0</v>
      </c>
      <c r="BZ6" s="245" t="s">
        <v>54</v>
      </c>
      <c r="CA6" s="246">
        <f>SUM(Start:Stop!CA6)</f>
        <v>0</v>
      </c>
      <c r="CB6" s="244" t="s">
        <v>52</v>
      </c>
      <c r="CC6" s="245">
        <f>SUM(Start:Stop!CC6)</f>
        <v>0</v>
      </c>
      <c r="CD6" s="246" t="s">
        <v>53</v>
      </c>
      <c r="CE6" s="244">
        <f>SUM(Start:Stop!CE6)</f>
        <v>0</v>
      </c>
      <c r="CF6" s="245" t="s">
        <v>54</v>
      </c>
      <c r="CG6" s="246">
        <f>SUM(Start:Stop!CG6)</f>
        <v>0</v>
      </c>
      <c r="CH6" s="244" t="s">
        <v>52</v>
      </c>
      <c r="CI6" s="247">
        <f>SUM(Start:Stop!CI6)</f>
        <v>0</v>
      </c>
      <c r="CJ6" s="140">
        <f>SUM(Start:Stop!CJ6)</f>
        <v>1</v>
      </c>
      <c r="CK6" s="148">
        <f>SUM(Start:Stop!CK6)</f>
        <v>4</v>
      </c>
      <c r="CL6" s="148">
        <f>SUM(Start:Stop!CL6)</f>
        <v>1</v>
      </c>
      <c r="CM6" s="148">
        <f>SUM(Start:Stop!CM6)</f>
        <v>3</v>
      </c>
      <c r="CN6" s="148">
        <f>SUM(Start:Stop!CN6)</f>
        <v>5</v>
      </c>
      <c r="CO6" s="175">
        <f>SUM(Start:Stop!CO6)</f>
        <v>2</v>
      </c>
      <c r="CP6" s="140">
        <f>SUM(Start:Stop!CP6)</f>
        <v>1</v>
      </c>
      <c r="CQ6" s="140">
        <f>SUM(Start:Stop!CQ6)</f>
        <v>1</v>
      </c>
      <c r="CR6" s="148">
        <f>SUM(Start:Stop!CR6)</f>
        <v>2</v>
      </c>
      <c r="CS6" s="148">
        <f>SUM(Start:Stop!CS6)</f>
        <v>4</v>
      </c>
      <c r="CT6" s="140">
        <f>SUM(Start:Stop!CT6)</f>
        <v>2</v>
      </c>
      <c r="CU6" s="140">
        <f>SUM(Start:Stop!CU6)</f>
        <v>0</v>
      </c>
      <c r="CV6" s="148">
        <f>SUM(Start:Stop!CV6)</f>
        <v>12.4</v>
      </c>
      <c r="CW6" s="140"/>
      <c r="CX6" s="164">
        <f>IFERROR(100*(EH6/EG6),"0")</f>
        <v>90.14882515520037</v>
      </c>
      <c r="CY6" s="147">
        <f t="shared" si="35"/>
        <v>0.40886052489004082</v>
      </c>
      <c r="CZ6" s="165">
        <f t="shared" si="36"/>
        <v>0.16390676980189861</v>
      </c>
      <c r="DA6" s="164">
        <f t="shared" si="37"/>
        <v>104.93008814123958</v>
      </c>
      <c r="DB6" s="148">
        <f t="shared" si="38"/>
        <v>-14.781262986039209</v>
      </c>
      <c r="DC6" s="147">
        <f t="shared" si="39"/>
        <v>0.38741928764840661</v>
      </c>
      <c r="DD6" s="77">
        <f t="shared" ref="DD6:DD18" si="82">IFERROR(D6/($D$21/10),"0")</f>
        <v>0.44968762586289263</v>
      </c>
      <c r="DE6" s="37">
        <f t="shared" si="40"/>
        <v>0.41666666666666669</v>
      </c>
      <c r="DF6" s="37">
        <f t="shared" si="41"/>
        <v>0.2</v>
      </c>
      <c r="DG6" s="536">
        <f t="shared" si="42"/>
        <v>0.45833333333333331</v>
      </c>
      <c r="DH6" s="64">
        <f t="shared" ref="DH6:DH18" si="83">IFERROR(CJ6/(DD6*(CJ27+CK42)),"0")</f>
        <v>2.6161951554210517E-2</v>
      </c>
      <c r="DI6" s="64">
        <f t="shared" ref="DI6:DI18" si="84">IFERROR(CK6/(DD6*(CK27+CJ42)),"0")</f>
        <v>0.10108026736854063</v>
      </c>
      <c r="DJ6" s="64">
        <f t="shared" ref="DJ6:DJ18" si="85">IFERROR(CU6/(DD6*(M42)),"0")</f>
        <v>0</v>
      </c>
      <c r="DK6" s="64">
        <f t="shared" si="43"/>
        <v>4.8895286137299467E-2</v>
      </c>
      <c r="DL6" s="64">
        <f t="shared" ref="DL6:DL18" si="86">IFERROR(CO6/(DD6*(E27-E6)),"0")</f>
        <v>6.7386844912360425E-2</v>
      </c>
      <c r="DM6" s="64">
        <f t="shared" si="44"/>
        <v>3.6671464602974602E-2</v>
      </c>
      <c r="DN6" s="64">
        <f t="shared" ref="DN6:DN18" si="87">IFERROR(CT6/EG6,"0")</f>
        <v>0.14915578592755932</v>
      </c>
      <c r="DO6" s="37">
        <f t="shared" si="45"/>
        <v>1</v>
      </c>
      <c r="DP6" s="66">
        <f t="shared" si="46"/>
        <v>1.249739637575505</v>
      </c>
      <c r="DQ6" s="78">
        <f t="shared" si="47"/>
        <v>2.49947927515101</v>
      </c>
      <c r="DR6" s="6"/>
      <c r="DS6" s="36"/>
      <c r="DT6" s="533">
        <f t="shared" ref="DT6:DT17" si="88">IFERROR(((E6*85.91)+(CS6*53.897)+(W6*51.757)+(EX6*46.845)+(CU6*39.19)+(CJ6*39.19)+(CO6*34.677)+(CK6*14.707)-(CQ6*17.174)-((EY6-EX6)*20.091)-((G6-E6)*39.19)-(CT6*53.897))*(1/D6),"0")</f>
        <v>16.199668818996038</v>
      </c>
      <c r="DU6" s="18">
        <f>IFERROR((DV6+DX6+DY6)*(1-(CJ27/EZ27)*EA6*EC6)+ED6,"0")</f>
        <v>5.4823287255998583</v>
      </c>
      <c r="DV6" s="13">
        <f t="shared" si="49"/>
        <v>4.1796114461030509</v>
      </c>
      <c r="DW6" s="14">
        <f t="shared" si="50"/>
        <v>0.71597546521915567</v>
      </c>
      <c r="DX6" s="14">
        <f t="shared" si="51"/>
        <v>0.5547945205479452</v>
      </c>
      <c r="DY6" s="14">
        <f t="shared" si="52"/>
        <v>0.72799999999999998</v>
      </c>
      <c r="DZ6" s="15">
        <f t="shared" ref="DZ6:DZ20" si="89">IFERROR(E27+(1-(1-(EX27/EY27))^2)*EY27*0.4,"0")</f>
        <v>78.96114285714286</v>
      </c>
      <c r="EA6" s="14">
        <f t="shared" si="53"/>
        <v>0.78126626475862426</v>
      </c>
      <c r="EB6" s="14">
        <f t="shared" si="54"/>
        <v>0.15294117647058825</v>
      </c>
      <c r="EC6" s="14">
        <f t="shared" si="55"/>
        <v>0.39206128528869344</v>
      </c>
      <c r="ED6" s="14">
        <f t="shared" si="56"/>
        <v>0.30630425591396288</v>
      </c>
      <c r="EE6" s="19">
        <f t="shared" si="57"/>
        <v>5.8544705882352934</v>
      </c>
      <c r="EF6" s="67">
        <f t="shared" si="58"/>
        <v>7.2000000000000022E-2</v>
      </c>
      <c r="EG6" s="74">
        <f t="shared" si="59"/>
        <v>13.40879931383515</v>
      </c>
      <c r="EH6" s="27">
        <f>IFERROR((EI6+EJ6+EX6)*(1-(CJ27/DZ6)*EA6*EC6)+EK6,"0")</f>
        <v>12.087875048840957</v>
      </c>
      <c r="EI6" s="25">
        <f t="shared" si="8"/>
        <v>9.195145181426712</v>
      </c>
      <c r="EJ6" s="25">
        <f t="shared" si="60"/>
        <v>1.3617683686176838</v>
      </c>
      <c r="EK6" s="26">
        <f t="shared" si="61"/>
        <v>0.73394030433133906</v>
      </c>
      <c r="EL6" s="29">
        <f t="shared" si="62"/>
        <v>0.7381849811539577</v>
      </c>
      <c r="EM6" s="30">
        <f t="shared" si="63"/>
        <v>0.23863636363636365</v>
      </c>
      <c r="EN6" s="30">
        <f t="shared" si="64"/>
        <v>0.46913580246913578</v>
      </c>
      <c r="EO6" s="31">
        <f t="shared" si="65"/>
        <v>5.0472600753841697</v>
      </c>
      <c r="EP6" s="31">
        <f t="shared" si="66"/>
        <v>5.2326588188877752</v>
      </c>
      <c r="EQ6" s="31">
        <f t="shared" si="67"/>
        <v>10.279918894271944</v>
      </c>
      <c r="ER6" s="93">
        <f t="shared" si="68"/>
        <v>0.6282994697545724</v>
      </c>
      <c r="ES6" s="109">
        <f t="shared" si="69"/>
        <v>109.30588204709967</v>
      </c>
      <c r="ET6" s="32">
        <f t="shared" si="70"/>
        <v>2.3520793058883371</v>
      </c>
      <c r="EV6" s="275"/>
      <c r="EW6" s="276"/>
      <c r="EX6" s="37">
        <f t="shared" ref="EX6:EX18" si="90">AC6</f>
        <v>1.4</v>
      </c>
      <c r="EY6" s="72">
        <f t="shared" si="71"/>
        <v>2</v>
      </c>
      <c r="EZ6" s="7">
        <v>0.7</v>
      </c>
      <c r="FB6" s="57"/>
      <c r="FC6" s="178"/>
      <c r="FD6" s="216" t="s">
        <v>82</v>
      </c>
      <c r="FE6" s="180" t="s">
        <v>235</v>
      </c>
      <c r="FF6" s="393">
        <f t="shared" si="15"/>
        <v>32.006666666666668</v>
      </c>
      <c r="FG6" s="182">
        <f t="shared" si="16"/>
        <v>5</v>
      </c>
      <c r="FH6" s="183" t="s">
        <v>52</v>
      </c>
      <c r="FI6" s="184">
        <f t="shared" si="72"/>
        <v>12</v>
      </c>
      <c r="FJ6" s="193">
        <f t="shared" si="73"/>
        <v>0.41666666666666669</v>
      </c>
      <c r="FK6" s="185">
        <f t="shared" si="17"/>
        <v>1</v>
      </c>
      <c r="FL6" s="183" t="s">
        <v>52</v>
      </c>
      <c r="FM6" s="186">
        <f t="shared" si="18"/>
        <v>5</v>
      </c>
      <c r="FN6" s="193">
        <f t="shared" si="19"/>
        <v>0.2</v>
      </c>
      <c r="FO6" s="261">
        <f t="shared" si="74"/>
        <v>0</v>
      </c>
      <c r="FP6" s="183" t="s">
        <v>52</v>
      </c>
      <c r="FQ6" s="268">
        <f t="shared" si="75"/>
        <v>0</v>
      </c>
      <c r="FR6" s="196" t="str">
        <f t="shared" si="76"/>
        <v>0</v>
      </c>
      <c r="FS6" s="179">
        <f t="shared" si="20"/>
        <v>1</v>
      </c>
      <c r="FT6" s="179">
        <f t="shared" si="21"/>
        <v>4</v>
      </c>
      <c r="FU6" s="179">
        <f t="shared" si="22"/>
        <v>5</v>
      </c>
      <c r="FV6" s="187">
        <f t="shared" si="22"/>
        <v>2</v>
      </c>
      <c r="FW6" s="179">
        <f t="shared" si="22"/>
        <v>1</v>
      </c>
      <c r="FX6" s="179">
        <f t="shared" si="22"/>
        <v>1</v>
      </c>
      <c r="FY6" s="179">
        <f t="shared" si="22"/>
        <v>2</v>
      </c>
      <c r="FZ6" s="179">
        <f t="shared" si="22"/>
        <v>4</v>
      </c>
      <c r="GA6" s="179">
        <f t="shared" si="22"/>
        <v>2</v>
      </c>
      <c r="GB6" s="179">
        <f t="shared" si="22"/>
        <v>0</v>
      </c>
      <c r="GC6" s="191">
        <f t="shared" si="77"/>
        <v>11</v>
      </c>
      <c r="GD6" s="200">
        <f t="shared" si="78"/>
        <v>90.14882515520037</v>
      </c>
      <c r="GE6" s="181">
        <f t="shared" si="78"/>
        <v>0.40886052489004082</v>
      </c>
      <c r="GF6" s="181">
        <f t="shared" si="78"/>
        <v>0.16390676980189861</v>
      </c>
      <c r="GG6" s="258">
        <f t="shared" si="78"/>
        <v>104.93008814123958</v>
      </c>
      <c r="GH6" s="191">
        <f t="shared" si="79"/>
        <v>-14.781262986039209</v>
      </c>
      <c r="GI6" s="297">
        <f t="shared" si="23"/>
        <v>0.34367840033326391</v>
      </c>
      <c r="GJ6" s="82"/>
      <c r="GK6" s="24"/>
      <c r="GL6" s="366">
        <f t="shared" si="24"/>
        <v>0.2</v>
      </c>
      <c r="GM6" s="366">
        <f>((E30/G30)*(1-(CJ30/(CJ30+CK29))))/((E30/G30)*(1-(CJ30/(CJ30+CK29)))+((1-(E30/G30)))*(CJ30/(CJ30+CK29)))</f>
        <v>0.86355140186915891</v>
      </c>
      <c r="GN6" s="370">
        <f>GK6+(GL6/10)+(GJ6*GM6*(1-(CJ30/(CJ30+CK29))))+(CK6*(1-GM6))</f>
        <v>0.56579439252336439</v>
      </c>
      <c r="GO6" s="371">
        <f>GN6/(DD6*EG30)</f>
        <v>6.8854466606193647E-3</v>
      </c>
      <c r="GP6" s="46"/>
      <c r="GQ6" s="383">
        <f t="shared" si="80"/>
        <v>0.41666666666666669</v>
      </c>
      <c r="GR6" s="385">
        <f t="shared" si="81"/>
        <v>0.15621745469693812</v>
      </c>
      <c r="GS6" s="389" t="s">
        <v>190</v>
      </c>
      <c r="GT6" s="120">
        <v>122.84737795228283</v>
      </c>
      <c r="GU6" s="147"/>
      <c r="GV6" s="160" t="s">
        <v>141</v>
      </c>
      <c r="GW6" s="399">
        <v>0.24114150283437727</v>
      </c>
      <c r="GX6" s="160" t="s">
        <v>144</v>
      </c>
      <c r="GY6" s="147">
        <v>1.3559322033898304</v>
      </c>
      <c r="GZ6" s="147"/>
      <c r="HA6" s="405" t="s">
        <v>187</v>
      </c>
      <c r="HB6" s="147">
        <v>0.68131868131868134</v>
      </c>
      <c r="HC6" s="139"/>
      <c r="HD6" s="416" t="s">
        <v>141</v>
      </c>
      <c r="HE6" s="164">
        <v>22.65758721007348</v>
      </c>
      <c r="HF6" s="164"/>
      <c r="HG6" s="41" t="s">
        <v>119</v>
      </c>
      <c r="HH6" s="28">
        <f t="shared" si="25"/>
        <v>1.3333333333333333</v>
      </c>
      <c r="HI6" s="28">
        <f t="shared" si="26"/>
        <v>0</v>
      </c>
      <c r="HJ6" s="28">
        <f t="shared" si="27"/>
        <v>0.6</v>
      </c>
      <c r="HK6" s="33"/>
      <c r="HL6" s="41"/>
      <c r="HM6" s="90">
        <f t="shared" si="28"/>
        <v>11.082002049468777</v>
      </c>
      <c r="HN6" s="6"/>
      <c r="HO6" s="37"/>
      <c r="HQ6" s="6">
        <f t="shared" si="29"/>
        <v>3</v>
      </c>
      <c r="HR6" s="6">
        <f t="shared" si="30"/>
        <v>1.5</v>
      </c>
      <c r="HS6" s="41"/>
      <c r="HT6" s="396">
        <v>3</v>
      </c>
      <c r="HU6" s="397" t="s">
        <v>148</v>
      </c>
      <c r="HV6" s="395">
        <v>2.1878641424696355</v>
      </c>
      <c r="HX6" s="24"/>
      <c r="HY6" s="228"/>
      <c r="HZ6" s="37"/>
      <c r="IA6" s="24"/>
      <c r="IC6" s="6"/>
      <c r="IE6" s="41" t="s">
        <v>148</v>
      </c>
      <c r="IF6" s="6">
        <v>0.55071782853486773</v>
      </c>
      <c r="IJ6" s="24"/>
      <c r="IK6" s="12" t="s">
        <v>150</v>
      </c>
      <c r="IL6" s="250">
        <v>28</v>
      </c>
      <c r="IM6" s="58">
        <v>14</v>
      </c>
      <c r="IN6" s="326">
        <f t="shared" si="31"/>
        <v>0.66666666666666663</v>
      </c>
      <c r="IO6" s="323"/>
      <c r="IP6" s="24"/>
      <c r="IQ6" s="41" t="s">
        <v>141</v>
      </c>
      <c r="IR6" s="64">
        <f t="shared" si="32"/>
        <v>0.16390676980189861</v>
      </c>
      <c r="IS6" s="66">
        <f t="shared" si="33"/>
        <v>90.14882515520037</v>
      </c>
      <c r="IV6" s="41"/>
      <c r="IW6" s="64"/>
    </row>
    <row r="7" spans="1:258" ht="17" thickBot="1" x14ac:dyDescent="0.25">
      <c r="A7" s="139"/>
      <c r="B7" s="89" t="s">
        <v>82</v>
      </c>
      <c r="C7" s="41" t="s">
        <v>175</v>
      </c>
      <c r="D7" s="308">
        <f>SUM(Start:Stop!D7)</f>
        <v>54.423333333333339</v>
      </c>
      <c r="E7" s="114">
        <f>SUM(Start:Stop!E7)</f>
        <v>7</v>
      </c>
      <c r="F7" s="339" t="s">
        <v>52</v>
      </c>
      <c r="G7" s="115">
        <f>SUM(Start:Stop!G7)</f>
        <v>20</v>
      </c>
      <c r="H7" s="116" t="s">
        <v>53</v>
      </c>
      <c r="I7" s="339">
        <f>SUM(Start:Stop!I7)</f>
        <v>6</v>
      </c>
      <c r="J7" s="115" t="s">
        <v>54</v>
      </c>
      <c r="K7" s="116">
        <f>SUM(Start:Stop!K7)</f>
        <v>3</v>
      </c>
      <c r="L7" s="339" t="s">
        <v>52</v>
      </c>
      <c r="M7" s="115">
        <f>SUM(Start:Stop!M7)</f>
        <v>4</v>
      </c>
      <c r="N7" s="116" t="s">
        <v>53</v>
      </c>
      <c r="O7" s="339">
        <f>SUM(Start:Stop!O7)</f>
        <v>2</v>
      </c>
      <c r="P7" s="115" t="s">
        <v>54</v>
      </c>
      <c r="Q7" s="116">
        <f>SUM(Start:Stop!Q7)</f>
        <v>0</v>
      </c>
      <c r="R7" s="339" t="s">
        <v>52</v>
      </c>
      <c r="S7" s="115">
        <f>SUM(Start:Stop!S7)</f>
        <v>3</v>
      </c>
      <c r="T7" s="116" t="s">
        <v>53</v>
      </c>
      <c r="U7" s="339">
        <f>SUM(Start:Stop!U7)</f>
        <v>0</v>
      </c>
      <c r="V7" s="115" t="s">
        <v>54</v>
      </c>
      <c r="W7" s="116">
        <f>SUM(Start:Stop!W7)</f>
        <v>4</v>
      </c>
      <c r="X7" s="339" t="s">
        <v>52</v>
      </c>
      <c r="Y7" s="115">
        <f>SUM(Start:Stop!Y7)</f>
        <v>13</v>
      </c>
      <c r="Z7" s="116" t="s">
        <v>53</v>
      </c>
      <c r="AA7" s="339">
        <f>SUM(Start:Stop!AA7)</f>
        <v>4</v>
      </c>
      <c r="AB7" s="115" t="s">
        <v>54</v>
      </c>
      <c r="AC7" s="329">
        <f>SUM(Start:Stop!AC7)</f>
        <v>5.0999999999999996</v>
      </c>
      <c r="AD7" s="339" t="s">
        <v>52</v>
      </c>
      <c r="AE7" s="294">
        <f>SUM(Start:Stop!AE7)</f>
        <v>6</v>
      </c>
      <c r="AF7" s="226"/>
      <c r="AG7" s="243">
        <f>SUM(Start:Stop!AG7)</f>
        <v>5</v>
      </c>
      <c r="AH7" s="244" t="s">
        <v>52</v>
      </c>
      <c r="AI7" s="245">
        <f>SUM(Start:Stop!AI7)</f>
        <v>13</v>
      </c>
      <c r="AJ7" s="246" t="s">
        <v>53</v>
      </c>
      <c r="AK7" s="244">
        <f>SUM(Start:Stop!AK7)</f>
        <v>5</v>
      </c>
      <c r="AL7" s="245" t="s">
        <v>54</v>
      </c>
      <c r="AM7" s="246">
        <f>SUM(Start:Stop!AM7)</f>
        <v>1</v>
      </c>
      <c r="AN7" s="244" t="s">
        <v>52</v>
      </c>
      <c r="AO7" s="245">
        <f>SUM(Start:Stop!AO7)</f>
        <v>1</v>
      </c>
      <c r="AP7" s="246" t="s">
        <v>53</v>
      </c>
      <c r="AQ7" s="244">
        <f>SUM(Start:Stop!AQ7)</f>
        <v>1</v>
      </c>
      <c r="AR7" s="245" t="s">
        <v>54</v>
      </c>
      <c r="AS7" s="246">
        <f>SUM(Start:Stop!AS7)</f>
        <v>0</v>
      </c>
      <c r="AT7" s="244" t="s">
        <v>52</v>
      </c>
      <c r="AU7" s="245">
        <f>SUM(Start:Stop!AU7)</f>
        <v>3</v>
      </c>
      <c r="AV7" s="246" t="s">
        <v>53</v>
      </c>
      <c r="AW7" s="244">
        <f>SUM(Start:Stop!AW7)</f>
        <v>0</v>
      </c>
      <c r="AX7" s="245" t="s">
        <v>54</v>
      </c>
      <c r="AY7" s="246">
        <f>SUM(Start:Stop!AY7)</f>
        <v>4</v>
      </c>
      <c r="AZ7" s="244" t="s">
        <v>52</v>
      </c>
      <c r="BA7" s="245">
        <f>SUM(Start:Stop!BA7)</f>
        <v>9</v>
      </c>
      <c r="BB7" s="246" t="s">
        <v>53</v>
      </c>
      <c r="BC7" s="244">
        <f>SUM(Start:Stop!BC7)</f>
        <v>4</v>
      </c>
      <c r="BD7" s="245" t="s">
        <v>54</v>
      </c>
      <c r="BE7" s="246">
        <f>SUM(Start:Stop!BE7)</f>
        <v>0</v>
      </c>
      <c r="BF7" s="244" t="s">
        <v>52</v>
      </c>
      <c r="BG7" s="247">
        <f>SUM(Start:Stop!BG7)</f>
        <v>0</v>
      </c>
      <c r="BH7" s="115"/>
      <c r="BI7" s="243">
        <f>SUM(Start:Stop!BI7)</f>
        <v>2</v>
      </c>
      <c r="BJ7" s="244" t="s">
        <v>52</v>
      </c>
      <c r="BK7" s="245">
        <f>SUM(Start:Stop!BK7)</f>
        <v>7</v>
      </c>
      <c r="BL7" s="246" t="s">
        <v>53</v>
      </c>
      <c r="BM7" s="244">
        <f>SUM(Start:Stop!BM7)</f>
        <v>1</v>
      </c>
      <c r="BN7" s="245" t="s">
        <v>54</v>
      </c>
      <c r="BO7" s="246">
        <f>SUM(Start:Stop!BO7)</f>
        <v>2</v>
      </c>
      <c r="BP7" s="244" t="s">
        <v>52</v>
      </c>
      <c r="BQ7" s="245">
        <f>SUM(Start:Stop!BQ7)</f>
        <v>3</v>
      </c>
      <c r="BR7" s="246" t="s">
        <v>53</v>
      </c>
      <c r="BS7" s="244">
        <f>SUM(Start:Stop!BS7)</f>
        <v>1</v>
      </c>
      <c r="BT7" s="245" t="s">
        <v>54</v>
      </c>
      <c r="BU7" s="246">
        <f>SUM(Start:Stop!BU7)</f>
        <v>0</v>
      </c>
      <c r="BV7" s="244" t="s">
        <v>52</v>
      </c>
      <c r="BW7" s="245">
        <f>SUM(Start:Stop!BW7)</f>
        <v>0</v>
      </c>
      <c r="BX7" s="246" t="s">
        <v>53</v>
      </c>
      <c r="BY7" s="244">
        <f>SUM(Start:Stop!BY7)</f>
        <v>0</v>
      </c>
      <c r="BZ7" s="245" t="s">
        <v>54</v>
      </c>
      <c r="CA7" s="246">
        <f>SUM(Start:Stop!CA7)</f>
        <v>0</v>
      </c>
      <c r="CB7" s="244" t="s">
        <v>52</v>
      </c>
      <c r="CC7" s="245">
        <f>SUM(Start:Stop!CC7)</f>
        <v>4</v>
      </c>
      <c r="CD7" s="246" t="s">
        <v>53</v>
      </c>
      <c r="CE7" s="244">
        <f>SUM(Start:Stop!CE7)</f>
        <v>0</v>
      </c>
      <c r="CF7" s="245" t="s">
        <v>54</v>
      </c>
      <c r="CG7" s="246">
        <f>SUM(Start:Stop!CG7)</f>
        <v>0</v>
      </c>
      <c r="CH7" s="244" t="s">
        <v>52</v>
      </c>
      <c r="CI7" s="247">
        <f>SUM(Start:Stop!CI7)</f>
        <v>0</v>
      </c>
      <c r="CJ7" s="140">
        <f>SUM(Start:Stop!CJ7)</f>
        <v>1</v>
      </c>
      <c r="CK7" s="148">
        <f>SUM(Start:Stop!CK7)</f>
        <v>4</v>
      </c>
      <c r="CL7" s="148">
        <f>SUM(Start:Stop!CL7)</f>
        <v>0</v>
      </c>
      <c r="CM7" s="148">
        <f>SUM(Start:Stop!CM7)</f>
        <v>4</v>
      </c>
      <c r="CN7" s="148">
        <f>SUM(Start:Stop!CN7)</f>
        <v>5</v>
      </c>
      <c r="CO7" s="175">
        <f>SUM(Start:Stop!CO7)</f>
        <v>7</v>
      </c>
      <c r="CP7" s="140">
        <f>SUM(Start:Stop!CP7)</f>
        <v>3</v>
      </c>
      <c r="CQ7" s="140">
        <f>SUM(Start:Stop!CQ7)</f>
        <v>1</v>
      </c>
      <c r="CR7" s="148">
        <f>SUM(Start:Stop!CR7)</f>
        <v>6</v>
      </c>
      <c r="CS7" s="148">
        <f>SUM(Start:Stop!CS7)</f>
        <v>4</v>
      </c>
      <c r="CT7" s="140">
        <f>SUM(Start:Stop!CT7)</f>
        <v>3</v>
      </c>
      <c r="CU7" s="140">
        <f>SUM(Start:Stop!CU7)</f>
        <v>1</v>
      </c>
      <c r="CV7" s="148">
        <f>SUM(Start:Stop!CV7)</f>
        <v>23.099999999999998</v>
      </c>
      <c r="CW7" s="140"/>
      <c r="CX7" s="164">
        <f t="shared" si="34"/>
        <v>102.85295296266878</v>
      </c>
      <c r="CY7" s="147">
        <f t="shared" si="35"/>
        <v>0.41547123118632612</v>
      </c>
      <c r="CZ7" s="165">
        <f t="shared" si="36"/>
        <v>0.18165582342168113</v>
      </c>
      <c r="DA7" s="164">
        <f t="shared" si="37"/>
        <v>119.41441168456039</v>
      </c>
      <c r="DB7" s="148">
        <f t="shared" si="38"/>
        <v>-16.561458721891611</v>
      </c>
      <c r="DC7" s="147">
        <f t="shared" si="39"/>
        <v>0.42445029705395959</v>
      </c>
      <c r="DD7" s="77">
        <f t="shared" si="82"/>
        <v>0.76463756170208796</v>
      </c>
      <c r="DE7" s="37">
        <f t="shared" si="40"/>
        <v>0.35</v>
      </c>
      <c r="DF7" s="37">
        <f t="shared" si="41"/>
        <v>0.30769230769230771</v>
      </c>
      <c r="DG7" s="536">
        <f t="shared" si="42"/>
        <v>0.45</v>
      </c>
      <c r="DH7" s="64">
        <f t="shared" si="83"/>
        <v>1.4062463983730357E-2</v>
      </c>
      <c r="DI7" s="64">
        <f t="shared" si="84"/>
        <v>6.5390457524346163E-2</v>
      </c>
      <c r="DJ7" s="64">
        <f t="shared" si="85"/>
        <v>1.8164015978985044E-2</v>
      </c>
      <c r="DK7" s="64">
        <f t="shared" si="43"/>
        <v>3.0754404791021223E-2</v>
      </c>
      <c r="DL7" s="64">
        <f>IFERROR(CO7/(DD7*(E28-E7)),"0")</f>
        <v>0.16644843733469933</v>
      </c>
      <c r="DM7" s="64">
        <f t="shared" si="44"/>
        <v>7.6886011977553056E-2</v>
      </c>
      <c r="DN7" s="64">
        <f t="shared" si="87"/>
        <v>0.12697530505104054</v>
      </c>
      <c r="DO7" s="37">
        <f t="shared" si="45"/>
        <v>2.3333333333333335</v>
      </c>
      <c r="DP7" s="66">
        <f t="shared" si="46"/>
        <v>0.73497886935750589</v>
      </c>
      <c r="DQ7" s="78">
        <f t="shared" si="47"/>
        <v>4.4098732161450354</v>
      </c>
      <c r="DR7" s="6"/>
      <c r="DS7" s="36"/>
      <c r="DT7" s="533">
        <f t="shared" si="88"/>
        <v>17.206325718135606</v>
      </c>
      <c r="DU7" s="18">
        <f t="shared" si="48"/>
        <v>9.81618979421199</v>
      </c>
      <c r="DV7" s="13">
        <f t="shared" si="49"/>
        <v>5.9945707892460272</v>
      </c>
      <c r="DW7" s="14">
        <f t="shared" si="50"/>
        <v>0.63836775285966529</v>
      </c>
      <c r="DX7" s="14">
        <f t="shared" si="51"/>
        <v>1.8018518518518518</v>
      </c>
      <c r="DY7" s="14">
        <f t="shared" si="52"/>
        <v>2.3460000000000001</v>
      </c>
      <c r="DZ7" s="15">
        <f t="shared" si="89"/>
        <v>72.202629629629627</v>
      </c>
      <c r="EA7" s="14">
        <f t="shared" si="53"/>
        <v>0.75384577195873015</v>
      </c>
      <c r="EB7" s="14">
        <f t="shared" si="54"/>
        <v>0.16129032258064516</v>
      </c>
      <c r="EC7" s="14">
        <f t="shared" si="55"/>
        <v>0.37065004943341695</v>
      </c>
      <c r="ED7" s="14">
        <f t="shared" si="56"/>
        <v>0.27941297264167569</v>
      </c>
      <c r="EE7" s="19">
        <f t="shared" si="57"/>
        <v>10.756451612903225</v>
      </c>
      <c r="EF7" s="67">
        <f t="shared" si="58"/>
        <v>5.400000000000002E-2</v>
      </c>
      <c r="EG7" s="74">
        <f t="shared" si="59"/>
        <v>23.626641407115212</v>
      </c>
      <c r="EH7" s="27">
        <f t="shared" ref="EH7:EH20" si="91">IFERROR((EI7+EJ7+EX7)*(1-(CJ28/DZ7)*EA7*EC7)+EK7,"0")</f>
        <v>24.300698373118635</v>
      </c>
      <c r="EI7" s="25">
        <f t="shared" si="8"/>
        <v>15.414610600918357</v>
      </c>
      <c r="EJ7" s="25">
        <f t="shared" si="60"/>
        <v>4.5537710437710439</v>
      </c>
      <c r="EK7" s="26">
        <f t="shared" si="61"/>
        <v>0.68747793320568995</v>
      </c>
      <c r="EL7" s="29">
        <f t="shared" si="62"/>
        <v>0.77330350484712895</v>
      </c>
      <c r="EM7" s="30">
        <f t="shared" si="63"/>
        <v>0.23749999999999999</v>
      </c>
      <c r="EN7" s="30">
        <f t="shared" si="64"/>
        <v>0.51515151515151514</v>
      </c>
      <c r="EO7" s="31">
        <f t="shared" si="65"/>
        <v>5.4835737322893365</v>
      </c>
      <c r="EP7" s="31">
        <f t="shared" si="66"/>
        <v>8.9817689097471103</v>
      </c>
      <c r="EQ7" s="31">
        <f t="shared" si="67"/>
        <v>14.465342642036447</v>
      </c>
      <c r="ER7" s="93">
        <f t="shared" si="68"/>
        <v>0.55609125381751168</v>
      </c>
      <c r="ES7" s="109">
        <f t="shared" si="69"/>
        <v>123.69401845868882</v>
      </c>
      <c r="ET7" s="32">
        <f t="shared" si="70"/>
        <v>2.304437240035667</v>
      </c>
      <c r="EV7" s="275"/>
      <c r="EW7" s="276"/>
      <c r="EX7" s="37">
        <f t="shared" si="90"/>
        <v>5.0999999999999996</v>
      </c>
      <c r="EY7" s="72">
        <f t="shared" si="71"/>
        <v>6</v>
      </c>
      <c r="EZ7" s="7">
        <v>0.85</v>
      </c>
      <c r="FB7" s="57"/>
      <c r="FC7" s="139"/>
      <c r="FD7" s="89" t="s">
        <v>82</v>
      </c>
      <c r="FE7" s="41" t="s">
        <v>179</v>
      </c>
      <c r="FF7" s="164">
        <f t="shared" si="15"/>
        <v>54.423333333333339</v>
      </c>
      <c r="FG7" s="144">
        <f t="shared" si="16"/>
        <v>7</v>
      </c>
      <c r="FH7" s="265" t="s">
        <v>52</v>
      </c>
      <c r="FI7" s="145">
        <f t="shared" si="72"/>
        <v>20</v>
      </c>
      <c r="FJ7" s="194">
        <f t="shared" si="73"/>
        <v>0.35</v>
      </c>
      <c r="FK7" s="110">
        <f t="shared" si="17"/>
        <v>4</v>
      </c>
      <c r="FL7" s="265" t="s">
        <v>52</v>
      </c>
      <c r="FM7" s="168">
        <f t="shared" si="18"/>
        <v>13</v>
      </c>
      <c r="FN7" s="194">
        <f t="shared" si="19"/>
        <v>0.30769230769230771</v>
      </c>
      <c r="FO7" s="262">
        <f t="shared" si="74"/>
        <v>0</v>
      </c>
      <c r="FP7" s="419" t="s">
        <v>52</v>
      </c>
      <c r="FQ7" s="274">
        <f t="shared" si="75"/>
        <v>0</v>
      </c>
      <c r="FR7" s="197" t="str">
        <f t="shared" si="76"/>
        <v>0</v>
      </c>
      <c r="FS7" s="140">
        <f t="shared" si="20"/>
        <v>1</v>
      </c>
      <c r="FT7" s="140">
        <f t="shared" si="21"/>
        <v>4</v>
      </c>
      <c r="FU7" s="140">
        <f t="shared" si="22"/>
        <v>5</v>
      </c>
      <c r="FV7" s="175">
        <f t="shared" si="22"/>
        <v>7</v>
      </c>
      <c r="FW7" s="140">
        <f t="shared" si="22"/>
        <v>3</v>
      </c>
      <c r="FX7" s="140">
        <f t="shared" si="22"/>
        <v>1</v>
      </c>
      <c r="FY7" s="140">
        <f t="shared" si="22"/>
        <v>6</v>
      </c>
      <c r="FZ7" s="140">
        <f t="shared" si="22"/>
        <v>4</v>
      </c>
      <c r="GA7" s="140">
        <f t="shared" si="22"/>
        <v>3</v>
      </c>
      <c r="GB7" s="140">
        <f t="shared" si="22"/>
        <v>1</v>
      </c>
      <c r="GC7" s="192">
        <f t="shared" si="77"/>
        <v>18</v>
      </c>
      <c r="GD7" s="201">
        <f t="shared" si="78"/>
        <v>102.85295296266878</v>
      </c>
      <c r="GE7" s="147">
        <f t="shared" si="78"/>
        <v>0.41547123118632612</v>
      </c>
      <c r="GF7" s="147">
        <f t="shared" si="78"/>
        <v>0.18165582342168113</v>
      </c>
      <c r="GG7" s="259">
        <f t="shared" si="78"/>
        <v>119.41441168456039</v>
      </c>
      <c r="GH7" s="192">
        <f t="shared" si="79"/>
        <v>-16.561458721891611</v>
      </c>
      <c r="GI7" s="161">
        <f t="shared" si="23"/>
        <v>0.33074049121087767</v>
      </c>
      <c r="GJ7" s="82"/>
      <c r="GK7" s="24"/>
      <c r="GL7" s="366">
        <f t="shared" si="24"/>
        <v>0.39687500000000009</v>
      </c>
      <c r="GM7" s="366">
        <f>((E32/G32)*(1-(CJ32/(CJ32+CK31))))/((E32/G32)*(1-(CJ32/(CJ32+CK31)))+((1-(E32/G32)))*(CJ32/(CJ32+CK31)))</f>
        <v>0.86951163148975508</v>
      </c>
      <c r="GN7" s="370">
        <f>GK7+(GL7/10)+(GJ7*GM7*(1-(CJ32/(CJ32+CK31))))+(CK7*(1-GM7))</f>
        <v>0.56164097404097968</v>
      </c>
      <c r="GO7" s="371">
        <f>GN7/(DD7*EG32)</f>
        <v>3.8974230421111086E-3</v>
      </c>
      <c r="GP7" s="46"/>
      <c r="GQ7" s="383">
        <f t="shared" si="80"/>
        <v>0.65</v>
      </c>
      <c r="GR7" s="385">
        <f t="shared" si="81"/>
        <v>0.23886813254118941</v>
      </c>
      <c r="GS7" s="389" t="s">
        <v>150</v>
      </c>
      <c r="GT7" s="120">
        <v>118.17475529104635</v>
      </c>
      <c r="GU7" s="147"/>
      <c r="GV7" s="160" t="s">
        <v>143</v>
      </c>
      <c r="GW7" s="399">
        <v>0.22959994341855347</v>
      </c>
      <c r="GX7" s="160" t="s">
        <v>150</v>
      </c>
      <c r="GY7" s="147">
        <v>1.2908163265306123</v>
      </c>
      <c r="GZ7" s="147"/>
      <c r="HA7" s="406" t="s">
        <v>144</v>
      </c>
      <c r="HB7" s="147">
        <v>0.67796610169491522</v>
      </c>
      <c r="HC7" s="139"/>
      <c r="HD7" s="416" t="s">
        <v>188</v>
      </c>
      <c r="HE7" s="164">
        <v>16.229047810365604</v>
      </c>
      <c r="HF7" s="164"/>
      <c r="HG7" s="41" t="s">
        <v>175</v>
      </c>
      <c r="HH7" s="28">
        <f t="shared" si="25"/>
        <v>1.5</v>
      </c>
      <c r="HI7" s="28">
        <f t="shared" si="26"/>
        <v>0</v>
      </c>
      <c r="HJ7" s="28">
        <f t="shared" si="27"/>
        <v>0.92307692307692313</v>
      </c>
      <c r="HK7" s="33"/>
      <c r="HL7" s="41"/>
      <c r="HM7" s="90">
        <f t="shared" si="28"/>
        <v>14.012878396338778</v>
      </c>
      <c r="HN7" s="6"/>
      <c r="HO7" s="37"/>
      <c r="HQ7" s="6">
        <f t="shared" si="29"/>
        <v>3.6666666666666665</v>
      </c>
      <c r="HR7" s="6">
        <f t="shared" si="30"/>
        <v>3.3333333333333335</v>
      </c>
      <c r="HS7" s="41"/>
      <c r="HT7" s="396">
        <v>4</v>
      </c>
      <c r="HU7" s="397" t="s">
        <v>188</v>
      </c>
      <c r="HV7" s="395">
        <v>-8.6245487940202992</v>
      </c>
      <c r="HX7" s="24"/>
      <c r="HY7" s="228"/>
      <c r="HZ7" s="37"/>
      <c r="IA7" s="24"/>
      <c r="IC7" s="6"/>
      <c r="IE7" s="9" t="s">
        <v>146</v>
      </c>
      <c r="IF7" s="313">
        <v>0.54228093805081345</v>
      </c>
      <c r="IJ7" s="24"/>
      <c r="IK7" s="61" t="s">
        <v>140</v>
      </c>
      <c r="IL7" s="250">
        <v>19</v>
      </c>
      <c r="IM7" s="36">
        <v>15</v>
      </c>
      <c r="IN7" s="326">
        <f t="shared" si="31"/>
        <v>0.55882352941176472</v>
      </c>
      <c r="IO7" s="323"/>
      <c r="IP7" s="24"/>
      <c r="IQ7" s="41" t="s">
        <v>142</v>
      </c>
      <c r="IR7" s="64">
        <f t="shared" si="32"/>
        <v>0.18165582342168113</v>
      </c>
      <c r="IS7" s="66">
        <f t="shared" si="33"/>
        <v>102.85295296266878</v>
      </c>
      <c r="IV7" s="41"/>
      <c r="IW7" s="64"/>
    </row>
    <row r="8" spans="1:258" ht="17" thickBot="1" x14ac:dyDescent="0.25">
      <c r="A8" s="139"/>
      <c r="B8" s="89" t="s">
        <v>82</v>
      </c>
      <c r="C8" s="41" t="s">
        <v>208</v>
      </c>
      <c r="D8" s="308">
        <f>SUM(Start:Stop!D8)</f>
        <v>57.636666666666663</v>
      </c>
      <c r="E8" s="114">
        <f>SUM(Start:Stop!E8)</f>
        <v>18</v>
      </c>
      <c r="F8" s="339" t="s">
        <v>52</v>
      </c>
      <c r="G8" s="115">
        <f>SUM(Start:Stop!G8)</f>
        <v>36</v>
      </c>
      <c r="H8" s="116" t="s">
        <v>53</v>
      </c>
      <c r="I8" s="339">
        <f>SUM(Start:Stop!I8)</f>
        <v>10</v>
      </c>
      <c r="J8" s="115" t="s">
        <v>54</v>
      </c>
      <c r="K8" s="116">
        <f>SUM(Start:Stop!K8)</f>
        <v>10</v>
      </c>
      <c r="L8" s="339" t="s">
        <v>52</v>
      </c>
      <c r="M8" s="115">
        <f>SUM(Start:Stop!M8)</f>
        <v>15</v>
      </c>
      <c r="N8" s="116" t="s">
        <v>53</v>
      </c>
      <c r="O8" s="339">
        <f>SUM(Start:Stop!O8)</f>
        <v>6</v>
      </c>
      <c r="P8" s="115" t="s">
        <v>54</v>
      </c>
      <c r="Q8" s="116">
        <f>SUM(Start:Stop!Q8)</f>
        <v>4</v>
      </c>
      <c r="R8" s="339" t="s">
        <v>52</v>
      </c>
      <c r="S8" s="115">
        <f>SUM(Start:Stop!S8)</f>
        <v>7</v>
      </c>
      <c r="T8" s="116" t="s">
        <v>53</v>
      </c>
      <c r="U8" s="339">
        <f>SUM(Start:Stop!U8)</f>
        <v>0</v>
      </c>
      <c r="V8" s="115" t="s">
        <v>54</v>
      </c>
      <c r="W8" s="116">
        <f>SUM(Start:Stop!W8)</f>
        <v>4</v>
      </c>
      <c r="X8" s="339" t="s">
        <v>52</v>
      </c>
      <c r="Y8" s="115">
        <f>SUM(Start:Stop!Y8)</f>
        <v>14</v>
      </c>
      <c r="Z8" s="116" t="s">
        <v>53</v>
      </c>
      <c r="AA8" s="339">
        <f>SUM(Start:Stop!AA8)</f>
        <v>4</v>
      </c>
      <c r="AB8" s="115" t="s">
        <v>54</v>
      </c>
      <c r="AC8" s="329">
        <f>SUM(Start:Stop!AC8)</f>
        <v>0.6</v>
      </c>
      <c r="AD8" s="339" t="s">
        <v>52</v>
      </c>
      <c r="AE8" s="294">
        <f>SUM(Start:Stop!AE8)</f>
        <v>1</v>
      </c>
      <c r="AF8" s="226"/>
      <c r="AG8" s="243">
        <f>SUM(Start:Stop!AG8)</f>
        <v>14</v>
      </c>
      <c r="AH8" s="244" t="s">
        <v>52</v>
      </c>
      <c r="AI8" s="245">
        <f>SUM(Start:Stop!AI8)</f>
        <v>32</v>
      </c>
      <c r="AJ8" s="246" t="s">
        <v>53</v>
      </c>
      <c r="AK8" s="244">
        <f>SUM(Start:Stop!AK8)</f>
        <v>8</v>
      </c>
      <c r="AL8" s="245" t="s">
        <v>54</v>
      </c>
      <c r="AM8" s="246">
        <f>SUM(Start:Stop!AM8)</f>
        <v>6</v>
      </c>
      <c r="AN8" s="244" t="s">
        <v>52</v>
      </c>
      <c r="AO8" s="245">
        <f>SUM(Start:Stop!AO8)</f>
        <v>11</v>
      </c>
      <c r="AP8" s="246" t="s">
        <v>53</v>
      </c>
      <c r="AQ8" s="244">
        <f>SUM(Start:Stop!AQ8)</f>
        <v>4</v>
      </c>
      <c r="AR8" s="245" t="s">
        <v>54</v>
      </c>
      <c r="AS8" s="246">
        <f>SUM(Start:Stop!AS8)</f>
        <v>4</v>
      </c>
      <c r="AT8" s="244" t="s">
        <v>52</v>
      </c>
      <c r="AU8" s="245">
        <f>SUM(Start:Stop!AU8)</f>
        <v>7</v>
      </c>
      <c r="AV8" s="246" t="s">
        <v>53</v>
      </c>
      <c r="AW8" s="244">
        <f>SUM(Start:Stop!AW8)</f>
        <v>0</v>
      </c>
      <c r="AX8" s="245" t="s">
        <v>54</v>
      </c>
      <c r="AY8" s="246">
        <f>SUM(Start:Stop!AY8)</f>
        <v>4</v>
      </c>
      <c r="AZ8" s="244" t="s">
        <v>52</v>
      </c>
      <c r="BA8" s="245">
        <f>SUM(Start:Stop!BA8)</f>
        <v>14</v>
      </c>
      <c r="BB8" s="246" t="s">
        <v>53</v>
      </c>
      <c r="BC8" s="244">
        <f>SUM(Start:Stop!BC8)</f>
        <v>4</v>
      </c>
      <c r="BD8" s="245" t="s">
        <v>54</v>
      </c>
      <c r="BE8" s="246">
        <f>SUM(Start:Stop!BE8)</f>
        <v>0</v>
      </c>
      <c r="BF8" s="244" t="s">
        <v>52</v>
      </c>
      <c r="BG8" s="247">
        <f>SUM(Start:Stop!BG8)</f>
        <v>0</v>
      </c>
      <c r="BH8" s="115"/>
      <c r="BI8" s="243">
        <f>SUM(Start:Stop!BI8)</f>
        <v>4</v>
      </c>
      <c r="BJ8" s="244" t="s">
        <v>52</v>
      </c>
      <c r="BK8" s="245">
        <f>SUM(Start:Stop!BK8)</f>
        <v>4</v>
      </c>
      <c r="BL8" s="246" t="s">
        <v>53</v>
      </c>
      <c r="BM8" s="244">
        <f>SUM(Start:Stop!BM8)</f>
        <v>2</v>
      </c>
      <c r="BN8" s="245" t="s">
        <v>54</v>
      </c>
      <c r="BO8" s="246">
        <f>SUM(Start:Stop!BO8)</f>
        <v>4</v>
      </c>
      <c r="BP8" s="244" t="s">
        <v>52</v>
      </c>
      <c r="BQ8" s="245">
        <f>SUM(Start:Stop!BQ8)</f>
        <v>4</v>
      </c>
      <c r="BR8" s="246" t="s">
        <v>53</v>
      </c>
      <c r="BS8" s="244">
        <f>SUM(Start:Stop!BS8)</f>
        <v>2</v>
      </c>
      <c r="BT8" s="245" t="s">
        <v>54</v>
      </c>
      <c r="BU8" s="246">
        <f>SUM(Start:Stop!BU8)</f>
        <v>0</v>
      </c>
      <c r="BV8" s="244" t="s">
        <v>52</v>
      </c>
      <c r="BW8" s="245">
        <f>SUM(Start:Stop!BW8)</f>
        <v>0</v>
      </c>
      <c r="BX8" s="246" t="s">
        <v>53</v>
      </c>
      <c r="BY8" s="244">
        <f>SUM(Start:Stop!BY8)</f>
        <v>0</v>
      </c>
      <c r="BZ8" s="245" t="s">
        <v>54</v>
      </c>
      <c r="CA8" s="246">
        <f>SUM(Start:Stop!CA8)</f>
        <v>0</v>
      </c>
      <c r="CB8" s="244" t="s">
        <v>52</v>
      </c>
      <c r="CC8" s="245">
        <f>SUM(Start:Stop!CC8)</f>
        <v>0</v>
      </c>
      <c r="CD8" s="246" t="s">
        <v>53</v>
      </c>
      <c r="CE8" s="244">
        <f>SUM(Start:Stop!CE8)</f>
        <v>0</v>
      </c>
      <c r="CF8" s="245" t="s">
        <v>54</v>
      </c>
      <c r="CG8" s="246">
        <f>SUM(Start:Stop!CG8)</f>
        <v>0</v>
      </c>
      <c r="CH8" s="244" t="s">
        <v>52</v>
      </c>
      <c r="CI8" s="247">
        <f>SUM(Start:Stop!CI8)</f>
        <v>0</v>
      </c>
      <c r="CJ8" s="140">
        <f>SUM(Start:Stop!CJ8)</f>
        <v>1</v>
      </c>
      <c r="CK8" s="148">
        <f>SUM(Start:Stop!CK8)</f>
        <v>9</v>
      </c>
      <c r="CL8" s="148">
        <f>SUM(Start:Stop!CL8)</f>
        <v>6</v>
      </c>
      <c r="CM8" s="148">
        <f>SUM(Start:Stop!CM8)</f>
        <v>3</v>
      </c>
      <c r="CN8" s="148">
        <f>SUM(Start:Stop!CN8)</f>
        <v>10</v>
      </c>
      <c r="CO8" s="175">
        <f>SUM(Start:Stop!CO8)</f>
        <v>7</v>
      </c>
      <c r="CP8" s="140">
        <f>SUM(Start:Stop!CP8)</f>
        <v>12</v>
      </c>
      <c r="CQ8" s="140">
        <f>SUM(Start:Stop!CQ8)</f>
        <v>6</v>
      </c>
      <c r="CR8" s="148">
        <f>SUM(Start:Stop!CR8)</f>
        <v>1</v>
      </c>
      <c r="CS8" s="148">
        <f>SUM(Start:Stop!CS8)</f>
        <v>0</v>
      </c>
      <c r="CT8" s="140">
        <f>SUM(Start:Stop!CT8)</f>
        <v>17</v>
      </c>
      <c r="CU8" s="140">
        <f>SUM(Start:Stop!CU8)</f>
        <v>3</v>
      </c>
      <c r="CV8" s="148">
        <f>SUM(Start:Stop!CV8)</f>
        <v>40.6</v>
      </c>
      <c r="CW8" s="140"/>
      <c r="CX8" s="164">
        <f>IFERROR(100*(EH8/EG8),"0")</f>
        <v>76.674447146954876</v>
      </c>
      <c r="CY8" s="147">
        <f t="shared" si="35"/>
        <v>0.34151227410667695</v>
      </c>
      <c r="CZ8" s="165">
        <f t="shared" si="36"/>
        <v>0.34053862269375346</v>
      </c>
      <c r="DA8" s="164">
        <f t="shared" si="37"/>
        <v>131.98412597718035</v>
      </c>
      <c r="DB8" s="148">
        <f t="shared" si="38"/>
        <v>-55.309678830225479</v>
      </c>
      <c r="DC8" s="147">
        <f t="shared" si="39"/>
        <v>0.70441270024868441</v>
      </c>
      <c r="DD8" s="77">
        <f t="shared" si="82"/>
        <v>0.80978428856439033</v>
      </c>
      <c r="DE8" s="37">
        <f t="shared" si="40"/>
        <v>0.5</v>
      </c>
      <c r="DF8" s="37">
        <f t="shared" si="41"/>
        <v>0.2857142857142857</v>
      </c>
      <c r="DG8" s="536">
        <f t="shared" si="42"/>
        <v>0.55555555555555558</v>
      </c>
      <c r="DH8" s="64">
        <f t="shared" si="83"/>
        <v>1.4032917808003111E-2</v>
      </c>
      <c r="DI8" s="64">
        <f t="shared" si="84"/>
        <v>0.13075377534045254</v>
      </c>
      <c r="DJ8" s="64">
        <f t="shared" si="85"/>
        <v>6.4994566689698621E-2</v>
      </c>
      <c r="DK8" s="64">
        <f t="shared" si="43"/>
        <v>0</v>
      </c>
      <c r="DL8" s="64">
        <f t="shared" si="86"/>
        <v>0.19646084931204355</v>
      </c>
      <c r="DM8" s="64">
        <f t="shared" si="44"/>
        <v>0.1398381459344463</v>
      </c>
      <c r="DN8" s="64">
        <f t="shared" si="87"/>
        <v>0.36741307082738861</v>
      </c>
      <c r="DO8" s="37">
        <f t="shared" si="45"/>
        <v>0.41176470588235292</v>
      </c>
      <c r="DP8" s="66">
        <f t="shared" si="46"/>
        <v>4.1640159620611881</v>
      </c>
      <c r="DQ8" s="78">
        <f t="shared" si="47"/>
        <v>0.69400266034353131</v>
      </c>
      <c r="DR8" s="6"/>
      <c r="DS8" s="36"/>
      <c r="DT8" s="533">
        <f t="shared" si="88"/>
        <v>10.073927476721988</v>
      </c>
      <c r="DU8" s="18">
        <f t="shared" si="48"/>
        <v>15.80158443122194</v>
      </c>
      <c r="DV8" s="13">
        <f t="shared" si="49"/>
        <v>14.793398435596918</v>
      </c>
      <c r="DW8" s="14">
        <f t="shared" si="50"/>
        <v>0.64132031288061619</v>
      </c>
      <c r="DX8" s="14">
        <f t="shared" si="51"/>
        <v>1.6293103448275861</v>
      </c>
      <c r="DY8" s="14">
        <f t="shared" si="52"/>
        <v>0.33600000000000002</v>
      </c>
      <c r="DZ8" s="15">
        <f t="shared" si="89"/>
        <v>66.833769230769235</v>
      </c>
      <c r="EA8" s="14">
        <f t="shared" si="53"/>
        <v>0.62239617931487801</v>
      </c>
      <c r="EB8" s="14">
        <f t="shared" si="54"/>
        <v>0.23863636363636365</v>
      </c>
      <c r="EC8" s="14">
        <f t="shared" si="55"/>
        <v>0.34064102564102566</v>
      </c>
      <c r="ED8" s="14">
        <f t="shared" si="56"/>
        <v>0.21201367287687575</v>
      </c>
      <c r="EE8" s="19">
        <f t="shared" si="57"/>
        <v>13.403863636363635</v>
      </c>
      <c r="EF8" s="67">
        <f t="shared" si="58"/>
        <v>6.4000000000000015E-2</v>
      </c>
      <c r="EG8" s="74">
        <f t="shared" si="59"/>
        <v>46.269448067585579</v>
      </c>
      <c r="EH8" s="27">
        <f t="shared" si="91"/>
        <v>35.476843503768634</v>
      </c>
      <c r="EI8" s="25">
        <f t="shared" si="8"/>
        <v>32.874218745770932</v>
      </c>
      <c r="EJ8" s="25">
        <f t="shared" si="60"/>
        <v>3.9992163009404385</v>
      </c>
      <c r="EK8" s="26">
        <f t="shared" si="61"/>
        <v>0.49978857314505115</v>
      </c>
      <c r="EL8" s="29">
        <f t="shared" si="62"/>
        <v>0.85011807195443811</v>
      </c>
      <c r="EM8" s="30">
        <f t="shared" si="63"/>
        <v>0.15294117647058825</v>
      </c>
      <c r="EN8" s="30">
        <f t="shared" si="64"/>
        <v>0.50595238095238093</v>
      </c>
      <c r="EO8" s="31">
        <f t="shared" si="65"/>
        <v>3.4819336018891511</v>
      </c>
      <c r="EP8" s="31">
        <f t="shared" si="66"/>
        <v>11.108164358638865</v>
      </c>
      <c r="EQ8" s="31">
        <f t="shared" si="67"/>
        <v>14.590097960528016</v>
      </c>
      <c r="ER8" s="93">
        <f t="shared" si="68"/>
        <v>0.53690848626373266</v>
      </c>
      <c r="ES8" s="109">
        <f t="shared" si="69"/>
        <v>137.37646355941214</v>
      </c>
      <c r="ET8" s="32">
        <f t="shared" si="70"/>
        <v>2.3842971070105778</v>
      </c>
      <c r="EV8" s="275"/>
      <c r="EW8" s="276"/>
      <c r="EX8" s="37">
        <f t="shared" si="90"/>
        <v>0.6</v>
      </c>
      <c r="EY8" s="72">
        <f t="shared" si="71"/>
        <v>1</v>
      </c>
      <c r="EZ8" s="7">
        <v>0.6</v>
      </c>
      <c r="FB8" s="41"/>
      <c r="FC8" s="178"/>
      <c r="FD8" s="216" t="s">
        <v>82</v>
      </c>
      <c r="FE8" s="180" t="s">
        <v>236</v>
      </c>
      <c r="FF8" s="393">
        <f t="shared" si="15"/>
        <v>57.636666666666663</v>
      </c>
      <c r="FG8" s="182">
        <f t="shared" si="16"/>
        <v>18</v>
      </c>
      <c r="FH8" s="183" t="s">
        <v>52</v>
      </c>
      <c r="FI8" s="184">
        <f t="shared" si="72"/>
        <v>36</v>
      </c>
      <c r="FJ8" s="193">
        <f t="shared" si="73"/>
        <v>0.5</v>
      </c>
      <c r="FK8" s="185">
        <f t="shared" si="17"/>
        <v>4</v>
      </c>
      <c r="FL8" s="183" t="s">
        <v>52</v>
      </c>
      <c r="FM8" s="186">
        <f t="shared" si="18"/>
        <v>14</v>
      </c>
      <c r="FN8" s="193">
        <f t="shared" si="19"/>
        <v>0.2857142857142857</v>
      </c>
      <c r="FO8" s="261">
        <f t="shared" si="74"/>
        <v>0</v>
      </c>
      <c r="FP8" s="183" t="s">
        <v>52</v>
      </c>
      <c r="FQ8" s="268">
        <f t="shared" si="75"/>
        <v>0</v>
      </c>
      <c r="FR8" s="196" t="str">
        <f t="shared" si="76"/>
        <v>0</v>
      </c>
      <c r="FS8" s="179">
        <f t="shared" si="20"/>
        <v>1</v>
      </c>
      <c r="FT8" s="179">
        <f t="shared" si="21"/>
        <v>9</v>
      </c>
      <c r="FU8" s="179">
        <f t="shared" si="22"/>
        <v>10</v>
      </c>
      <c r="FV8" s="187">
        <f t="shared" si="22"/>
        <v>7</v>
      </c>
      <c r="FW8" s="179">
        <f t="shared" si="22"/>
        <v>12</v>
      </c>
      <c r="FX8" s="179">
        <f t="shared" si="22"/>
        <v>6</v>
      </c>
      <c r="FY8" s="179">
        <f t="shared" si="22"/>
        <v>1</v>
      </c>
      <c r="FZ8" s="179">
        <f t="shared" si="22"/>
        <v>0</v>
      </c>
      <c r="GA8" s="179">
        <f t="shared" si="22"/>
        <v>17</v>
      </c>
      <c r="GB8" s="179">
        <f t="shared" si="22"/>
        <v>3</v>
      </c>
      <c r="GC8" s="191">
        <f t="shared" si="77"/>
        <v>40</v>
      </c>
      <c r="GD8" s="200">
        <f t="shared" si="78"/>
        <v>76.674447146954876</v>
      </c>
      <c r="GE8" s="181">
        <f t="shared" si="78"/>
        <v>0.34151227410667695</v>
      </c>
      <c r="GF8" s="181">
        <f t="shared" si="78"/>
        <v>0.34053862269375346</v>
      </c>
      <c r="GG8" s="258">
        <f t="shared" si="78"/>
        <v>131.98412597718035</v>
      </c>
      <c r="GH8" s="191">
        <f t="shared" si="79"/>
        <v>-55.309678830225479</v>
      </c>
      <c r="GI8" s="297">
        <f t="shared" si="23"/>
        <v>0.69400266034353131</v>
      </c>
      <c r="GJ8" s="82"/>
      <c r="GK8" s="24"/>
      <c r="GL8" s="366">
        <f t="shared" si="24"/>
        <v>0.64687499999999987</v>
      </c>
      <c r="GM8" s="366">
        <f>((E34/G34)*(1-(CJ34/(CJ34+CK33))))/((E34/G34)*(1-(CJ34/(CJ34+CK33)))+((1-(E34/G34)))*(CJ34/(CJ34+CK33)))</f>
        <v>0.76462196861626242</v>
      </c>
      <c r="GN8" s="370">
        <f>GK8+(GL8/10)+(GJ8*GM8*(1-(CJ34/(CJ34+CK33))))+(CK8*(1-GM8))</f>
        <v>2.1830897824536382</v>
      </c>
      <c r="GO8" s="371">
        <f>GN8/(DD8*EG34)</f>
        <v>1.5690696400077545E-2</v>
      </c>
      <c r="GP8" s="46"/>
      <c r="GQ8" s="383">
        <f t="shared" si="80"/>
        <v>0.3888888888888889</v>
      </c>
      <c r="GR8" s="385">
        <f t="shared" si="81"/>
        <v>0.24290093112023597</v>
      </c>
      <c r="GS8" s="389" t="s">
        <v>144</v>
      </c>
      <c r="GT8" s="164">
        <v>116.73295962891952</v>
      </c>
      <c r="GU8" s="147"/>
      <c r="GV8" s="160" t="s">
        <v>149</v>
      </c>
      <c r="GW8" s="399">
        <v>0.18840757985733439</v>
      </c>
      <c r="GX8" s="160" t="s">
        <v>190</v>
      </c>
      <c r="GY8" s="147">
        <v>1.2783505154639174</v>
      </c>
      <c r="GZ8" s="147"/>
      <c r="HA8" s="405" t="s">
        <v>154</v>
      </c>
      <c r="HB8" s="121">
        <v>0.66666666666666663</v>
      </c>
      <c r="HC8" s="139"/>
      <c r="HD8" s="416" t="s">
        <v>149</v>
      </c>
      <c r="HE8" s="164">
        <v>15.752688750287179</v>
      </c>
      <c r="HF8" s="164"/>
      <c r="HG8" s="41" t="s">
        <v>120</v>
      </c>
      <c r="HH8" s="28">
        <f t="shared" si="25"/>
        <v>1.3333333333333333</v>
      </c>
      <c r="HI8" s="28">
        <f t="shared" si="26"/>
        <v>1.1428571428571428</v>
      </c>
      <c r="HJ8" s="28">
        <f t="shared" si="27"/>
        <v>0.8571428571428571</v>
      </c>
      <c r="HK8" s="33"/>
      <c r="HL8" s="41"/>
      <c r="HM8" s="90">
        <f t="shared" si="28"/>
        <v>19.582957970421752</v>
      </c>
      <c r="HN8" s="6"/>
      <c r="HO8" s="37"/>
      <c r="HQ8" s="6">
        <f t="shared" si="29"/>
        <v>0.41176470588235292</v>
      </c>
      <c r="HR8" s="6">
        <f t="shared" si="30"/>
        <v>1.1176470588235294</v>
      </c>
      <c r="HS8" s="41"/>
      <c r="HT8" s="396">
        <v>5</v>
      </c>
      <c r="HU8" s="397" t="s">
        <v>144</v>
      </c>
      <c r="HV8" s="395">
        <v>-9.5380925698356265</v>
      </c>
      <c r="HX8" s="24"/>
      <c r="HY8" s="228"/>
      <c r="HZ8" s="37"/>
      <c r="IA8" s="24"/>
      <c r="IC8" s="6"/>
      <c r="IE8" s="41" t="s">
        <v>145</v>
      </c>
      <c r="IF8" s="6">
        <v>0.52202334407409157</v>
      </c>
      <c r="IJ8" s="24"/>
      <c r="IK8" s="61" t="s">
        <v>141</v>
      </c>
      <c r="IL8" s="250">
        <v>22</v>
      </c>
      <c r="IM8" s="36">
        <v>19</v>
      </c>
      <c r="IN8" s="326">
        <f t="shared" si="31"/>
        <v>0.53658536585365857</v>
      </c>
      <c r="IO8" s="323"/>
      <c r="IP8" s="24"/>
      <c r="IQ8" s="41" t="s">
        <v>143</v>
      </c>
      <c r="IR8" s="64">
        <f t="shared" si="32"/>
        <v>0.34053862269375346</v>
      </c>
      <c r="IS8" s="66">
        <f t="shared" si="33"/>
        <v>76.674447146954876</v>
      </c>
      <c r="IV8" s="41"/>
      <c r="IW8" s="64"/>
    </row>
    <row r="9" spans="1:258" ht="17" thickBot="1" x14ac:dyDescent="0.25">
      <c r="A9" s="139"/>
      <c r="B9" s="89" t="s">
        <v>82</v>
      </c>
      <c r="C9" s="41" t="s">
        <v>209</v>
      </c>
      <c r="D9" s="308">
        <f>SUM(Start:Stop!D9)</f>
        <v>66.826666666666668</v>
      </c>
      <c r="E9" s="114">
        <f>SUM(Start:Stop!E9)</f>
        <v>14</v>
      </c>
      <c r="F9" s="339" t="s">
        <v>52</v>
      </c>
      <c r="G9" s="115">
        <f>SUM(Start:Stop!G9)</f>
        <v>26</v>
      </c>
      <c r="H9" s="116" t="s">
        <v>53</v>
      </c>
      <c r="I9" s="339">
        <f>SUM(Start:Stop!I9)</f>
        <v>8</v>
      </c>
      <c r="J9" s="115" t="s">
        <v>54</v>
      </c>
      <c r="K9" s="116">
        <f>SUM(Start:Stop!K9)</f>
        <v>8</v>
      </c>
      <c r="L9" s="339" t="s">
        <v>52</v>
      </c>
      <c r="M9" s="115">
        <f>SUM(Start:Stop!M9)</f>
        <v>8</v>
      </c>
      <c r="N9" s="116" t="s">
        <v>53</v>
      </c>
      <c r="O9" s="339">
        <f>SUM(Start:Stop!O9)</f>
        <v>4</v>
      </c>
      <c r="P9" s="115" t="s">
        <v>54</v>
      </c>
      <c r="Q9" s="116">
        <f>SUM(Start:Stop!Q9)</f>
        <v>1</v>
      </c>
      <c r="R9" s="339" t="s">
        <v>52</v>
      </c>
      <c r="S9" s="115">
        <f>SUM(Start:Stop!S9)</f>
        <v>5</v>
      </c>
      <c r="T9" s="116" t="s">
        <v>53</v>
      </c>
      <c r="U9" s="339">
        <f>SUM(Start:Stop!U9)</f>
        <v>0</v>
      </c>
      <c r="V9" s="115" t="s">
        <v>54</v>
      </c>
      <c r="W9" s="116">
        <f>SUM(Start:Stop!W9)</f>
        <v>5</v>
      </c>
      <c r="X9" s="339" t="s">
        <v>52</v>
      </c>
      <c r="Y9" s="115">
        <f>SUM(Start:Stop!Y9)</f>
        <v>13</v>
      </c>
      <c r="Z9" s="116" t="s">
        <v>53</v>
      </c>
      <c r="AA9" s="339">
        <f>SUM(Start:Stop!AA9)</f>
        <v>4</v>
      </c>
      <c r="AB9" s="115" t="s">
        <v>54</v>
      </c>
      <c r="AC9" s="329">
        <f>SUM(Start:Stop!AC9)</f>
        <v>2.0999999999999996</v>
      </c>
      <c r="AD9" s="339" t="s">
        <v>52</v>
      </c>
      <c r="AE9" s="294">
        <f>SUM(Start:Stop!AE9)</f>
        <v>3</v>
      </c>
      <c r="AF9" s="226"/>
      <c r="AG9" s="243">
        <f>SUM(Start:Stop!AG9)</f>
        <v>10</v>
      </c>
      <c r="AH9" s="244" t="s">
        <v>52</v>
      </c>
      <c r="AI9" s="245">
        <f>SUM(Start:Stop!AI9)</f>
        <v>21</v>
      </c>
      <c r="AJ9" s="246" t="s">
        <v>53</v>
      </c>
      <c r="AK9" s="244">
        <f>SUM(Start:Stop!AK9)</f>
        <v>6</v>
      </c>
      <c r="AL9" s="245" t="s">
        <v>54</v>
      </c>
      <c r="AM9" s="246">
        <f>SUM(Start:Stop!AM9)</f>
        <v>6</v>
      </c>
      <c r="AN9" s="244" t="s">
        <v>52</v>
      </c>
      <c r="AO9" s="245">
        <f>SUM(Start:Stop!AO9)</f>
        <v>6</v>
      </c>
      <c r="AP9" s="246" t="s">
        <v>53</v>
      </c>
      <c r="AQ9" s="244">
        <f>SUM(Start:Stop!AQ9)</f>
        <v>4</v>
      </c>
      <c r="AR9" s="245" t="s">
        <v>54</v>
      </c>
      <c r="AS9" s="246">
        <f>SUM(Start:Stop!AS9)</f>
        <v>1</v>
      </c>
      <c r="AT9" s="244" t="s">
        <v>52</v>
      </c>
      <c r="AU9" s="245">
        <f>SUM(Start:Stop!AU9)</f>
        <v>5</v>
      </c>
      <c r="AV9" s="246" t="s">
        <v>53</v>
      </c>
      <c r="AW9" s="244">
        <f>SUM(Start:Stop!AW9)</f>
        <v>0</v>
      </c>
      <c r="AX9" s="245" t="s">
        <v>54</v>
      </c>
      <c r="AY9" s="246">
        <f>SUM(Start:Stop!AY9)</f>
        <v>3</v>
      </c>
      <c r="AZ9" s="244" t="s">
        <v>52</v>
      </c>
      <c r="BA9" s="245">
        <f>SUM(Start:Stop!BA9)</f>
        <v>10</v>
      </c>
      <c r="BB9" s="246" t="s">
        <v>53</v>
      </c>
      <c r="BC9" s="244">
        <f>SUM(Start:Stop!BC9)</f>
        <v>2</v>
      </c>
      <c r="BD9" s="245" t="s">
        <v>54</v>
      </c>
      <c r="BE9" s="246">
        <f>SUM(Start:Stop!BE9)</f>
        <v>0</v>
      </c>
      <c r="BF9" s="244" t="s">
        <v>52</v>
      </c>
      <c r="BG9" s="247">
        <f>SUM(Start:Stop!BG9)</f>
        <v>0</v>
      </c>
      <c r="BH9" s="115"/>
      <c r="BI9" s="243">
        <f>SUM(Start:Stop!BI9)</f>
        <v>4</v>
      </c>
      <c r="BJ9" s="244" t="s">
        <v>52</v>
      </c>
      <c r="BK9" s="245">
        <f>SUM(Start:Stop!BK9)</f>
        <v>5</v>
      </c>
      <c r="BL9" s="246" t="s">
        <v>53</v>
      </c>
      <c r="BM9" s="244">
        <f>SUM(Start:Stop!BM9)</f>
        <v>2</v>
      </c>
      <c r="BN9" s="245" t="s">
        <v>54</v>
      </c>
      <c r="BO9" s="246">
        <f>SUM(Start:Stop!BO9)</f>
        <v>2</v>
      </c>
      <c r="BP9" s="244" t="s">
        <v>52</v>
      </c>
      <c r="BQ9" s="245">
        <f>SUM(Start:Stop!BQ9)</f>
        <v>2</v>
      </c>
      <c r="BR9" s="246" t="s">
        <v>53</v>
      </c>
      <c r="BS9" s="244">
        <f>SUM(Start:Stop!BS9)</f>
        <v>0</v>
      </c>
      <c r="BT9" s="245" t="s">
        <v>54</v>
      </c>
      <c r="BU9" s="246">
        <f>SUM(Start:Stop!BU9)</f>
        <v>0</v>
      </c>
      <c r="BV9" s="244" t="s">
        <v>52</v>
      </c>
      <c r="BW9" s="245">
        <f>SUM(Start:Stop!BW9)</f>
        <v>0</v>
      </c>
      <c r="BX9" s="246" t="s">
        <v>53</v>
      </c>
      <c r="BY9" s="244">
        <f>SUM(Start:Stop!BY9)</f>
        <v>0</v>
      </c>
      <c r="BZ9" s="245" t="s">
        <v>54</v>
      </c>
      <c r="CA9" s="246">
        <f>SUM(Start:Stop!CA9)</f>
        <v>2</v>
      </c>
      <c r="CB9" s="244" t="s">
        <v>52</v>
      </c>
      <c r="CC9" s="245">
        <f>SUM(Start:Stop!CC9)</f>
        <v>3</v>
      </c>
      <c r="CD9" s="246" t="s">
        <v>53</v>
      </c>
      <c r="CE9" s="244">
        <f>SUM(Start:Stop!CE9)</f>
        <v>2</v>
      </c>
      <c r="CF9" s="245" t="s">
        <v>54</v>
      </c>
      <c r="CG9" s="246">
        <f>SUM(Start:Stop!CG9)</f>
        <v>0</v>
      </c>
      <c r="CH9" s="244" t="s">
        <v>52</v>
      </c>
      <c r="CI9" s="247">
        <f>SUM(Start:Stop!CI9)</f>
        <v>0</v>
      </c>
      <c r="CJ9" s="140">
        <f>SUM(Start:Stop!CJ9)</f>
        <v>3</v>
      </c>
      <c r="CK9" s="148">
        <f>SUM(Start:Stop!CK9)</f>
        <v>20</v>
      </c>
      <c r="CL9" s="148">
        <f>SUM(Start:Stop!CL9)</f>
        <v>6</v>
      </c>
      <c r="CM9" s="148">
        <f>SUM(Start:Stop!CM9)</f>
        <v>14</v>
      </c>
      <c r="CN9" s="148">
        <f>SUM(Start:Stop!CN9)</f>
        <v>23</v>
      </c>
      <c r="CO9" s="175">
        <f>SUM(Start:Stop!CO9)</f>
        <v>7</v>
      </c>
      <c r="CP9" s="140">
        <f>SUM(Start:Stop!CP9)</f>
        <v>8</v>
      </c>
      <c r="CQ9" s="140">
        <f>SUM(Start:Stop!CQ9)</f>
        <v>13</v>
      </c>
      <c r="CR9" s="148">
        <f>SUM(Start:Stop!CR9)</f>
        <v>3</v>
      </c>
      <c r="CS9" s="148">
        <f>SUM(Start:Stop!CS9)</f>
        <v>4</v>
      </c>
      <c r="CT9" s="140">
        <f>SUM(Start:Stop!CT9)</f>
        <v>6</v>
      </c>
      <c r="CU9" s="140">
        <f>SUM(Start:Stop!CU9)</f>
        <v>1</v>
      </c>
      <c r="CV9" s="148">
        <f>SUM(Start:Stop!CV9)</f>
        <v>35.099999999999994</v>
      </c>
      <c r="CW9" s="140"/>
      <c r="CX9" s="164">
        <f t="shared" si="34"/>
        <v>113.07673960636954</v>
      </c>
      <c r="CY9" s="147">
        <f t="shared" si="35"/>
        <v>0.48513590939133477</v>
      </c>
      <c r="CZ9" s="165">
        <f t="shared" si="36"/>
        <v>0.18110007194768479</v>
      </c>
      <c r="DA9" s="164">
        <f t="shared" si="37"/>
        <v>100.49239159444981</v>
      </c>
      <c r="DB9" s="148">
        <f t="shared" si="38"/>
        <v>12.58434801191973</v>
      </c>
      <c r="DC9" s="147">
        <f t="shared" si="39"/>
        <v>0.52523942537909007</v>
      </c>
      <c r="DD9" s="77">
        <f t="shared" si="82"/>
        <v>0.9389020540824069</v>
      </c>
      <c r="DE9" s="37">
        <f t="shared" si="40"/>
        <v>0.53846153846153844</v>
      </c>
      <c r="DF9" s="37">
        <f t="shared" si="41"/>
        <v>0.38461538461538464</v>
      </c>
      <c r="DG9" s="536">
        <f t="shared" si="42"/>
        <v>0.63461538461538458</v>
      </c>
      <c r="DH9" s="64">
        <f t="shared" si="83"/>
        <v>4.3770157102406282E-2</v>
      </c>
      <c r="DI9" s="64">
        <f t="shared" si="84"/>
        <v>0.21301476456504387</v>
      </c>
      <c r="DJ9" s="64">
        <f t="shared" si="85"/>
        <v>1.8052098691952869E-2</v>
      </c>
      <c r="DK9" s="64">
        <f t="shared" si="43"/>
        <v>2.3314393309949697E-2</v>
      </c>
      <c r="DL9" s="64">
        <f t="shared" si="86"/>
        <v>0.11834153586946881</v>
      </c>
      <c r="DM9" s="64">
        <f t="shared" si="44"/>
        <v>8.7428974912311372E-2</v>
      </c>
      <c r="DN9" s="64">
        <f t="shared" si="87"/>
        <v>0.19310643882586062</v>
      </c>
      <c r="DO9" s="37">
        <f t="shared" si="45"/>
        <v>1.1666666666666667</v>
      </c>
      <c r="DP9" s="66">
        <f t="shared" si="46"/>
        <v>7.7813248204309655</v>
      </c>
      <c r="DQ9" s="78">
        <f t="shared" si="47"/>
        <v>1.7956903431763767</v>
      </c>
      <c r="DR9" s="6"/>
      <c r="DS9" s="36"/>
      <c r="DT9" s="533">
        <f t="shared" si="88"/>
        <v>21.46030426975258</v>
      </c>
      <c r="DU9" s="18">
        <f t="shared" si="48"/>
        <v>15.073632314109018</v>
      </c>
      <c r="DV9" s="13">
        <f t="shared" si="49"/>
        <v>11.621589579197575</v>
      </c>
      <c r="DW9" s="14">
        <f t="shared" si="50"/>
        <v>0.53539974840574078</v>
      </c>
      <c r="DX9" s="14">
        <f t="shared" si="51"/>
        <v>2.1028225806451615</v>
      </c>
      <c r="DY9" s="14">
        <f t="shared" si="52"/>
        <v>1.0920000000000001</v>
      </c>
      <c r="DZ9" s="15">
        <f t="shared" si="89"/>
        <v>83.32352941176471</v>
      </c>
      <c r="EA9" s="14">
        <f t="shared" si="53"/>
        <v>0.78431790806198187</v>
      </c>
      <c r="EB9" s="14">
        <f t="shared" si="54"/>
        <v>0.16438356164383561</v>
      </c>
      <c r="EC9" s="14">
        <f t="shared" si="55"/>
        <v>0.41703468174056407</v>
      </c>
      <c r="ED9" s="14">
        <f t="shared" si="56"/>
        <v>0.98126330751616087</v>
      </c>
      <c r="EE9" s="19">
        <f t="shared" si="57"/>
        <v>9.8893150684931506</v>
      </c>
      <c r="EF9" s="67">
        <f t="shared" si="58"/>
        <v>0.10800000000000012</v>
      </c>
      <c r="EG9" s="74">
        <f t="shared" si="59"/>
        <v>31.070947382602171</v>
      </c>
      <c r="EH9" s="27">
        <f t="shared" si="91"/>
        <v>35.134014265057154</v>
      </c>
      <c r="EI9" s="25">
        <f t="shared" si="8"/>
        <v>27.393746865251426</v>
      </c>
      <c r="EJ9" s="25">
        <f t="shared" si="60"/>
        <v>4.9733422939068097</v>
      </c>
      <c r="EK9" s="26">
        <f t="shared" si="61"/>
        <v>2.2905380348056377</v>
      </c>
      <c r="EL9" s="29">
        <f t="shared" si="62"/>
        <v>0.71279373368146215</v>
      </c>
      <c r="EM9" s="30">
        <f t="shared" si="63"/>
        <v>0.22</v>
      </c>
      <c r="EN9" s="30">
        <f t="shared" si="64"/>
        <v>0.41176470588235292</v>
      </c>
      <c r="EO9" s="31">
        <f t="shared" si="65"/>
        <v>10.289127415143604</v>
      </c>
      <c r="EP9" s="31">
        <f t="shared" si="66"/>
        <v>12.8252289560845</v>
      </c>
      <c r="EQ9" s="31">
        <f t="shared" si="67"/>
        <v>23.114356371228105</v>
      </c>
      <c r="ER9" s="93">
        <f t="shared" si="68"/>
        <v>0.67362149443144204</v>
      </c>
      <c r="ES9" s="109">
        <f t="shared" si="69"/>
        <v>105.91990734433048</v>
      </c>
      <c r="ET9" s="32">
        <f t="shared" si="70"/>
        <v>2.4138332411837822</v>
      </c>
      <c r="EV9" s="275"/>
      <c r="EW9" s="276"/>
      <c r="EX9" s="37">
        <f t="shared" si="90"/>
        <v>2.0999999999999996</v>
      </c>
      <c r="EY9" s="72">
        <f t="shared" si="71"/>
        <v>3</v>
      </c>
      <c r="EZ9" s="7">
        <v>0.7</v>
      </c>
      <c r="FB9" s="41"/>
      <c r="FC9" s="139"/>
      <c r="FD9" s="89" t="s">
        <v>82</v>
      </c>
      <c r="FE9" s="41" t="s">
        <v>237</v>
      </c>
      <c r="FF9" s="164">
        <f t="shared" si="15"/>
        <v>66.826666666666668</v>
      </c>
      <c r="FG9" s="144">
        <f t="shared" si="16"/>
        <v>14</v>
      </c>
      <c r="FH9" s="265" t="s">
        <v>52</v>
      </c>
      <c r="FI9" s="145">
        <f t="shared" si="72"/>
        <v>26</v>
      </c>
      <c r="FJ9" s="194">
        <f t="shared" si="73"/>
        <v>0.53846153846153844</v>
      </c>
      <c r="FK9" s="110">
        <f t="shared" si="17"/>
        <v>5</v>
      </c>
      <c r="FL9" s="265" t="s">
        <v>52</v>
      </c>
      <c r="FM9" s="168">
        <f t="shared" si="18"/>
        <v>13</v>
      </c>
      <c r="FN9" s="194">
        <f t="shared" si="19"/>
        <v>0.38461538461538464</v>
      </c>
      <c r="FO9" s="262">
        <f t="shared" si="74"/>
        <v>0</v>
      </c>
      <c r="FP9" s="419" t="s">
        <v>52</v>
      </c>
      <c r="FQ9" s="274">
        <f t="shared" si="75"/>
        <v>0</v>
      </c>
      <c r="FR9" s="197" t="str">
        <f t="shared" si="76"/>
        <v>0</v>
      </c>
      <c r="FS9" s="140">
        <f t="shared" si="20"/>
        <v>3</v>
      </c>
      <c r="FT9" s="140">
        <f t="shared" si="21"/>
        <v>20</v>
      </c>
      <c r="FU9" s="140">
        <f t="shared" si="22"/>
        <v>23</v>
      </c>
      <c r="FV9" s="175">
        <f t="shared" si="22"/>
        <v>7</v>
      </c>
      <c r="FW9" s="140">
        <f t="shared" si="22"/>
        <v>8</v>
      </c>
      <c r="FX9" s="140">
        <f t="shared" si="22"/>
        <v>13</v>
      </c>
      <c r="FY9" s="140">
        <f t="shared" si="22"/>
        <v>3</v>
      </c>
      <c r="FZ9" s="140">
        <f t="shared" si="22"/>
        <v>4</v>
      </c>
      <c r="GA9" s="140">
        <f t="shared" si="22"/>
        <v>6</v>
      </c>
      <c r="GB9" s="140">
        <f t="shared" si="22"/>
        <v>1</v>
      </c>
      <c r="GC9" s="192">
        <f t="shared" si="77"/>
        <v>33</v>
      </c>
      <c r="GD9" s="201">
        <f t="shared" si="78"/>
        <v>113.07673960636954</v>
      </c>
      <c r="GE9" s="147">
        <f t="shared" si="78"/>
        <v>0.48513590939133477</v>
      </c>
      <c r="GF9" s="147">
        <f t="shared" si="78"/>
        <v>0.18110007194768479</v>
      </c>
      <c r="GG9" s="259">
        <f t="shared" si="78"/>
        <v>100.49239159444981</v>
      </c>
      <c r="GH9" s="192">
        <f t="shared" si="79"/>
        <v>12.58434801191973</v>
      </c>
      <c r="GI9" s="161">
        <f t="shared" si="23"/>
        <v>0.49381484437350359</v>
      </c>
      <c r="GJ9" s="82"/>
      <c r="GK9" s="24"/>
      <c r="GL9" s="366">
        <f t="shared" si="24"/>
        <v>2.0892857142857144</v>
      </c>
      <c r="GM9" s="366">
        <f>((E36/G36)*(1-(CJ36/(CJ36+CK35))))/((E36/G36)*(1-(CJ36/(CJ36+CK35)))+((1-(E36/G36)))*(CJ36/(CJ36+CK35)))</f>
        <v>0.77174435367611727</v>
      </c>
      <c r="GN9" s="370">
        <f>GK9+(GL9/10)+(GJ9*GM9*(1-(CJ36/(CJ36+CK35))))+(CK9*(1-GM9))</f>
        <v>4.774041497906226</v>
      </c>
      <c r="GO9" s="371">
        <f>GN9/(DD9*EG36)</f>
        <v>2.6073952985430259E-2</v>
      </c>
      <c r="GP9" s="46"/>
      <c r="GQ9" s="383">
        <f t="shared" si="80"/>
        <v>0.5</v>
      </c>
      <c r="GR9" s="385">
        <f t="shared" si="81"/>
        <v>0.19453312051077415</v>
      </c>
      <c r="GS9" s="389" t="s">
        <v>149</v>
      </c>
      <c r="GT9" s="120">
        <v>111.77684068009306</v>
      </c>
      <c r="GU9" s="147"/>
      <c r="GV9" s="190" t="s">
        <v>151</v>
      </c>
      <c r="GW9" s="399">
        <v>0.18669626951259566</v>
      </c>
      <c r="GX9" s="160" t="s">
        <v>141</v>
      </c>
      <c r="GY9" s="121">
        <v>1.2481203007518797</v>
      </c>
      <c r="GZ9" s="121"/>
      <c r="HA9" s="405" t="s">
        <v>143</v>
      </c>
      <c r="HB9" s="147">
        <v>0.64772727272727271</v>
      </c>
      <c r="HC9" s="139"/>
      <c r="HD9" s="416" t="s">
        <v>190</v>
      </c>
      <c r="HE9" s="164">
        <v>14.528284495663053</v>
      </c>
      <c r="HF9" s="164"/>
      <c r="HG9" s="41" t="s">
        <v>121</v>
      </c>
      <c r="HH9" s="28">
        <f t="shared" si="25"/>
        <v>2</v>
      </c>
      <c r="HI9" s="28">
        <f t="shared" si="26"/>
        <v>0.4</v>
      </c>
      <c r="HJ9" s="28">
        <f t="shared" si="27"/>
        <v>1.1538461538461537</v>
      </c>
      <c r="HK9" s="33"/>
      <c r="HL9" s="41"/>
      <c r="HM9" s="90">
        <f t="shared" si="28"/>
        <v>15.358654258742357</v>
      </c>
      <c r="HN9" s="6"/>
      <c r="HO9" s="37"/>
      <c r="HQ9" s="6">
        <f t="shared" si="29"/>
        <v>1.8333333333333333</v>
      </c>
      <c r="HR9" s="6">
        <f t="shared" si="30"/>
        <v>2.5</v>
      </c>
      <c r="HS9" s="41"/>
      <c r="HT9" s="396">
        <v>6</v>
      </c>
      <c r="HU9" s="397" t="s">
        <v>141</v>
      </c>
      <c r="HV9" s="395">
        <v>-17.688208088234134</v>
      </c>
      <c r="HX9" s="24"/>
      <c r="HY9" s="228"/>
      <c r="HZ9" s="37"/>
      <c r="IA9" s="24"/>
      <c r="IC9" s="6"/>
      <c r="IE9" s="41" t="s">
        <v>141</v>
      </c>
      <c r="IF9" s="6">
        <v>0.44031502176223741</v>
      </c>
      <c r="IJ9" s="24"/>
      <c r="IK9" s="12" t="s">
        <v>146</v>
      </c>
      <c r="IL9" s="250">
        <v>21</v>
      </c>
      <c r="IM9" s="58">
        <v>21</v>
      </c>
      <c r="IN9" s="326">
        <f t="shared" si="31"/>
        <v>0.5</v>
      </c>
      <c r="IO9" s="323"/>
      <c r="IP9" s="24"/>
      <c r="IQ9" s="41" t="s">
        <v>144</v>
      </c>
      <c r="IR9" s="64">
        <f t="shared" si="32"/>
        <v>0.18110007194768479</v>
      </c>
      <c r="IS9" s="66">
        <f t="shared" si="33"/>
        <v>113.07673960636954</v>
      </c>
      <c r="IV9" s="41"/>
      <c r="IW9" s="64"/>
    </row>
    <row r="10" spans="1:258" ht="17" thickBot="1" x14ac:dyDescent="0.25">
      <c r="A10" s="139"/>
      <c r="B10" s="89" t="s">
        <v>82</v>
      </c>
      <c r="C10" s="41" t="s">
        <v>210</v>
      </c>
      <c r="D10" s="308">
        <f>SUM(Start:Stop!D10)</f>
        <v>36.090000000000003</v>
      </c>
      <c r="E10" s="114">
        <f>SUM(Start:Stop!E10)</f>
        <v>2</v>
      </c>
      <c r="F10" s="339" t="s">
        <v>52</v>
      </c>
      <c r="G10" s="115">
        <f>SUM(Start:Stop!G10)</f>
        <v>11</v>
      </c>
      <c r="H10" s="116" t="s">
        <v>53</v>
      </c>
      <c r="I10" s="339">
        <f>SUM(Start:Stop!I10)</f>
        <v>2</v>
      </c>
      <c r="J10" s="115" t="s">
        <v>54</v>
      </c>
      <c r="K10" s="116">
        <f>SUM(Start:Stop!K10)</f>
        <v>1</v>
      </c>
      <c r="L10" s="339" t="s">
        <v>52</v>
      </c>
      <c r="M10" s="115">
        <f>SUM(Start:Stop!M10)</f>
        <v>3</v>
      </c>
      <c r="N10" s="116" t="s">
        <v>53</v>
      </c>
      <c r="O10" s="339">
        <f>SUM(Start:Stop!O10)</f>
        <v>1</v>
      </c>
      <c r="P10" s="115" t="s">
        <v>54</v>
      </c>
      <c r="Q10" s="116">
        <f>SUM(Start:Stop!Q10)</f>
        <v>0</v>
      </c>
      <c r="R10" s="339" t="s">
        <v>52</v>
      </c>
      <c r="S10" s="115">
        <f>SUM(Start:Stop!S10)</f>
        <v>4</v>
      </c>
      <c r="T10" s="116" t="s">
        <v>53</v>
      </c>
      <c r="U10" s="339">
        <f>SUM(Start:Stop!U10)</f>
        <v>0</v>
      </c>
      <c r="V10" s="115" t="s">
        <v>54</v>
      </c>
      <c r="W10" s="116">
        <f>SUM(Start:Stop!W10)</f>
        <v>1</v>
      </c>
      <c r="X10" s="339" t="s">
        <v>52</v>
      </c>
      <c r="Y10" s="115">
        <f>SUM(Start:Stop!Y10)</f>
        <v>4</v>
      </c>
      <c r="Z10" s="116" t="s">
        <v>53</v>
      </c>
      <c r="AA10" s="339">
        <f>SUM(Start:Stop!AA10)</f>
        <v>1</v>
      </c>
      <c r="AB10" s="115" t="s">
        <v>54</v>
      </c>
      <c r="AC10" s="329">
        <f>SUM(Start:Stop!AC10)</f>
        <v>0</v>
      </c>
      <c r="AD10" s="339" t="s">
        <v>52</v>
      </c>
      <c r="AE10" s="294">
        <f>SUM(Start:Stop!AE10)</f>
        <v>0</v>
      </c>
      <c r="AF10" s="226"/>
      <c r="AG10" s="243">
        <f>SUM(Start:Stop!AG10)</f>
        <v>2</v>
      </c>
      <c r="AH10" s="244" t="s">
        <v>52</v>
      </c>
      <c r="AI10" s="245">
        <f>SUM(Start:Stop!AI10)</f>
        <v>11</v>
      </c>
      <c r="AJ10" s="246" t="s">
        <v>53</v>
      </c>
      <c r="AK10" s="244">
        <f>SUM(Start:Stop!AK10)</f>
        <v>2</v>
      </c>
      <c r="AL10" s="245" t="s">
        <v>54</v>
      </c>
      <c r="AM10" s="246">
        <f>SUM(Start:Stop!AM10)</f>
        <v>1</v>
      </c>
      <c r="AN10" s="244" t="s">
        <v>52</v>
      </c>
      <c r="AO10" s="245">
        <f>SUM(Start:Stop!AO10)</f>
        <v>3</v>
      </c>
      <c r="AP10" s="246" t="s">
        <v>53</v>
      </c>
      <c r="AQ10" s="244">
        <f>SUM(Start:Stop!AQ10)</f>
        <v>1</v>
      </c>
      <c r="AR10" s="245" t="s">
        <v>54</v>
      </c>
      <c r="AS10" s="246">
        <f>SUM(Start:Stop!AS10)</f>
        <v>0</v>
      </c>
      <c r="AT10" s="244" t="s">
        <v>52</v>
      </c>
      <c r="AU10" s="245">
        <f>SUM(Start:Stop!AU10)</f>
        <v>4</v>
      </c>
      <c r="AV10" s="246" t="s">
        <v>53</v>
      </c>
      <c r="AW10" s="244">
        <f>SUM(Start:Stop!AW10)</f>
        <v>0</v>
      </c>
      <c r="AX10" s="245" t="s">
        <v>54</v>
      </c>
      <c r="AY10" s="246">
        <f>SUM(Start:Stop!AY10)</f>
        <v>1</v>
      </c>
      <c r="AZ10" s="244" t="s">
        <v>52</v>
      </c>
      <c r="BA10" s="245">
        <f>SUM(Start:Stop!BA10)</f>
        <v>4</v>
      </c>
      <c r="BB10" s="246" t="s">
        <v>53</v>
      </c>
      <c r="BC10" s="244">
        <f>SUM(Start:Stop!BC10)</f>
        <v>1</v>
      </c>
      <c r="BD10" s="245" t="s">
        <v>54</v>
      </c>
      <c r="BE10" s="246">
        <f>SUM(Start:Stop!BE10)</f>
        <v>0</v>
      </c>
      <c r="BF10" s="244" t="s">
        <v>52</v>
      </c>
      <c r="BG10" s="247">
        <f>SUM(Start:Stop!BG10)</f>
        <v>0</v>
      </c>
      <c r="BH10" s="115"/>
      <c r="BI10" s="243">
        <f>SUM(Start:Stop!BI10)</f>
        <v>0</v>
      </c>
      <c r="BJ10" s="244" t="s">
        <v>52</v>
      </c>
      <c r="BK10" s="245">
        <f>SUM(Start:Stop!BK10)</f>
        <v>0</v>
      </c>
      <c r="BL10" s="246" t="s">
        <v>53</v>
      </c>
      <c r="BM10" s="244">
        <f>SUM(Start:Stop!BM10)</f>
        <v>0</v>
      </c>
      <c r="BN10" s="245" t="s">
        <v>54</v>
      </c>
      <c r="BO10" s="246">
        <f>SUM(Start:Stop!BO10)</f>
        <v>0</v>
      </c>
      <c r="BP10" s="244" t="s">
        <v>52</v>
      </c>
      <c r="BQ10" s="245">
        <f>SUM(Start:Stop!BQ10)</f>
        <v>0</v>
      </c>
      <c r="BR10" s="246" t="s">
        <v>53</v>
      </c>
      <c r="BS10" s="244">
        <f>SUM(Start:Stop!BS10)</f>
        <v>0</v>
      </c>
      <c r="BT10" s="245" t="s">
        <v>54</v>
      </c>
      <c r="BU10" s="246">
        <f>SUM(Start:Stop!BU10)</f>
        <v>0</v>
      </c>
      <c r="BV10" s="244" t="s">
        <v>52</v>
      </c>
      <c r="BW10" s="245">
        <f>SUM(Start:Stop!BW10)</f>
        <v>0</v>
      </c>
      <c r="BX10" s="246" t="s">
        <v>53</v>
      </c>
      <c r="BY10" s="244">
        <f>SUM(Start:Stop!BY10)</f>
        <v>0</v>
      </c>
      <c r="BZ10" s="245" t="s">
        <v>54</v>
      </c>
      <c r="CA10" s="246">
        <f>SUM(Start:Stop!CA10)</f>
        <v>0</v>
      </c>
      <c r="CB10" s="244" t="s">
        <v>52</v>
      </c>
      <c r="CC10" s="245">
        <f>SUM(Start:Stop!CC10)</f>
        <v>0</v>
      </c>
      <c r="CD10" s="246" t="s">
        <v>53</v>
      </c>
      <c r="CE10" s="244">
        <f>SUM(Start:Stop!CE10)</f>
        <v>0</v>
      </c>
      <c r="CF10" s="245" t="s">
        <v>54</v>
      </c>
      <c r="CG10" s="246">
        <f>SUM(Start:Stop!CG10)</f>
        <v>0</v>
      </c>
      <c r="CH10" s="244" t="s">
        <v>52</v>
      </c>
      <c r="CI10" s="247">
        <f>SUM(Start:Stop!CI10)</f>
        <v>0</v>
      </c>
      <c r="CJ10" s="140">
        <f>SUM(Start:Stop!CJ10)</f>
        <v>0</v>
      </c>
      <c r="CK10" s="148">
        <f>SUM(Start:Stop!CK10)</f>
        <v>3</v>
      </c>
      <c r="CL10" s="148">
        <f>SUM(Start:Stop!CL10)</f>
        <v>0</v>
      </c>
      <c r="CM10" s="148">
        <f>SUM(Start:Stop!CM10)</f>
        <v>3</v>
      </c>
      <c r="CN10" s="148">
        <f>SUM(Start:Stop!CN10)</f>
        <v>3</v>
      </c>
      <c r="CO10" s="175">
        <f>SUM(Start:Stop!CO10)</f>
        <v>5</v>
      </c>
      <c r="CP10" s="140">
        <f>SUM(Start:Stop!CP10)</f>
        <v>12</v>
      </c>
      <c r="CQ10" s="140">
        <f>SUM(Start:Stop!CQ10)</f>
        <v>2</v>
      </c>
      <c r="CR10" s="148">
        <f>SUM(Start:Stop!CR10)</f>
        <v>0</v>
      </c>
      <c r="CS10" s="148">
        <f>SUM(Start:Stop!CS10)</f>
        <v>4</v>
      </c>
      <c r="CT10" s="140">
        <f>SUM(Start:Stop!CT10)</f>
        <v>2</v>
      </c>
      <c r="CU10" s="140">
        <f>SUM(Start:Stop!CU10)</f>
        <v>0</v>
      </c>
      <c r="CV10" s="148">
        <f>SUM(Start:Stop!CV10)</f>
        <v>5</v>
      </c>
      <c r="CW10" s="140"/>
      <c r="CX10" s="164">
        <f t="shared" si="34"/>
        <v>63.007901034411759</v>
      </c>
      <c r="CY10" s="147">
        <f t="shared" si="35"/>
        <v>0.25185522509526753</v>
      </c>
      <c r="CZ10" s="165">
        <f t="shared" si="36"/>
        <v>0.13386696313907076</v>
      </c>
      <c r="DA10" s="164">
        <f t="shared" si="37"/>
        <v>114.72555288179595</v>
      </c>
      <c r="DB10" s="148">
        <f t="shared" si="38"/>
        <v>-51.71765184738419</v>
      </c>
      <c r="DC10" s="147">
        <f t="shared" si="39"/>
        <v>0.13854253255749513</v>
      </c>
      <c r="DD10" s="77">
        <f t="shared" si="82"/>
        <v>0.50705768852505095</v>
      </c>
      <c r="DE10" s="37">
        <f t="shared" si="40"/>
        <v>0.18181818181818182</v>
      </c>
      <c r="DF10" s="37">
        <f t="shared" si="41"/>
        <v>0.25</v>
      </c>
      <c r="DG10" s="536">
        <f t="shared" si="42"/>
        <v>0.22727272727272727</v>
      </c>
      <c r="DH10" s="64">
        <f t="shared" si="83"/>
        <v>0</v>
      </c>
      <c r="DI10" s="64">
        <f t="shared" si="84"/>
        <v>7.4892234954105574E-2</v>
      </c>
      <c r="DJ10" s="64">
        <f t="shared" si="85"/>
        <v>0</v>
      </c>
      <c r="DK10" s="64">
        <f t="shared" si="43"/>
        <v>4.6346632959381975E-2</v>
      </c>
      <c r="DL10" s="64">
        <f t="shared" si="86"/>
        <v>0.15904533767135323</v>
      </c>
      <c r="DM10" s="64">
        <f t="shared" si="44"/>
        <v>0.19697319007737338</v>
      </c>
      <c r="DN10" s="64">
        <f t="shared" si="87"/>
        <v>0.17310706044490495</v>
      </c>
      <c r="DO10" s="37">
        <f t="shared" si="45"/>
        <v>2.5</v>
      </c>
      <c r="DP10" s="66">
        <f t="shared" si="46"/>
        <v>2.2166805209199221</v>
      </c>
      <c r="DQ10" s="78">
        <f t="shared" si="47"/>
        <v>0</v>
      </c>
      <c r="DR10" s="6"/>
      <c r="DS10" s="36"/>
      <c r="DT10" s="533">
        <f t="shared" si="88"/>
        <v>4.4837628151842619</v>
      </c>
      <c r="DU10" s="18">
        <f t="shared" si="48"/>
        <v>2.9098203672105662</v>
      </c>
      <c r="DV10" s="13">
        <f t="shared" si="49"/>
        <v>1.8562581524055768</v>
      </c>
      <c r="DW10" s="14">
        <f t="shared" si="50"/>
        <v>0.63246412941546182</v>
      </c>
      <c r="DX10" s="14">
        <f t="shared" si="51"/>
        <v>1.2919463087248322</v>
      </c>
      <c r="DY10" s="14" t="str">
        <f t="shared" si="52"/>
        <v>0</v>
      </c>
      <c r="DZ10" s="15">
        <f t="shared" si="89"/>
        <v>73.76984615384616</v>
      </c>
      <c r="EA10" s="14">
        <f t="shared" si="53"/>
        <v>0.63903874448258957</v>
      </c>
      <c r="EB10" s="14">
        <f t="shared" si="54"/>
        <v>0.24468085106382978</v>
      </c>
      <c r="EC10" s="14">
        <f t="shared" si="55"/>
        <v>0.3644755244755245</v>
      </c>
      <c r="ED10" s="14">
        <f t="shared" si="56"/>
        <v>0</v>
      </c>
      <c r="EE10" s="19">
        <f t="shared" si="57"/>
        <v>6.6437234042553186</v>
      </c>
      <c r="EF10" s="67" t="str">
        <f t="shared" si="58"/>
        <v>0</v>
      </c>
      <c r="EG10" s="74">
        <f t="shared" si="59"/>
        <v>11.553543771465884</v>
      </c>
      <c r="EH10" s="27">
        <f t="shared" si="91"/>
        <v>7.279645425492669</v>
      </c>
      <c r="EI10" s="25">
        <f t="shared" si="8"/>
        <v>4.6406453810139423</v>
      </c>
      <c r="EJ10" s="25">
        <f t="shared" si="60"/>
        <v>3.2090279281229703</v>
      </c>
      <c r="EK10" s="26">
        <f t="shared" si="61"/>
        <v>0</v>
      </c>
      <c r="EL10" s="29">
        <f t="shared" si="62"/>
        <v>0.86951163148975508</v>
      </c>
      <c r="EM10" s="30">
        <f t="shared" si="63"/>
        <v>0.13924050632911392</v>
      </c>
      <c r="EN10" s="30">
        <f t="shared" si="64"/>
        <v>0.51875000000000004</v>
      </c>
      <c r="EO10" s="31">
        <f t="shared" si="65"/>
        <v>4.3914651055307345</v>
      </c>
      <c r="EP10" s="31">
        <f t="shared" si="66"/>
        <v>6.8488425432838751</v>
      </c>
      <c r="EQ10" s="31">
        <f t="shared" si="67"/>
        <v>11.240307648814611</v>
      </c>
      <c r="ER10" s="93">
        <f t="shared" si="68"/>
        <v>0.65118801618768085</v>
      </c>
      <c r="ES10" s="109">
        <f t="shared" si="69"/>
        <v>123.05405631337622</v>
      </c>
      <c r="ET10" s="32">
        <f t="shared" si="70"/>
        <v>2.3339662320569499</v>
      </c>
      <c r="EV10" s="275"/>
      <c r="EW10" s="276"/>
      <c r="EX10" s="37">
        <f t="shared" si="90"/>
        <v>0</v>
      </c>
      <c r="EY10" s="72">
        <f t="shared" si="71"/>
        <v>0</v>
      </c>
      <c r="EZ10" s="7">
        <v>0.75</v>
      </c>
      <c r="FB10" s="57"/>
      <c r="FC10" s="178"/>
      <c r="FD10" s="216" t="s">
        <v>82</v>
      </c>
      <c r="FE10" s="180" t="s">
        <v>238</v>
      </c>
      <c r="FF10" s="393">
        <f t="shared" si="15"/>
        <v>36.090000000000003</v>
      </c>
      <c r="FG10" s="182">
        <f t="shared" si="16"/>
        <v>2</v>
      </c>
      <c r="FH10" s="183" t="s">
        <v>52</v>
      </c>
      <c r="FI10" s="184">
        <f t="shared" si="72"/>
        <v>11</v>
      </c>
      <c r="FJ10" s="193">
        <f t="shared" si="73"/>
        <v>0.18181818181818182</v>
      </c>
      <c r="FK10" s="185">
        <f t="shared" si="17"/>
        <v>1</v>
      </c>
      <c r="FL10" s="183" t="s">
        <v>52</v>
      </c>
      <c r="FM10" s="186">
        <f t="shared" si="18"/>
        <v>4</v>
      </c>
      <c r="FN10" s="193">
        <f t="shared" si="19"/>
        <v>0.25</v>
      </c>
      <c r="FO10" s="261">
        <f t="shared" si="74"/>
        <v>0</v>
      </c>
      <c r="FP10" s="183" t="s">
        <v>52</v>
      </c>
      <c r="FQ10" s="268">
        <f t="shared" si="75"/>
        <v>0</v>
      </c>
      <c r="FR10" s="196" t="str">
        <f>IFERROR(FO10/FQ10,"0")</f>
        <v>0</v>
      </c>
      <c r="FS10" s="179">
        <f t="shared" si="20"/>
        <v>0</v>
      </c>
      <c r="FT10" s="179">
        <f t="shared" si="21"/>
        <v>3</v>
      </c>
      <c r="FU10" s="179">
        <f t="shared" si="22"/>
        <v>3</v>
      </c>
      <c r="FV10" s="187">
        <f t="shared" si="22"/>
        <v>5</v>
      </c>
      <c r="FW10" s="179">
        <f t="shared" si="22"/>
        <v>12</v>
      </c>
      <c r="FX10" s="179">
        <f t="shared" si="22"/>
        <v>2</v>
      </c>
      <c r="FY10" s="179">
        <f t="shared" si="22"/>
        <v>0</v>
      </c>
      <c r="FZ10" s="179">
        <f t="shared" si="22"/>
        <v>4</v>
      </c>
      <c r="GA10" s="179">
        <f t="shared" si="22"/>
        <v>2</v>
      </c>
      <c r="GB10" s="179">
        <f t="shared" si="22"/>
        <v>0</v>
      </c>
      <c r="GC10" s="191">
        <f t="shared" si="77"/>
        <v>5</v>
      </c>
      <c r="GD10" s="200">
        <f t="shared" si="78"/>
        <v>63.007901034411759</v>
      </c>
      <c r="GE10" s="181">
        <f t="shared" si="78"/>
        <v>0.25185522509526753</v>
      </c>
      <c r="GF10" s="181">
        <f t="shared" si="78"/>
        <v>0.13386696313907076</v>
      </c>
      <c r="GG10" s="258">
        <f t="shared" si="78"/>
        <v>114.72555288179595</v>
      </c>
      <c r="GH10" s="191">
        <f t="shared" si="79"/>
        <v>-51.71765184738419</v>
      </c>
      <c r="GI10" s="297">
        <f t="shared" si="23"/>
        <v>0.13854253255749513</v>
      </c>
      <c r="GJ10" s="82"/>
      <c r="GK10" s="24"/>
      <c r="GL10" s="366">
        <f t="shared" si="24"/>
        <v>0.67368421052631555</v>
      </c>
      <c r="GM10" s="366">
        <f>((E38/G38)*(1-(CJ38/(CJ38+CK37))))/((E38/G38)*(1-(CJ38/(CJ38+CK37)))+((1-(E38/G38)))*(CJ38/(CJ38+CK37)))</f>
        <v>0.8177924217462933</v>
      </c>
      <c r="GN10" s="370">
        <f>GK10+(GL10/10)+(GJ10*GM10*(1-(CJ38/(CJ38+CK37))))+(CK10*(1-GM10))</f>
        <v>0.61399115581375163</v>
      </c>
      <c r="GO10" s="371">
        <f>GN10/(DD10*EG38)</f>
        <v>7.0850040784579153E-3</v>
      </c>
      <c r="GP10" s="46"/>
      <c r="GQ10" s="383">
        <f t="shared" si="80"/>
        <v>0.36363636363636365</v>
      </c>
      <c r="GR10" s="385">
        <f t="shared" si="81"/>
        <v>0.11083402604599611</v>
      </c>
      <c r="GS10" s="389" t="s">
        <v>154</v>
      </c>
      <c r="GT10" s="120">
        <v>109.82257475975317</v>
      </c>
      <c r="GU10" s="147"/>
      <c r="GV10" s="190" t="s">
        <v>188</v>
      </c>
      <c r="GW10" s="399">
        <v>0.18663211296875495</v>
      </c>
      <c r="GX10" s="190" t="s">
        <v>187</v>
      </c>
      <c r="GY10" s="121">
        <v>1.2417582417582418</v>
      </c>
      <c r="GZ10" s="121"/>
      <c r="HA10" s="405" t="s">
        <v>188</v>
      </c>
      <c r="HB10" s="147">
        <v>0.57480314960629919</v>
      </c>
      <c r="HC10" s="139"/>
      <c r="HD10" s="416" t="s">
        <v>148</v>
      </c>
      <c r="HE10" s="164">
        <v>14.112904110972691</v>
      </c>
      <c r="HF10" s="164"/>
      <c r="HG10" s="41" t="s">
        <v>176</v>
      </c>
      <c r="HH10" s="28">
        <f t="shared" si="25"/>
        <v>0.66666666666666663</v>
      </c>
      <c r="HI10" s="28">
        <f t="shared" si="26"/>
        <v>0</v>
      </c>
      <c r="HJ10" s="28">
        <f t="shared" si="27"/>
        <v>0.75</v>
      </c>
      <c r="HK10" s="33"/>
      <c r="HL10" s="41"/>
      <c r="HM10" s="90">
        <f t="shared" si="28"/>
        <v>6.3260072739328628</v>
      </c>
      <c r="HN10" s="6"/>
      <c r="HO10" s="37"/>
      <c r="HQ10" s="6">
        <f t="shared" si="29"/>
        <v>4.5</v>
      </c>
      <c r="HR10" s="6">
        <f t="shared" si="30"/>
        <v>8.5</v>
      </c>
      <c r="HS10" s="41"/>
      <c r="HT10" s="396">
        <v>7</v>
      </c>
      <c r="HU10" s="397" t="s">
        <v>149</v>
      </c>
      <c r="HV10" s="395">
        <v>-18.526125971918773</v>
      </c>
      <c r="HX10" s="24"/>
      <c r="HY10" s="228"/>
      <c r="HZ10" s="37"/>
      <c r="IA10" s="24"/>
      <c r="IC10" s="6"/>
      <c r="IE10" s="41" t="s">
        <v>151</v>
      </c>
      <c r="IF10" s="6">
        <v>0.43945628305026507</v>
      </c>
      <c r="IJ10" s="24"/>
      <c r="IK10" s="12" t="s">
        <v>145</v>
      </c>
      <c r="IL10" s="250">
        <v>17</v>
      </c>
      <c r="IM10" s="36">
        <v>20</v>
      </c>
      <c r="IN10" s="326">
        <f t="shared" ref="IN10:IN16" si="92">IL10/(IL10+IM10)</f>
        <v>0.45945945945945948</v>
      </c>
      <c r="IO10" s="323"/>
      <c r="IP10" s="24"/>
      <c r="IQ10" s="41" t="s">
        <v>171</v>
      </c>
      <c r="IR10" s="64">
        <f t="shared" si="32"/>
        <v>0.13386696313907076</v>
      </c>
      <c r="IS10" s="66">
        <f t="shared" si="33"/>
        <v>63.007901034411759</v>
      </c>
      <c r="IV10" s="41"/>
      <c r="IW10" s="64"/>
    </row>
    <row r="11" spans="1:258" ht="17" thickBot="1" x14ac:dyDescent="0.25">
      <c r="A11" s="139"/>
      <c r="B11" s="89" t="s">
        <v>82</v>
      </c>
      <c r="C11" s="41" t="s">
        <v>211</v>
      </c>
      <c r="D11" s="308">
        <f>SUM(Start:Stop!D11)</f>
        <v>38.949999999999996</v>
      </c>
      <c r="E11" s="114">
        <f>SUM(Start:Stop!E11)</f>
        <v>7</v>
      </c>
      <c r="F11" s="339" t="s">
        <v>52</v>
      </c>
      <c r="G11" s="115">
        <f>SUM(Start:Stop!G11)</f>
        <v>10</v>
      </c>
      <c r="H11" s="116" t="s">
        <v>53</v>
      </c>
      <c r="I11" s="339">
        <f>SUM(Start:Stop!I11)</f>
        <v>5</v>
      </c>
      <c r="J11" s="115" t="s">
        <v>54</v>
      </c>
      <c r="K11" s="116">
        <f>SUM(Start:Stop!K11)</f>
        <v>2</v>
      </c>
      <c r="L11" s="339" t="s">
        <v>52</v>
      </c>
      <c r="M11" s="115">
        <f>SUM(Start:Stop!M11)</f>
        <v>2</v>
      </c>
      <c r="N11" s="116" t="s">
        <v>53</v>
      </c>
      <c r="O11" s="339">
        <f>SUM(Start:Stop!O11)</f>
        <v>1</v>
      </c>
      <c r="P11" s="115" t="s">
        <v>54</v>
      </c>
      <c r="Q11" s="116">
        <f>SUM(Start:Stop!Q11)</f>
        <v>1</v>
      </c>
      <c r="R11" s="339" t="s">
        <v>52</v>
      </c>
      <c r="S11" s="115">
        <f>SUM(Start:Stop!S11)</f>
        <v>1</v>
      </c>
      <c r="T11" s="116" t="s">
        <v>53</v>
      </c>
      <c r="U11" s="339">
        <f>SUM(Start:Stop!U11)</f>
        <v>1</v>
      </c>
      <c r="V11" s="115" t="s">
        <v>54</v>
      </c>
      <c r="W11" s="116">
        <f>SUM(Start:Stop!W11)</f>
        <v>4</v>
      </c>
      <c r="X11" s="339" t="s">
        <v>52</v>
      </c>
      <c r="Y11" s="115">
        <f>SUM(Start:Stop!Y11)</f>
        <v>7</v>
      </c>
      <c r="Z11" s="116" t="s">
        <v>53</v>
      </c>
      <c r="AA11" s="339">
        <f>SUM(Start:Stop!AA11)</f>
        <v>3</v>
      </c>
      <c r="AB11" s="115" t="s">
        <v>54</v>
      </c>
      <c r="AC11" s="329">
        <f>SUM(Start:Stop!AC11)</f>
        <v>2.25</v>
      </c>
      <c r="AD11" s="339" t="s">
        <v>52</v>
      </c>
      <c r="AE11" s="294">
        <f>SUM(Start:Stop!AE11)</f>
        <v>3</v>
      </c>
      <c r="AF11" s="226"/>
      <c r="AG11" s="243">
        <f>SUM(Start:Stop!AG11)</f>
        <v>5</v>
      </c>
      <c r="AH11" s="244" t="s">
        <v>52</v>
      </c>
      <c r="AI11" s="245">
        <f>SUM(Start:Stop!AI11)</f>
        <v>8</v>
      </c>
      <c r="AJ11" s="246" t="s">
        <v>53</v>
      </c>
      <c r="AK11" s="244">
        <f>SUM(Start:Stop!AK11)</f>
        <v>4</v>
      </c>
      <c r="AL11" s="245" t="s">
        <v>54</v>
      </c>
      <c r="AM11" s="246">
        <f>SUM(Start:Stop!AM11)</f>
        <v>2</v>
      </c>
      <c r="AN11" s="244" t="s">
        <v>52</v>
      </c>
      <c r="AO11" s="245">
        <f>SUM(Start:Stop!AO11)</f>
        <v>2</v>
      </c>
      <c r="AP11" s="246" t="s">
        <v>53</v>
      </c>
      <c r="AQ11" s="244">
        <f>SUM(Start:Stop!AQ11)</f>
        <v>1</v>
      </c>
      <c r="AR11" s="245" t="s">
        <v>54</v>
      </c>
      <c r="AS11" s="246">
        <f>SUM(Start:Stop!AS11)</f>
        <v>1</v>
      </c>
      <c r="AT11" s="244" t="s">
        <v>52</v>
      </c>
      <c r="AU11" s="245">
        <f>SUM(Start:Stop!AU11)</f>
        <v>1</v>
      </c>
      <c r="AV11" s="246" t="s">
        <v>53</v>
      </c>
      <c r="AW11" s="244">
        <f>SUM(Start:Stop!AW11)</f>
        <v>1</v>
      </c>
      <c r="AX11" s="245" t="s">
        <v>54</v>
      </c>
      <c r="AY11" s="246">
        <f>SUM(Start:Stop!AY11)</f>
        <v>2</v>
      </c>
      <c r="AZ11" s="244" t="s">
        <v>52</v>
      </c>
      <c r="BA11" s="245">
        <f>SUM(Start:Stop!BA11)</f>
        <v>5</v>
      </c>
      <c r="BB11" s="246" t="s">
        <v>53</v>
      </c>
      <c r="BC11" s="244">
        <f>SUM(Start:Stop!BC11)</f>
        <v>2</v>
      </c>
      <c r="BD11" s="245" t="s">
        <v>54</v>
      </c>
      <c r="BE11" s="246">
        <f>SUM(Start:Stop!BE11)</f>
        <v>0</v>
      </c>
      <c r="BF11" s="244" t="s">
        <v>52</v>
      </c>
      <c r="BG11" s="247">
        <f>SUM(Start:Stop!BG11)</f>
        <v>0</v>
      </c>
      <c r="BH11" s="115"/>
      <c r="BI11" s="243">
        <f>SUM(Start:Stop!BI11)</f>
        <v>2</v>
      </c>
      <c r="BJ11" s="244" t="s">
        <v>52</v>
      </c>
      <c r="BK11" s="245">
        <f>SUM(Start:Stop!BK11)</f>
        <v>2</v>
      </c>
      <c r="BL11" s="246" t="s">
        <v>53</v>
      </c>
      <c r="BM11" s="244">
        <f>SUM(Start:Stop!BM11)</f>
        <v>1</v>
      </c>
      <c r="BN11" s="245" t="s">
        <v>54</v>
      </c>
      <c r="BO11" s="246">
        <f>SUM(Start:Stop!BO11)</f>
        <v>0</v>
      </c>
      <c r="BP11" s="244" t="s">
        <v>52</v>
      </c>
      <c r="BQ11" s="245">
        <f>SUM(Start:Stop!BQ11)</f>
        <v>0</v>
      </c>
      <c r="BR11" s="246" t="s">
        <v>53</v>
      </c>
      <c r="BS11" s="244">
        <f>SUM(Start:Stop!BS11)</f>
        <v>0</v>
      </c>
      <c r="BT11" s="245" t="s">
        <v>54</v>
      </c>
      <c r="BU11" s="246">
        <f>SUM(Start:Stop!BU11)</f>
        <v>0</v>
      </c>
      <c r="BV11" s="244" t="s">
        <v>52</v>
      </c>
      <c r="BW11" s="245">
        <f>SUM(Start:Stop!BW11)</f>
        <v>0</v>
      </c>
      <c r="BX11" s="246" t="s">
        <v>53</v>
      </c>
      <c r="BY11" s="244">
        <f>SUM(Start:Stop!BY11)</f>
        <v>0</v>
      </c>
      <c r="BZ11" s="245" t="s">
        <v>54</v>
      </c>
      <c r="CA11" s="246">
        <f>SUM(Start:Stop!CA11)</f>
        <v>2</v>
      </c>
      <c r="CB11" s="244" t="s">
        <v>52</v>
      </c>
      <c r="CC11" s="245">
        <f>SUM(Start:Stop!CC11)</f>
        <v>2</v>
      </c>
      <c r="CD11" s="246" t="s">
        <v>53</v>
      </c>
      <c r="CE11" s="244">
        <f>SUM(Start:Stop!CE11)</f>
        <v>1</v>
      </c>
      <c r="CF11" s="245" t="s">
        <v>54</v>
      </c>
      <c r="CG11" s="246">
        <f>SUM(Start:Stop!CG11)</f>
        <v>0</v>
      </c>
      <c r="CH11" s="244" t="s">
        <v>52</v>
      </c>
      <c r="CI11" s="247">
        <f>SUM(Start:Stop!CI11)</f>
        <v>0</v>
      </c>
      <c r="CJ11" s="140">
        <f>SUM(Start:Stop!CJ11)</f>
        <v>0</v>
      </c>
      <c r="CK11" s="148">
        <f>SUM(Start:Stop!CK11)</f>
        <v>3</v>
      </c>
      <c r="CL11" s="148">
        <f>SUM(Start:Stop!CL11)</f>
        <v>0</v>
      </c>
      <c r="CM11" s="148">
        <f>SUM(Start:Stop!CM11)</f>
        <v>3</v>
      </c>
      <c r="CN11" s="148">
        <f>SUM(Start:Stop!CN11)</f>
        <v>3</v>
      </c>
      <c r="CO11" s="175">
        <f>SUM(Start:Stop!CO11)</f>
        <v>4</v>
      </c>
      <c r="CP11" s="140">
        <f>SUM(Start:Stop!CP11)</f>
        <v>3</v>
      </c>
      <c r="CQ11" s="140">
        <f>SUM(Start:Stop!CQ11)</f>
        <v>2</v>
      </c>
      <c r="CR11" s="148">
        <f>SUM(Start:Stop!CR11)</f>
        <v>3</v>
      </c>
      <c r="CS11" s="148">
        <f>SUM(Start:Stop!CS11)</f>
        <v>1</v>
      </c>
      <c r="CT11" s="140">
        <f>SUM(Start:Stop!CT11)</f>
        <v>3</v>
      </c>
      <c r="CU11" s="140">
        <f>SUM(Start:Stop!CU11)</f>
        <v>0</v>
      </c>
      <c r="CV11" s="148">
        <f>SUM(Start:Stop!CV11)</f>
        <v>20.25</v>
      </c>
      <c r="CW11" s="140"/>
      <c r="CX11" s="164">
        <f t="shared" si="34"/>
        <v>137.95716628829132</v>
      </c>
      <c r="CY11" s="147">
        <f t="shared" si="35"/>
        <v>0.56234468815543903</v>
      </c>
      <c r="CZ11" s="165">
        <f t="shared" si="36"/>
        <v>0.12468702297110625</v>
      </c>
      <c r="DA11" s="164">
        <f t="shared" si="37"/>
        <v>103.7395612171839</v>
      </c>
      <c r="DB11" s="148">
        <f t="shared" si="38"/>
        <v>34.217605071107414</v>
      </c>
      <c r="DC11" s="147">
        <f t="shared" si="39"/>
        <v>0.51989730423620029</v>
      </c>
      <c r="DD11" s="77">
        <f t="shared" si="82"/>
        <v>0.54724014874066862</v>
      </c>
      <c r="DE11" s="37">
        <f t="shared" si="40"/>
        <v>0.7</v>
      </c>
      <c r="DF11" s="37">
        <f t="shared" si="41"/>
        <v>0.5714285714285714</v>
      </c>
      <c r="DG11" s="536">
        <f t="shared" si="42"/>
        <v>0.9</v>
      </c>
      <c r="DH11" s="64">
        <f t="shared" si="83"/>
        <v>0</v>
      </c>
      <c r="DI11" s="64">
        <f t="shared" si="84"/>
        <v>5.8319722502936114E-2</v>
      </c>
      <c r="DJ11" s="64">
        <f t="shared" si="85"/>
        <v>0</v>
      </c>
      <c r="DK11" s="64">
        <f t="shared" si="43"/>
        <v>9.696085592680783E-3</v>
      </c>
      <c r="DL11" s="64">
        <f t="shared" si="86"/>
        <v>9.6176384478526208E-2</v>
      </c>
      <c r="DM11" s="64">
        <f t="shared" si="44"/>
        <v>6.7872599148765478E-2</v>
      </c>
      <c r="DN11" s="64">
        <f t="shared" si="87"/>
        <v>0.2332901699383983</v>
      </c>
      <c r="DO11" s="37">
        <f t="shared" si="45"/>
        <v>1.3333333333333333</v>
      </c>
      <c r="DP11" s="66">
        <f t="shared" si="46"/>
        <v>2.0539152759948656</v>
      </c>
      <c r="DQ11" s="78">
        <f t="shared" si="47"/>
        <v>3.0808729139922981</v>
      </c>
      <c r="DR11" s="6"/>
      <c r="DS11" s="36"/>
      <c r="DT11" s="533">
        <f t="shared" si="88"/>
        <v>21.100077021822855</v>
      </c>
      <c r="DU11" s="18">
        <f>IFERROR((DV11+DX11+DY11)*(1-(CJ32/EZ32)*EA11*EC11)+ED11,"0")</f>
        <v>7.2314837136592125</v>
      </c>
      <c r="DV11" s="13">
        <f t="shared" si="49"/>
        <v>5.2636339821182245</v>
      </c>
      <c r="DW11" s="14">
        <f t="shared" si="50"/>
        <v>0.55122730726405578</v>
      </c>
      <c r="DX11" s="14">
        <f t="shared" si="51"/>
        <v>1.1866666666666668</v>
      </c>
      <c r="DY11" s="14">
        <f t="shared" si="52"/>
        <v>1.125</v>
      </c>
      <c r="DZ11" s="15">
        <f t="shared" si="89"/>
        <v>89.739944444444447</v>
      </c>
      <c r="EA11" s="14">
        <f t="shared" si="53"/>
        <v>0.8277271170718401</v>
      </c>
      <c r="EB11" s="14">
        <f t="shared" si="54"/>
        <v>0.13924050632911392</v>
      </c>
      <c r="EC11" s="14">
        <f t="shared" si="55"/>
        <v>0.43732916395928095</v>
      </c>
      <c r="ED11" s="14">
        <f t="shared" si="56"/>
        <v>0</v>
      </c>
      <c r="EE11" s="19">
        <f t="shared" si="57"/>
        <v>2.5530379746835443</v>
      </c>
      <c r="EF11" s="67">
        <f t="shared" si="58"/>
        <v>7.5000000000000011E-2</v>
      </c>
      <c r="EG11" s="74">
        <f t="shared" si="59"/>
        <v>12.859521688342756</v>
      </c>
      <c r="EH11" s="27">
        <f t="shared" si="91"/>
        <v>17.740631719465902</v>
      </c>
      <c r="EI11" s="25">
        <f t="shared" si="8"/>
        <v>13.535058811161148</v>
      </c>
      <c r="EJ11" s="25">
        <f t="shared" si="60"/>
        <v>2.7792982456140352</v>
      </c>
      <c r="EK11" s="26">
        <f t="shared" si="61"/>
        <v>0</v>
      </c>
      <c r="EL11" s="29">
        <f t="shared" si="62"/>
        <v>0.67298578199052139</v>
      </c>
      <c r="EM11" s="30">
        <f t="shared" si="63"/>
        <v>0.24468085106382978</v>
      </c>
      <c r="EN11" s="30">
        <f t="shared" si="64"/>
        <v>0.4</v>
      </c>
      <c r="EO11" s="31">
        <f t="shared" si="65"/>
        <v>1.9810426540284358</v>
      </c>
      <c r="EP11" s="31">
        <f t="shared" si="66"/>
        <v>6.7495189448870905</v>
      </c>
      <c r="EQ11" s="31">
        <f t="shared" si="67"/>
        <v>8.7305615989155267</v>
      </c>
      <c r="ER11" s="93">
        <f t="shared" si="68"/>
        <v>0.42326136267628472</v>
      </c>
      <c r="ES11" s="109">
        <f t="shared" si="69"/>
        <v>94.766719569864208</v>
      </c>
      <c r="ET11" s="32">
        <f t="shared" si="70"/>
        <v>2.4210434115252424</v>
      </c>
      <c r="EV11" s="275"/>
      <c r="EW11" s="276"/>
      <c r="EX11" s="37">
        <f t="shared" si="90"/>
        <v>2.25</v>
      </c>
      <c r="EY11" s="72">
        <f t="shared" si="71"/>
        <v>3</v>
      </c>
      <c r="EZ11" s="7">
        <v>0.75</v>
      </c>
      <c r="FB11" s="57"/>
      <c r="FC11" s="139"/>
      <c r="FD11" s="89" t="s">
        <v>82</v>
      </c>
      <c r="FE11" s="41" t="s">
        <v>239</v>
      </c>
      <c r="FF11" s="164">
        <f t="shared" si="15"/>
        <v>38.949999999999996</v>
      </c>
      <c r="FG11" s="144">
        <f t="shared" si="16"/>
        <v>7</v>
      </c>
      <c r="FH11" s="265" t="s">
        <v>52</v>
      </c>
      <c r="FI11" s="145">
        <f t="shared" si="72"/>
        <v>10</v>
      </c>
      <c r="FJ11" s="194">
        <f t="shared" si="73"/>
        <v>0.7</v>
      </c>
      <c r="FK11" s="110">
        <f t="shared" si="17"/>
        <v>4</v>
      </c>
      <c r="FL11" s="265" t="s">
        <v>52</v>
      </c>
      <c r="FM11" s="168">
        <f t="shared" si="18"/>
        <v>7</v>
      </c>
      <c r="FN11" s="194">
        <f t="shared" si="19"/>
        <v>0.5714285714285714</v>
      </c>
      <c r="FO11" s="262">
        <f t="shared" si="74"/>
        <v>0</v>
      </c>
      <c r="FP11" s="419" t="s">
        <v>52</v>
      </c>
      <c r="FQ11" s="274">
        <f t="shared" si="75"/>
        <v>0</v>
      </c>
      <c r="FR11" s="197" t="str">
        <f t="shared" si="76"/>
        <v>0</v>
      </c>
      <c r="FS11" s="140">
        <f t="shared" si="20"/>
        <v>0</v>
      </c>
      <c r="FT11" s="140">
        <f t="shared" si="21"/>
        <v>3</v>
      </c>
      <c r="FU11" s="140">
        <f t="shared" si="22"/>
        <v>3</v>
      </c>
      <c r="FV11" s="175">
        <f t="shared" si="22"/>
        <v>4</v>
      </c>
      <c r="FW11" s="140">
        <f t="shared" si="22"/>
        <v>3</v>
      </c>
      <c r="FX11" s="140">
        <f t="shared" si="22"/>
        <v>2</v>
      </c>
      <c r="FY11" s="140">
        <f t="shared" si="22"/>
        <v>3</v>
      </c>
      <c r="FZ11" s="140">
        <f t="shared" si="22"/>
        <v>1</v>
      </c>
      <c r="GA11" s="140">
        <f t="shared" si="22"/>
        <v>3</v>
      </c>
      <c r="GB11" s="140">
        <f t="shared" si="22"/>
        <v>0</v>
      </c>
      <c r="GC11" s="192">
        <f t="shared" si="77"/>
        <v>18</v>
      </c>
      <c r="GD11" s="201">
        <f t="shared" si="78"/>
        <v>137.95716628829132</v>
      </c>
      <c r="GE11" s="147">
        <f t="shared" si="78"/>
        <v>0.56234468815543903</v>
      </c>
      <c r="GF11" s="147">
        <f t="shared" si="78"/>
        <v>0.12468702297110625</v>
      </c>
      <c r="GG11" s="259">
        <f t="shared" si="78"/>
        <v>103.7395612171839</v>
      </c>
      <c r="GH11" s="192">
        <f t="shared" si="79"/>
        <v>34.217605071107414</v>
      </c>
      <c r="GI11" s="161">
        <f t="shared" si="23"/>
        <v>0.46213093709884473</v>
      </c>
      <c r="GJ11" s="82"/>
      <c r="GK11" s="24"/>
      <c r="GL11" s="366">
        <f t="shared" si="24"/>
        <v>0.36399999999999993</v>
      </c>
      <c r="GM11" s="366" t="e">
        <f>((#REF!/#REF!)*(1-(#REF!/(#REF!+CK39))))/((#REF!/#REF!)*(1-(#REF!/(#REF!+CK39)))+((1-(#REF!/#REF!)))*(#REF!/(#REF!+CK39)))</f>
        <v>#REF!</v>
      </c>
      <c r="GN11" s="370" t="e">
        <f>GK11+(GL11/10)+(GJ11*GM11*(1-(#REF!/(#REF!+CK39))))+(CK11*(1-GM11))</f>
        <v>#REF!</v>
      </c>
      <c r="GO11" s="371" t="e">
        <f>GN11/(DD11*#REF!)</f>
        <v>#REF!</v>
      </c>
      <c r="GP11" s="46"/>
      <c r="GQ11" s="383">
        <f t="shared" si="80"/>
        <v>0.7</v>
      </c>
      <c r="GR11" s="385">
        <f t="shared" si="81"/>
        <v>0.17971758664955073</v>
      </c>
      <c r="GS11" s="389" t="s">
        <v>187</v>
      </c>
      <c r="GT11" s="120">
        <v>106.24511059462608</v>
      </c>
      <c r="GU11" s="147"/>
      <c r="GV11" s="190" t="s">
        <v>187</v>
      </c>
      <c r="GW11" s="399">
        <v>0.15982027799471984</v>
      </c>
      <c r="GX11" s="190" t="s">
        <v>154</v>
      </c>
      <c r="GY11" s="147">
        <v>1.1666666666666667</v>
      </c>
      <c r="GZ11" s="147"/>
      <c r="HA11" s="405" t="s">
        <v>149</v>
      </c>
      <c r="HB11" s="147">
        <v>0.56944444444444442</v>
      </c>
      <c r="HC11" s="139"/>
      <c r="HD11" s="417" t="s">
        <v>144</v>
      </c>
      <c r="HE11" s="120">
        <v>13.464052792681654</v>
      </c>
      <c r="HF11" s="120"/>
      <c r="HG11" s="41" t="s">
        <v>122</v>
      </c>
      <c r="HH11" s="28">
        <f t="shared" ref="HH11:HH14" si="93">(K11*2)/M11</f>
        <v>2</v>
      </c>
      <c r="HI11" s="28">
        <f t="shared" ref="HI11:HI14" si="94">(Q11*2)/S11</f>
        <v>2</v>
      </c>
      <c r="HJ11" s="28">
        <f t="shared" ref="HJ11:HJ14" si="95">(W11*3)/Y11</f>
        <v>1.7142857142857142</v>
      </c>
      <c r="HK11" s="33"/>
      <c r="HL11" s="41"/>
      <c r="HM11" s="90">
        <f t="shared" si="28"/>
        <v>12.901101271512678</v>
      </c>
      <c r="HN11" s="6"/>
      <c r="HO11" s="37"/>
      <c r="HQ11" s="6">
        <f t="shared" si="29"/>
        <v>1.6666666666666667</v>
      </c>
      <c r="HR11" s="6">
        <f t="shared" si="30"/>
        <v>2.3333333333333335</v>
      </c>
      <c r="HS11" s="41"/>
      <c r="HT11" s="396">
        <v>8</v>
      </c>
      <c r="HU11" s="397" t="s">
        <v>190</v>
      </c>
      <c r="HV11" s="395">
        <v>-22.507776547375485</v>
      </c>
      <c r="HX11" s="24"/>
      <c r="HY11" s="228"/>
      <c r="HZ11" s="37"/>
      <c r="IA11" s="24"/>
      <c r="IC11" s="6"/>
      <c r="IE11" s="41" t="s">
        <v>139</v>
      </c>
      <c r="IF11" s="6">
        <v>0.40139373505319065</v>
      </c>
      <c r="IJ11" s="24"/>
      <c r="IK11" s="12" t="s">
        <v>142</v>
      </c>
      <c r="IL11" s="250">
        <v>20</v>
      </c>
      <c r="IM11" s="36">
        <v>24</v>
      </c>
      <c r="IN11" s="326">
        <f t="shared" si="92"/>
        <v>0.45454545454545453</v>
      </c>
      <c r="IO11" s="323"/>
      <c r="IP11" s="24"/>
      <c r="IQ11" s="41" t="s">
        <v>154</v>
      </c>
      <c r="IR11" s="64">
        <f t="shared" si="32"/>
        <v>0.12468702297110625</v>
      </c>
      <c r="IS11" s="66">
        <f t="shared" si="33"/>
        <v>137.95716628829132</v>
      </c>
      <c r="IV11" s="41"/>
      <c r="IW11" s="335"/>
    </row>
    <row r="12" spans="1:258" ht="17" thickBot="1" x14ac:dyDescent="0.25">
      <c r="A12" s="139"/>
      <c r="B12" s="89" t="s">
        <v>82</v>
      </c>
      <c r="C12" s="41" t="s">
        <v>212</v>
      </c>
      <c r="D12" s="308">
        <f>SUM(Start:Stop!D12)</f>
        <v>25.496666666666666</v>
      </c>
      <c r="E12" s="114">
        <f>SUM(Start:Stop!E12)</f>
        <v>3</v>
      </c>
      <c r="F12" s="339" t="s">
        <v>52</v>
      </c>
      <c r="G12" s="115">
        <f>SUM(Start:Stop!G12)</f>
        <v>11</v>
      </c>
      <c r="H12" s="116" t="s">
        <v>53</v>
      </c>
      <c r="I12" s="339">
        <f>SUM(Start:Stop!I12)</f>
        <v>1</v>
      </c>
      <c r="J12" s="115" t="s">
        <v>54</v>
      </c>
      <c r="K12" s="116">
        <f>SUM(Start:Stop!K12)</f>
        <v>3</v>
      </c>
      <c r="L12" s="339" t="s">
        <v>52</v>
      </c>
      <c r="M12" s="115">
        <f>SUM(Start:Stop!M12)</f>
        <v>8</v>
      </c>
      <c r="N12" s="116" t="s">
        <v>53</v>
      </c>
      <c r="O12" s="339">
        <f>SUM(Start:Stop!O12)</f>
        <v>1</v>
      </c>
      <c r="P12" s="115" t="s">
        <v>54</v>
      </c>
      <c r="Q12" s="116">
        <f>SUM(Start:Stop!Q12)</f>
        <v>0</v>
      </c>
      <c r="R12" s="339" t="s">
        <v>52</v>
      </c>
      <c r="S12" s="115">
        <f>SUM(Start:Stop!S12)</f>
        <v>0</v>
      </c>
      <c r="T12" s="116" t="s">
        <v>53</v>
      </c>
      <c r="U12" s="339">
        <f>SUM(Start:Stop!U12)</f>
        <v>0</v>
      </c>
      <c r="V12" s="115" t="s">
        <v>54</v>
      </c>
      <c r="W12" s="116">
        <f>SUM(Start:Stop!W12)</f>
        <v>0</v>
      </c>
      <c r="X12" s="339" t="s">
        <v>52</v>
      </c>
      <c r="Y12" s="115">
        <f>SUM(Start:Stop!Y12)</f>
        <v>3</v>
      </c>
      <c r="Z12" s="116" t="s">
        <v>53</v>
      </c>
      <c r="AA12" s="339">
        <f>SUM(Start:Stop!AA12)</f>
        <v>0</v>
      </c>
      <c r="AB12" s="115" t="s">
        <v>54</v>
      </c>
      <c r="AC12" s="329">
        <f>SUM(Start:Stop!AC12)</f>
        <v>1.7999999999999998</v>
      </c>
      <c r="AD12" s="339" t="s">
        <v>52</v>
      </c>
      <c r="AE12" s="294">
        <f>SUM(Start:Stop!AE12)</f>
        <v>3</v>
      </c>
      <c r="AF12" s="226"/>
      <c r="AG12" s="243">
        <f>SUM(Start:Stop!AG12)</f>
        <v>1</v>
      </c>
      <c r="AH12" s="244" t="s">
        <v>52</v>
      </c>
      <c r="AI12" s="245">
        <f>SUM(Start:Stop!AI12)</f>
        <v>4</v>
      </c>
      <c r="AJ12" s="246" t="s">
        <v>53</v>
      </c>
      <c r="AK12" s="244">
        <f>SUM(Start:Stop!AK12)</f>
        <v>0</v>
      </c>
      <c r="AL12" s="245" t="s">
        <v>54</v>
      </c>
      <c r="AM12" s="246">
        <f>SUM(Start:Stop!AM12)</f>
        <v>1</v>
      </c>
      <c r="AN12" s="244" t="s">
        <v>52</v>
      </c>
      <c r="AO12" s="245">
        <f>SUM(Start:Stop!AO12)</f>
        <v>3</v>
      </c>
      <c r="AP12" s="246" t="s">
        <v>53</v>
      </c>
      <c r="AQ12" s="244">
        <f>SUM(Start:Stop!AQ12)</f>
        <v>0</v>
      </c>
      <c r="AR12" s="245" t="s">
        <v>54</v>
      </c>
      <c r="AS12" s="246">
        <f>SUM(Start:Stop!AS12)</f>
        <v>0</v>
      </c>
      <c r="AT12" s="244" t="s">
        <v>52</v>
      </c>
      <c r="AU12" s="245">
        <f>SUM(Start:Stop!AU12)</f>
        <v>0</v>
      </c>
      <c r="AV12" s="246" t="s">
        <v>53</v>
      </c>
      <c r="AW12" s="244">
        <f>SUM(Start:Stop!AW12)</f>
        <v>0</v>
      </c>
      <c r="AX12" s="245" t="s">
        <v>54</v>
      </c>
      <c r="AY12" s="246">
        <f>SUM(Start:Stop!AY12)</f>
        <v>0</v>
      </c>
      <c r="AZ12" s="244" t="s">
        <v>52</v>
      </c>
      <c r="BA12" s="245">
        <f>SUM(Start:Stop!BA12)</f>
        <v>1</v>
      </c>
      <c r="BB12" s="246" t="s">
        <v>53</v>
      </c>
      <c r="BC12" s="244">
        <f>SUM(Start:Stop!BC12)</f>
        <v>0</v>
      </c>
      <c r="BD12" s="245" t="s">
        <v>54</v>
      </c>
      <c r="BE12" s="246">
        <f>SUM(Start:Stop!BE12)</f>
        <v>0</v>
      </c>
      <c r="BF12" s="244" t="s">
        <v>52</v>
      </c>
      <c r="BG12" s="247">
        <f>SUM(Start:Stop!BG12)</f>
        <v>0</v>
      </c>
      <c r="BH12" s="115"/>
      <c r="BI12" s="243">
        <f>SUM(Start:Stop!BI12)</f>
        <v>2</v>
      </c>
      <c r="BJ12" s="244" t="s">
        <v>52</v>
      </c>
      <c r="BK12" s="245">
        <f>SUM(Start:Stop!BK12)</f>
        <v>7</v>
      </c>
      <c r="BL12" s="246" t="s">
        <v>53</v>
      </c>
      <c r="BM12" s="244">
        <f>SUM(Start:Stop!BM12)</f>
        <v>1</v>
      </c>
      <c r="BN12" s="245" t="s">
        <v>54</v>
      </c>
      <c r="BO12" s="246">
        <f>SUM(Start:Stop!BO12)</f>
        <v>2</v>
      </c>
      <c r="BP12" s="244" t="s">
        <v>52</v>
      </c>
      <c r="BQ12" s="245">
        <f>SUM(Start:Stop!BQ12)</f>
        <v>5</v>
      </c>
      <c r="BR12" s="246" t="s">
        <v>53</v>
      </c>
      <c r="BS12" s="244">
        <f>SUM(Start:Stop!BS12)</f>
        <v>1</v>
      </c>
      <c r="BT12" s="245" t="s">
        <v>54</v>
      </c>
      <c r="BU12" s="246">
        <f>SUM(Start:Stop!BU12)</f>
        <v>0</v>
      </c>
      <c r="BV12" s="244" t="s">
        <v>52</v>
      </c>
      <c r="BW12" s="245">
        <f>SUM(Start:Stop!BW12)</f>
        <v>0</v>
      </c>
      <c r="BX12" s="246" t="s">
        <v>53</v>
      </c>
      <c r="BY12" s="244">
        <f>SUM(Start:Stop!BY12)</f>
        <v>0</v>
      </c>
      <c r="BZ12" s="245" t="s">
        <v>54</v>
      </c>
      <c r="CA12" s="246">
        <f>SUM(Start:Stop!CA12)</f>
        <v>0</v>
      </c>
      <c r="CB12" s="244" t="s">
        <v>52</v>
      </c>
      <c r="CC12" s="245">
        <f>SUM(Start:Stop!CC12)</f>
        <v>2</v>
      </c>
      <c r="CD12" s="246" t="s">
        <v>53</v>
      </c>
      <c r="CE12" s="244">
        <f>SUM(Start:Stop!CE12)</f>
        <v>0</v>
      </c>
      <c r="CF12" s="245" t="s">
        <v>54</v>
      </c>
      <c r="CG12" s="246">
        <f>SUM(Start:Stop!CG12)</f>
        <v>0</v>
      </c>
      <c r="CH12" s="244" t="s">
        <v>52</v>
      </c>
      <c r="CI12" s="247">
        <f>SUM(Start:Stop!CI12)</f>
        <v>0</v>
      </c>
      <c r="CJ12" s="140">
        <f>SUM(Start:Stop!CJ12)</f>
        <v>2</v>
      </c>
      <c r="CK12" s="148">
        <f>SUM(Start:Stop!CK12)</f>
        <v>5</v>
      </c>
      <c r="CL12" s="148">
        <f>SUM(Start:Stop!CL12)</f>
        <v>3</v>
      </c>
      <c r="CM12" s="148">
        <f>SUM(Start:Stop!CM12)</f>
        <v>2</v>
      </c>
      <c r="CN12" s="148">
        <f>SUM(Start:Stop!CN12)</f>
        <v>7</v>
      </c>
      <c r="CO12" s="175">
        <f>SUM(Start:Stop!CO12)</f>
        <v>0</v>
      </c>
      <c r="CP12" s="140">
        <f>SUM(Start:Stop!CP12)</f>
        <v>0</v>
      </c>
      <c r="CQ12" s="140">
        <f>SUM(Start:Stop!CQ12)</f>
        <v>0</v>
      </c>
      <c r="CR12" s="148">
        <f>SUM(Start:Stop!CR12)</f>
        <v>3</v>
      </c>
      <c r="CS12" s="148">
        <f>SUM(Start:Stop!CS12)</f>
        <v>2</v>
      </c>
      <c r="CT12" s="140">
        <f>SUM(Start:Stop!CT12)</f>
        <v>0</v>
      </c>
      <c r="CU12" s="140">
        <f>SUM(Start:Stop!CU12)</f>
        <v>0</v>
      </c>
      <c r="CV12" s="148">
        <f>SUM(Start:Stop!CV12)</f>
        <v>7.8</v>
      </c>
      <c r="CW12" s="140"/>
      <c r="CX12" s="164">
        <f t="shared" si="34"/>
        <v>78.758456843254223</v>
      </c>
      <c r="CY12" s="147">
        <f t="shared" si="35"/>
        <v>0.3923391885170156</v>
      </c>
      <c r="CZ12" s="165">
        <f t="shared" si="36"/>
        <v>0.16162922045983499</v>
      </c>
      <c r="DA12" s="164">
        <f t="shared" si="37"/>
        <v>101.54825992934161</v>
      </c>
      <c r="DB12" s="148">
        <f t="shared" si="38"/>
        <v>-22.789803086087389</v>
      </c>
      <c r="DC12" s="147">
        <f t="shared" si="39"/>
        <v>0.30592234278990715</v>
      </c>
      <c r="DD12" s="77">
        <f t="shared" si="82"/>
        <v>0.35822335453293747</v>
      </c>
      <c r="DE12" s="37">
        <f t="shared" si="40"/>
        <v>0.27272727272727271</v>
      </c>
      <c r="DF12" s="37">
        <f t="shared" si="41"/>
        <v>0</v>
      </c>
      <c r="DG12" s="536">
        <f t="shared" si="42"/>
        <v>0.27272727272727271</v>
      </c>
      <c r="DH12" s="64">
        <f t="shared" si="83"/>
        <v>5.7557823743552478E-2</v>
      </c>
      <c r="DI12" s="64">
        <f t="shared" si="84"/>
        <v>0.18365489812909838</v>
      </c>
      <c r="DJ12" s="64">
        <f t="shared" si="85"/>
        <v>0</v>
      </c>
      <c r="DK12" s="64">
        <f t="shared" si="43"/>
        <v>3.1426238641363388E-2</v>
      </c>
      <c r="DL12" s="64">
        <f t="shared" si="86"/>
        <v>0</v>
      </c>
      <c r="DM12" s="64">
        <f t="shared" si="44"/>
        <v>0</v>
      </c>
      <c r="DN12" s="64">
        <f t="shared" si="87"/>
        <v>0</v>
      </c>
      <c r="DO12" s="37" t="str">
        <f t="shared" si="45"/>
        <v>0</v>
      </c>
      <c r="DP12" s="66">
        <f t="shared" si="46"/>
        <v>0</v>
      </c>
      <c r="DQ12" s="78">
        <f t="shared" si="47"/>
        <v>4.7064975813831875</v>
      </c>
      <c r="DR12" s="6"/>
      <c r="DS12" s="36"/>
      <c r="DT12" s="533">
        <f t="shared" si="88"/>
        <v>10.359424761406718</v>
      </c>
      <c r="DU12" s="18">
        <f t="shared" si="48"/>
        <v>4.0357026445019297</v>
      </c>
      <c r="DV12" s="13">
        <f t="shared" si="49"/>
        <v>2.7347710202895783</v>
      </c>
      <c r="DW12" s="14">
        <f t="shared" si="50"/>
        <v>0.64833750595880812</v>
      </c>
      <c r="DX12" s="14">
        <f t="shared" si="51"/>
        <v>0</v>
      </c>
      <c r="DY12" s="14">
        <f t="shared" si="52"/>
        <v>1.008</v>
      </c>
      <c r="DZ12" s="15">
        <f t="shared" si="89"/>
        <v>85.5</v>
      </c>
      <c r="EA12" s="14">
        <f t="shared" si="53"/>
        <v>0.70375004115497319</v>
      </c>
      <c r="EB12" s="14">
        <f t="shared" si="54"/>
        <v>0.22680412371134021</v>
      </c>
      <c r="EC12" s="14">
        <f t="shared" si="55"/>
        <v>0.41066282420749284</v>
      </c>
      <c r="ED12" s="14">
        <f t="shared" si="56"/>
        <v>0.57800795887368117</v>
      </c>
      <c r="EE12" s="19">
        <f t="shared" si="57"/>
        <v>6.0585567010309278</v>
      </c>
      <c r="EF12" s="67">
        <f t="shared" si="58"/>
        <v>0.19200000000000006</v>
      </c>
      <c r="EG12" s="74">
        <f t="shared" si="59"/>
        <v>10.286259345532859</v>
      </c>
      <c r="EH12" s="27">
        <f t="shared" si="91"/>
        <v>8.1012991274367003</v>
      </c>
      <c r="EI12" s="25">
        <f t="shared" si="8"/>
        <v>5.4695420405791566</v>
      </c>
      <c r="EJ12" s="25">
        <f t="shared" si="60"/>
        <v>0</v>
      </c>
      <c r="EK12" s="26">
        <f t="shared" si="61"/>
        <v>1.3723463818872199</v>
      </c>
      <c r="EL12" s="29">
        <f t="shared" si="62"/>
        <v>0.83116883116883111</v>
      </c>
      <c r="EM12" s="30">
        <f t="shared" si="63"/>
        <v>0.15789473684210525</v>
      </c>
      <c r="EN12" s="30">
        <f t="shared" si="64"/>
        <v>0.48</v>
      </c>
      <c r="EO12" s="31">
        <f t="shared" si="65"/>
        <v>2.8441558441558445</v>
      </c>
      <c r="EP12" s="31">
        <f t="shared" si="66"/>
        <v>4.9960439181030383</v>
      </c>
      <c r="EQ12" s="31">
        <f t="shared" si="67"/>
        <v>7.8401997622588828</v>
      </c>
      <c r="ER12" s="93">
        <f t="shared" si="68"/>
        <v>0.61596997181177038</v>
      </c>
      <c r="ES12" s="109">
        <f t="shared" si="69"/>
        <v>104.16106082633793</v>
      </c>
      <c r="ET12" s="32">
        <f t="shared" si="70"/>
        <v>2.3721336784816676</v>
      </c>
      <c r="EV12" s="275"/>
      <c r="EW12" s="276"/>
      <c r="EX12" s="37">
        <f t="shared" si="90"/>
        <v>1.7999999999999998</v>
      </c>
      <c r="EY12" s="72">
        <f t="shared" si="71"/>
        <v>3</v>
      </c>
      <c r="EZ12" s="7">
        <v>0.6</v>
      </c>
      <c r="FB12" s="57"/>
      <c r="FC12" s="178"/>
      <c r="FD12" s="216" t="s">
        <v>82</v>
      </c>
      <c r="FE12" s="180" t="s">
        <v>240</v>
      </c>
      <c r="FF12" s="393">
        <f t="shared" si="15"/>
        <v>25.496666666666666</v>
      </c>
      <c r="FG12" s="182">
        <f t="shared" si="16"/>
        <v>3</v>
      </c>
      <c r="FH12" s="183" t="s">
        <v>52</v>
      </c>
      <c r="FI12" s="184">
        <f t="shared" si="72"/>
        <v>11</v>
      </c>
      <c r="FJ12" s="193">
        <f t="shared" si="73"/>
        <v>0.27272727272727271</v>
      </c>
      <c r="FK12" s="185">
        <f t="shared" si="17"/>
        <v>0</v>
      </c>
      <c r="FL12" s="183" t="s">
        <v>52</v>
      </c>
      <c r="FM12" s="186">
        <f t="shared" si="18"/>
        <v>3</v>
      </c>
      <c r="FN12" s="193">
        <f t="shared" si="19"/>
        <v>0</v>
      </c>
      <c r="FO12" s="261">
        <f t="shared" si="74"/>
        <v>0</v>
      </c>
      <c r="FP12" s="183" t="s">
        <v>52</v>
      </c>
      <c r="FQ12" s="268">
        <f t="shared" si="75"/>
        <v>0</v>
      </c>
      <c r="FR12" s="196" t="str">
        <f t="shared" si="76"/>
        <v>0</v>
      </c>
      <c r="FS12" s="179">
        <f t="shared" si="20"/>
        <v>2</v>
      </c>
      <c r="FT12" s="179">
        <f t="shared" si="21"/>
        <v>5</v>
      </c>
      <c r="FU12" s="179">
        <f t="shared" si="22"/>
        <v>7</v>
      </c>
      <c r="FV12" s="187">
        <f t="shared" si="22"/>
        <v>0</v>
      </c>
      <c r="FW12" s="179">
        <f t="shared" si="22"/>
        <v>0</v>
      </c>
      <c r="FX12" s="179">
        <f t="shared" si="22"/>
        <v>0</v>
      </c>
      <c r="FY12" s="179">
        <f t="shared" si="22"/>
        <v>3</v>
      </c>
      <c r="FZ12" s="179">
        <f t="shared" si="22"/>
        <v>2</v>
      </c>
      <c r="GA12" s="179">
        <f t="shared" si="22"/>
        <v>0</v>
      </c>
      <c r="GB12" s="179">
        <f t="shared" si="22"/>
        <v>0</v>
      </c>
      <c r="GC12" s="191">
        <f t="shared" si="77"/>
        <v>6</v>
      </c>
      <c r="GD12" s="200">
        <f t="shared" si="78"/>
        <v>78.758456843254223</v>
      </c>
      <c r="GE12" s="181">
        <f t="shared" si="78"/>
        <v>0.3923391885170156</v>
      </c>
      <c r="GF12" s="181">
        <f t="shared" si="78"/>
        <v>0.16162922045983499</v>
      </c>
      <c r="GG12" s="258">
        <f t="shared" si="78"/>
        <v>101.54825992934161</v>
      </c>
      <c r="GH12" s="191">
        <f t="shared" si="79"/>
        <v>-22.789803086087389</v>
      </c>
      <c r="GI12" s="297">
        <f t="shared" si="23"/>
        <v>0.23532487906915936</v>
      </c>
      <c r="GJ12" s="82"/>
      <c r="GK12" s="24"/>
      <c r="GL12" s="366">
        <f t="shared" si="24"/>
        <v>0</v>
      </c>
      <c r="GM12" s="366">
        <f>((E41/G41)*(1-(CJ41/(CJ41+CK40))))/((E41/G41)*(1-(CJ41/(CJ41+CK40)))+((1-(E41/G41)))*(CJ41/(CJ41+CK40)))</f>
        <v>0.72594501718213056</v>
      </c>
      <c r="GN12" s="370">
        <f>GK12+(GL12/10)+(GJ12*GM12*(1-(CJ41/(CJ41+CK40))))+(CK12*(1-GM12))</f>
        <v>1.3702749140893471</v>
      </c>
      <c r="GO12" s="371">
        <f>GN12/(DD12*EG41)</f>
        <v>2.259365397245082E-2</v>
      </c>
      <c r="GP12" s="46"/>
      <c r="GQ12" s="383">
        <f t="shared" si="80"/>
        <v>0.27272727272727271</v>
      </c>
      <c r="GR12" s="385">
        <f t="shared" si="81"/>
        <v>0.11766243953457968</v>
      </c>
      <c r="GS12" s="389" t="s">
        <v>141</v>
      </c>
      <c r="GT12" s="120">
        <v>105.84924270918343</v>
      </c>
      <c r="GU12" s="147"/>
      <c r="GV12" s="160" t="s">
        <v>190</v>
      </c>
      <c r="GW12" s="399">
        <v>0.15222451222420744</v>
      </c>
      <c r="GX12" s="190" t="s">
        <v>188</v>
      </c>
      <c r="GY12" s="147">
        <v>1.1259842519685039</v>
      </c>
      <c r="GZ12" s="147"/>
      <c r="HA12" s="405" t="s">
        <v>190</v>
      </c>
      <c r="HB12" s="147">
        <v>0.53608247422680411</v>
      </c>
      <c r="HC12" s="139"/>
      <c r="HD12" s="416" t="s">
        <v>187</v>
      </c>
      <c r="HE12" s="164">
        <v>12.223082481578324</v>
      </c>
      <c r="HF12" s="164"/>
      <c r="HG12" s="41" t="s">
        <v>177</v>
      </c>
      <c r="HH12" s="28">
        <f t="shared" si="93"/>
        <v>0.75</v>
      </c>
      <c r="HI12" s="28" t="e">
        <f t="shared" si="94"/>
        <v>#DIV/0!</v>
      </c>
      <c r="HJ12" s="28">
        <f t="shared" si="95"/>
        <v>0</v>
      </c>
      <c r="HK12" s="33"/>
      <c r="HL12" s="41"/>
      <c r="HM12" s="90">
        <f t="shared" ref="HM12:HM18" si="96">(GD12/100)*(GF12*75)</f>
        <v>9.5472509881460521</v>
      </c>
      <c r="HN12" s="6"/>
      <c r="HO12" s="37"/>
      <c r="HQ12" s="6" t="e">
        <f t="shared" si="29"/>
        <v>#DIV/0!</v>
      </c>
      <c r="HR12" s="6" t="e">
        <f t="shared" si="30"/>
        <v>#DIV/0!</v>
      </c>
      <c r="HS12" s="41"/>
      <c r="HT12" s="396">
        <v>9</v>
      </c>
      <c r="HU12" s="397" t="s">
        <v>187</v>
      </c>
      <c r="HV12" s="395">
        <v>-24.537832829291702</v>
      </c>
      <c r="HX12" s="24"/>
      <c r="HY12" s="228"/>
      <c r="HZ12" s="37"/>
      <c r="IA12" s="24"/>
      <c r="IC12" s="6"/>
      <c r="IE12" s="41" t="s">
        <v>150</v>
      </c>
      <c r="IF12" s="6">
        <v>0.38515917513701942</v>
      </c>
      <c r="IJ12" s="24"/>
      <c r="IK12" s="12" t="s">
        <v>148</v>
      </c>
      <c r="IL12" s="250">
        <v>17</v>
      </c>
      <c r="IM12" s="36">
        <v>23</v>
      </c>
      <c r="IN12" s="326">
        <f t="shared" si="92"/>
        <v>0.42499999999999999</v>
      </c>
      <c r="IO12" s="323"/>
      <c r="IP12" s="24"/>
      <c r="IQ12" s="41" t="s">
        <v>146</v>
      </c>
      <c r="IR12" s="64">
        <f t="shared" si="32"/>
        <v>0.16162922045983499</v>
      </c>
      <c r="IS12" s="66">
        <f t="shared" si="33"/>
        <v>78.758456843254223</v>
      </c>
      <c r="IV12" s="41"/>
      <c r="IW12" s="64"/>
    </row>
    <row r="13" spans="1:258" ht="17" thickBot="1" x14ac:dyDescent="0.25">
      <c r="A13" s="139"/>
      <c r="B13" s="89" t="s">
        <v>82</v>
      </c>
      <c r="C13" s="41" t="s">
        <v>213</v>
      </c>
      <c r="D13" s="308">
        <f>SUM(Start:Stop!D13)</f>
        <v>47.483333333333334</v>
      </c>
      <c r="E13" s="114">
        <f>SUM(Start:Stop!E13)</f>
        <v>15</v>
      </c>
      <c r="F13" s="339" t="s">
        <v>52</v>
      </c>
      <c r="G13" s="115">
        <f>SUM(Start:Stop!G13)</f>
        <v>29</v>
      </c>
      <c r="H13" s="116" t="s">
        <v>53</v>
      </c>
      <c r="I13" s="339">
        <f>SUM(Start:Stop!I13)</f>
        <v>6</v>
      </c>
      <c r="J13" s="115" t="s">
        <v>54</v>
      </c>
      <c r="K13" s="116">
        <f>SUM(Start:Stop!K13)</f>
        <v>7</v>
      </c>
      <c r="L13" s="339" t="s">
        <v>52</v>
      </c>
      <c r="M13" s="115">
        <f>SUM(Start:Stop!M13)</f>
        <v>13</v>
      </c>
      <c r="N13" s="116" t="s">
        <v>53</v>
      </c>
      <c r="O13" s="339">
        <f>SUM(Start:Stop!O13)</f>
        <v>0</v>
      </c>
      <c r="P13" s="115" t="s">
        <v>54</v>
      </c>
      <c r="Q13" s="116">
        <f>SUM(Start:Stop!Q13)</f>
        <v>1</v>
      </c>
      <c r="R13" s="339" t="s">
        <v>52</v>
      </c>
      <c r="S13" s="115">
        <f>SUM(Start:Stop!S13)</f>
        <v>2</v>
      </c>
      <c r="T13" s="116" t="s">
        <v>53</v>
      </c>
      <c r="U13" s="339">
        <f>SUM(Start:Stop!U13)</f>
        <v>0</v>
      </c>
      <c r="V13" s="115" t="s">
        <v>54</v>
      </c>
      <c r="W13" s="116">
        <f>SUM(Start:Stop!W13)</f>
        <v>7</v>
      </c>
      <c r="X13" s="339" t="s">
        <v>52</v>
      </c>
      <c r="Y13" s="115">
        <f>SUM(Start:Stop!Y13)</f>
        <v>14</v>
      </c>
      <c r="Z13" s="116" t="s">
        <v>53</v>
      </c>
      <c r="AA13" s="339">
        <f>SUM(Start:Stop!AA13)</f>
        <v>6</v>
      </c>
      <c r="AB13" s="115" t="s">
        <v>54</v>
      </c>
      <c r="AC13" s="329">
        <f>SUM(Start:Stop!AC13)</f>
        <v>5.25</v>
      </c>
      <c r="AD13" s="339" t="s">
        <v>52</v>
      </c>
      <c r="AE13" s="294">
        <f>SUM(Start:Stop!AE13)</f>
        <v>7</v>
      </c>
      <c r="AF13" s="226"/>
      <c r="AG13" s="243">
        <f>SUM(Start:Stop!AG13)</f>
        <v>13</v>
      </c>
      <c r="AH13" s="244" t="s">
        <v>52</v>
      </c>
      <c r="AI13" s="245">
        <f>SUM(Start:Stop!AI13)</f>
        <v>25</v>
      </c>
      <c r="AJ13" s="246" t="s">
        <v>53</v>
      </c>
      <c r="AK13" s="244">
        <f>SUM(Start:Stop!AK13)</f>
        <v>5</v>
      </c>
      <c r="AL13" s="245" t="s">
        <v>54</v>
      </c>
      <c r="AM13" s="246">
        <f>SUM(Start:Stop!AM13)</f>
        <v>6</v>
      </c>
      <c r="AN13" s="244" t="s">
        <v>52</v>
      </c>
      <c r="AO13" s="245">
        <f>SUM(Start:Stop!AO13)</f>
        <v>12</v>
      </c>
      <c r="AP13" s="246" t="s">
        <v>53</v>
      </c>
      <c r="AQ13" s="244">
        <f>SUM(Start:Stop!AQ13)</f>
        <v>0</v>
      </c>
      <c r="AR13" s="245" t="s">
        <v>54</v>
      </c>
      <c r="AS13" s="246">
        <f>SUM(Start:Stop!AS13)</f>
        <v>1</v>
      </c>
      <c r="AT13" s="244" t="s">
        <v>52</v>
      </c>
      <c r="AU13" s="245">
        <f>SUM(Start:Stop!AU13)</f>
        <v>2</v>
      </c>
      <c r="AV13" s="246" t="s">
        <v>53</v>
      </c>
      <c r="AW13" s="244">
        <f>SUM(Start:Stop!AW13)</f>
        <v>0</v>
      </c>
      <c r="AX13" s="245" t="s">
        <v>54</v>
      </c>
      <c r="AY13" s="246">
        <f>SUM(Start:Stop!AY13)</f>
        <v>6</v>
      </c>
      <c r="AZ13" s="244" t="s">
        <v>52</v>
      </c>
      <c r="BA13" s="245">
        <f>SUM(Start:Stop!BA13)</f>
        <v>11</v>
      </c>
      <c r="BB13" s="246" t="s">
        <v>53</v>
      </c>
      <c r="BC13" s="244">
        <f>SUM(Start:Stop!BC13)</f>
        <v>5</v>
      </c>
      <c r="BD13" s="245" t="s">
        <v>54</v>
      </c>
      <c r="BE13" s="246">
        <f>SUM(Start:Stop!BE13)</f>
        <v>0</v>
      </c>
      <c r="BF13" s="244" t="s">
        <v>52</v>
      </c>
      <c r="BG13" s="247">
        <f>SUM(Start:Stop!BG13)</f>
        <v>0</v>
      </c>
      <c r="BH13" s="115"/>
      <c r="BI13" s="243">
        <f>SUM(Start:Stop!BI13)</f>
        <v>2</v>
      </c>
      <c r="BJ13" s="244" t="s">
        <v>52</v>
      </c>
      <c r="BK13" s="245">
        <f>SUM(Start:Stop!BK13)</f>
        <v>4</v>
      </c>
      <c r="BL13" s="246" t="s">
        <v>53</v>
      </c>
      <c r="BM13" s="244">
        <f>SUM(Start:Stop!BM13)</f>
        <v>1</v>
      </c>
      <c r="BN13" s="245" t="s">
        <v>54</v>
      </c>
      <c r="BO13" s="246">
        <f>SUM(Start:Stop!BO13)</f>
        <v>1</v>
      </c>
      <c r="BP13" s="244" t="s">
        <v>52</v>
      </c>
      <c r="BQ13" s="245">
        <f>SUM(Start:Stop!BQ13)</f>
        <v>1</v>
      </c>
      <c r="BR13" s="246" t="s">
        <v>53</v>
      </c>
      <c r="BS13" s="244">
        <f>SUM(Start:Stop!BS13)</f>
        <v>0</v>
      </c>
      <c r="BT13" s="245" t="s">
        <v>54</v>
      </c>
      <c r="BU13" s="246">
        <f>SUM(Start:Stop!BU13)</f>
        <v>0</v>
      </c>
      <c r="BV13" s="244" t="s">
        <v>52</v>
      </c>
      <c r="BW13" s="245">
        <f>SUM(Start:Stop!BW13)</f>
        <v>0</v>
      </c>
      <c r="BX13" s="246" t="s">
        <v>53</v>
      </c>
      <c r="BY13" s="244">
        <f>SUM(Start:Stop!BY13)</f>
        <v>0</v>
      </c>
      <c r="BZ13" s="245" t="s">
        <v>54</v>
      </c>
      <c r="CA13" s="246">
        <f>SUM(Start:Stop!CA13)</f>
        <v>1</v>
      </c>
      <c r="CB13" s="244" t="s">
        <v>52</v>
      </c>
      <c r="CC13" s="245">
        <f>SUM(Start:Stop!CC13)</f>
        <v>3</v>
      </c>
      <c r="CD13" s="246" t="s">
        <v>53</v>
      </c>
      <c r="CE13" s="244">
        <f>SUM(Start:Stop!CE13)</f>
        <v>1</v>
      </c>
      <c r="CF13" s="245" t="s">
        <v>54</v>
      </c>
      <c r="CG13" s="246">
        <f>SUM(Start:Stop!CG13)</f>
        <v>0</v>
      </c>
      <c r="CH13" s="244" t="s">
        <v>52</v>
      </c>
      <c r="CI13" s="247">
        <f>SUM(Start:Stop!CI13)</f>
        <v>0</v>
      </c>
      <c r="CJ13" s="140">
        <f>SUM(Start:Stop!CJ13)</f>
        <v>1</v>
      </c>
      <c r="CK13" s="148">
        <f>SUM(Start:Stop!CK13)</f>
        <v>7</v>
      </c>
      <c r="CL13" s="148">
        <f>SUM(Start:Stop!CL13)</f>
        <v>2</v>
      </c>
      <c r="CM13" s="148">
        <f>SUM(Start:Stop!CM13)</f>
        <v>5</v>
      </c>
      <c r="CN13" s="148">
        <f>SUM(Start:Stop!CN13)</f>
        <v>8</v>
      </c>
      <c r="CO13" s="175">
        <f>SUM(Start:Stop!CO13)</f>
        <v>2</v>
      </c>
      <c r="CP13" s="140">
        <f>SUM(Start:Stop!CP13)</f>
        <v>7</v>
      </c>
      <c r="CQ13" s="140">
        <f>SUM(Start:Stop!CQ13)</f>
        <v>4</v>
      </c>
      <c r="CR13" s="148">
        <f>SUM(Start:Stop!CR13)</f>
        <v>7</v>
      </c>
      <c r="CS13" s="148">
        <f>SUM(Start:Stop!CS13)</f>
        <v>0</v>
      </c>
      <c r="CT13" s="140">
        <f>SUM(Start:Stop!CT13)</f>
        <v>5</v>
      </c>
      <c r="CU13" s="140">
        <f>SUM(Start:Stop!CU13)</f>
        <v>0</v>
      </c>
      <c r="CV13" s="148">
        <f>SUM(Start:Stop!CV13)</f>
        <v>42.25</v>
      </c>
      <c r="CW13" s="140"/>
      <c r="CX13" s="164">
        <f t="shared" si="34"/>
        <v>110.06071326431311</v>
      </c>
      <c r="CY13" s="147">
        <f t="shared" si="35"/>
        <v>0.46067223213289876</v>
      </c>
      <c r="CZ13" s="165">
        <f t="shared" si="36"/>
        <v>0.26979142867243328</v>
      </c>
      <c r="DA13" s="164">
        <f t="shared" si="37"/>
        <v>118.88302893146275</v>
      </c>
      <c r="DB13" s="148">
        <f t="shared" si="38"/>
        <v>-8.8223156671496383</v>
      </c>
      <c r="DC13" s="147">
        <f t="shared" si="39"/>
        <v>0.88978588978588979</v>
      </c>
      <c r="DD13" s="77">
        <f t="shared" si="82"/>
        <v>0.66713187152852582</v>
      </c>
      <c r="DE13" s="37">
        <f t="shared" si="40"/>
        <v>0.51724137931034486</v>
      </c>
      <c r="DF13" s="37">
        <f t="shared" si="41"/>
        <v>0.5</v>
      </c>
      <c r="DG13" s="536">
        <f t="shared" si="42"/>
        <v>0.63793103448275867</v>
      </c>
      <c r="DH13" s="64">
        <f t="shared" si="83"/>
        <v>1.6655044655044655E-2</v>
      </c>
      <c r="DI13" s="64">
        <f t="shared" si="84"/>
        <v>0.12641780882744738</v>
      </c>
      <c r="DJ13" s="64">
        <f t="shared" si="85"/>
        <v>0</v>
      </c>
      <c r="DK13" s="64">
        <f t="shared" si="43"/>
        <v>0</v>
      </c>
      <c r="DL13" s="64">
        <f t="shared" si="86"/>
        <v>5.7652077652077652E-2</v>
      </c>
      <c r="DM13" s="64">
        <f t="shared" si="44"/>
        <v>7.8518282070963355E-2</v>
      </c>
      <c r="DN13" s="64">
        <f t="shared" si="87"/>
        <v>0.16168515075460216</v>
      </c>
      <c r="DO13" s="37">
        <f t="shared" si="45"/>
        <v>0.4</v>
      </c>
      <c r="DP13" s="66">
        <f t="shared" si="46"/>
        <v>3.3696033696033694</v>
      </c>
      <c r="DQ13" s="78">
        <f t="shared" si="47"/>
        <v>5.8968058968058967</v>
      </c>
      <c r="DR13" s="6"/>
      <c r="DS13" s="36"/>
      <c r="DT13" s="533">
        <f t="shared" si="88"/>
        <v>24.985145665145659</v>
      </c>
      <c r="DU13" s="18">
        <f t="shared" si="48"/>
        <v>14.245966001914569</v>
      </c>
      <c r="DV13" s="13">
        <f t="shared" si="49"/>
        <v>11.702526488565878</v>
      </c>
      <c r="DW13" s="14">
        <f t="shared" si="50"/>
        <v>0.68920167085830286</v>
      </c>
      <c r="DX13" s="14">
        <f t="shared" si="51"/>
        <v>0.51190476190476197</v>
      </c>
      <c r="DY13" s="14">
        <f t="shared" si="52"/>
        <v>2.625</v>
      </c>
      <c r="DZ13" s="15">
        <f t="shared" si="89"/>
        <v>77.519857142857148</v>
      </c>
      <c r="EA13" s="14">
        <f t="shared" si="53"/>
        <v>0.76709888389903647</v>
      </c>
      <c r="EB13" s="14">
        <f t="shared" si="54"/>
        <v>0.16666666666666666</v>
      </c>
      <c r="EC13" s="14">
        <f t="shared" si="55"/>
        <v>0.39713041569086655</v>
      </c>
      <c r="ED13" s="14">
        <f t="shared" si="56"/>
        <v>0.30463829863882413</v>
      </c>
      <c r="EE13" s="19">
        <f t="shared" si="57"/>
        <v>11.503333333333334</v>
      </c>
      <c r="EF13" s="67">
        <f t="shared" si="58"/>
        <v>0.17500000000000002</v>
      </c>
      <c r="EG13" s="74">
        <f t="shared" si="59"/>
        <v>30.924299335247902</v>
      </c>
      <c r="EH13" s="27">
        <f t="shared" si="91"/>
        <v>34.035504420365079</v>
      </c>
      <c r="EI13" s="25">
        <f t="shared" si="8"/>
        <v>28.866232005129163</v>
      </c>
      <c r="EJ13" s="25">
        <f t="shared" si="60"/>
        <v>1.2699175824175826</v>
      </c>
      <c r="EK13" s="26">
        <f t="shared" si="61"/>
        <v>0.73526742406511136</v>
      </c>
      <c r="EL13" s="29">
        <f t="shared" si="62"/>
        <v>0.76020786933927254</v>
      </c>
      <c r="EM13" s="30">
        <f t="shared" si="63"/>
        <v>0.2289156626506024</v>
      </c>
      <c r="EN13" s="30">
        <f t="shared" si="64"/>
        <v>0.48484848484848486</v>
      </c>
      <c r="EO13" s="31">
        <f t="shared" si="65"/>
        <v>1.6785449146250921</v>
      </c>
      <c r="EP13" s="31">
        <f t="shared" si="66"/>
        <v>8.8282587052940507</v>
      </c>
      <c r="EQ13" s="31">
        <f t="shared" si="67"/>
        <v>10.506803619919143</v>
      </c>
      <c r="ER13" s="93">
        <f t="shared" si="68"/>
        <v>0.45832009460723899</v>
      </c>
      <c r="ES13" s="109">
        <f t="shared" si="69"/>
        <v>116.95747377205714</v>
      </c>
      <c r="ET13" s="32">
        <f t="shared" si="70"/>
        <v>2.3369013380199282</v>
      </c>
      <c r="EV13" s="275"/>
      <c r="EW13" s="276"/>
      <c r="EX13" s="37">
        <f t="shared" si="90"/>
        <v>5.25</v>
      </c>
      <c r="EY13" s="72">
        <f t="shared" si="71"/>
        <v>7</v>
      </c>
      <c r="EZ13" s="7">
        <v>0.75</v>
      </c>
      <c r="FB13" s="41"/>
      <c r="FC13" s="139"/>
      <c r="FD13" s="89" t="s">
        <v>82</v>
      </c>
      <c r="FE13" s="41" t="s">
        <v>241</v>
      </c>
      <c r="FF13" s="164">
        <f t="shared" si="15"/>
        <v>47.483333333333334</v>
      </c>
      <c r="FG13" s="144">
        <f t="shared" si="16"/>
        <v>15</v>
      </c>
      <c r="FH13" s="265" t="s">
        <v>52</v>
      </c>
      <c r="FI13" s="145">
        <f t="shared" si="72"/>
        <v>29</v>
      </c>
      <c r="FJ13" s="194">
        <f t="shared" si="73"/>
        <v>0.51724137931034486</v>
      </c>
      <c r="FK13" s="110">
        <f t="shared" si="17"/>
        <v>7</v>
      </c>
      <c r="FL13" s="265" t="s">
        <v>52</v>
      </c>
      <c r="FM13" s="168">
        <f t="shared" si="18"/>
        <v>14</v>
      </c>
      <c r="FN13" s="194">
        <f t="shared" si="19"/>
        <v>0.5</v>
      </c>
      <c r="FO13" s="262">
        <f t="shared" si="74"/>
        <v>0</v>
      </c>
      <c r="FP13" s="419" t="s">
        <v>52</v>
      </c>
      <c r="FQ13" s="274">
        <f t="shared" si="75"/>
        <v>0</v>
      </c>
      <c r="FR13" s="197" t="str">
        <f t="shared" si="76"/>
        <v>0</v>
      </c>
      <c r="FS13" s="140">
        <f t="shared" si="20"/>
        <v>1</v>
      </c>
      <c r="FT13" s="140">
        <f t="shared" si="21"/>
        <v>7</v>
      </c>
      <c r="FU13" s="140">
        <f t="shared" si="22"/>
        <v>8</v>
      </c>
      <c r="FV13" s="175">
        <f t="shared" si="22"/>
        <v>2</v>
      </c>
      <c r="FW13" s="140">
        <f t="shared" si="22"/>
        <v>7</v>
      </c>
      <c r="FX13" s="140">
        <f t="shared" si="22"/>
        <v>4</v>
      </c>
      <c r="FY13" s="140">
        <f t="shared" si="22"/>
        <v>7</v>
      </c>
      <c r="FZ13" s="140">
        <f t="shared" si="22"/>
        <v>0</v>
      </c>
      <c r="GA13" s="140">
        <f t="shared" si="22"/>
        <v>5</v>
      </c>
      <c r="GB13" s="140">
        <f t="shared" si="22"/>
        <v>0</v>
      </c>
      <c r="GC13" s="192">
        <f t="shared" si="77"/>
        <v>37</v>
      </c>
      <c r="GD13" s="201">
        <f t="shared" si="78"/>
        <v>110.06071326431311</v>
      </c>
      <c r="GE13" s="147">
        <f t="shared" si="78"/>
        <v>0.46067223213289876</v>
      </c>
      <c r="GF13" s="147">
        <f t="shared" si="78"/>
        <v>0.26979142867243328</v>
      </c>
      <c r="GG13" s="259">
        <f t="shared" si="78"/>
        <v>118.88302893146275</v>
      </c>
      <c r="GH13" s="192">
        <f t="shared" si="79"/>
        <v>-8.8223156671496383</v>
      </c>
      <c r="GI13" s="161">
        <f t="shared" si="23"/>
        <v>0.77922077922077926</v>
      </c>
      <c r="GJ13" s="82"/>
      <c r="GK13" s="24"/>
      <c r="GL13" s="366">
        <f t="shared" si="24"/>
        <v>1.8399999999999996</v>
      </c>
      <c r="GM13" s="366">
        <f>((E43/G43)*(1-(CJ43/(CJ43+CK42))))/((E43/G43)*(1-(CJ43/(CJ43+CK42)))+((1-(E43/G43)))*(CJ43/(CJ43+CK42)))</f>
        <v>0.80104712041884818</v>
      </c>
      <c r="GN13" s="370">
        <f>GK13+(GL13/10)+(GJ13*GM13*(1-(CJ43/(CJ43+CK42))))+(CK13*(1-GM13))</f>
        <v>1.5766701570680628</v>
      </c>
      <c r="GO13" s="371">
        <f>GN13/(DD13*EG43)</f>
        <v>1.2532685906646437E-2</v>
      </c>
      <c r="GP13" s="46"/>
      <c r="GQ13" s="383">
        <f t="shared" si="80"/>
        <v>0.48275862068965519</v>
      </c>
      <c r="GR13" s="385">
        <f t="shared" si="81"/>
        <v>0.29484029484029484</v>
      </c>
      <c r="GS13" s="389" t="s">
        <v>147</v>
      </c>
      <c r="GT13" s="120">
        <v>105.48263366400343</v>
      </c>
      <c r="GU13" s="147"/>
      <c r="GV13" s="190" t="s">
        <v>154</v>
      </c>
      <c r="GW13" s="399">
        <v>0.14658591018632686</v>
      </c>
      <c r="GX13" s="160" t="s">
        <v>147</v>
      </c>
      <c r="GY13" s="147">
        <v>1.0754716981132075</v>
      </c>
      <c r="GZ13" s="147"/>
      <c r="HA13" s="405" t="s">
        <v>141</v>
      </c>
      <c r="HB13" s="147">
        <v>0.53383458646616544</v>
      </c>
      <c r="HC13" s="139"/>
      <c r="HD13" s="416" t="s">
        <v>154</v>
      </c>
      <c r="HE13" s="164">
        <v>10.554483398638892</v>
      </c>
      <c r="HF13" s="164"/>
      <c r="HG13" s="41" t="s">
        <v>123</v>
      </c>
      <c r="HH13" s="28">
        <f t="shared" si="93"/>
        <v>1.0769230769230769</v>
      </c>
      <c r="HI13" s="28">
        <f t="shared" si="94"/>
        <v>1</v>
      </c>
      <c r="HJ13" s="28">
        <f t="shared" si="95"/>
        <v>1.5</v>
      </c>
      <c r="HK13" s="58"/>
      <c r="HL13" s="41"/>
      <c r="HM13" s="90">
        <f t="shared" si="96"/>
        <v>22.270077804214544</v>
      </c>
      <c r="HN13" s="6"/>
      <c r="HO13" s="37"/>
      <c r="HQ13" s="6">
        <f t="shared" si="29"/>
        <v>0.4</v>
      </c>
      <c r="HR13" s="6">
        <f t="shared" si="30"/>
        <v>1.8</v>
      </c>
      <c r="HS13" s="41"/>
      <c r="HT13" s="396">
        <v>10</v>
      </c>
      <c r="HU13" s="397" t="s">
        <v>147</v>
      </c>
      <c r="HV13" s="395">
        <v>-28.65171222613435</v>
      </c>
      <c r="HX13" s="24"/>
      <c r="HY13" s="228"/>
      <c r="HZ13" s="37"/>
      <c r="IA13" s="24"/>
      <c r="IC13" s="6"/>
      <c r="IE13" s="41" t="s">
        <v>144</v>
      </c>
      <c r="IF13" s="6">
        <v>0.34343513004779541</v>
      </c>
      <c r="IJ13" s="24"/>
      <c r="IK13" s="61" t="s">
        <v>139</v>
      </c>
      <c r="IL13" s="250">
        <v>17</v>
      </c>
      <c r="IM13" s="36">
        <v>27</v>
      </c>
      <c r="IN13" s="326">
        <f t="shared" si="92"/>
        <v>0.38636363636363635</v>
      </c>
      <c r="IO13" s="323"/>
      <c r="IP13" s="24"/>
      <c r="IQ13" s="41" t="s">
        <v>147</v>
      </c>
      <c r="IR13" s="64">
        <f t="shared" si="32"/>
        <v>0.26979142867243328</v>
      </c>
      <c r="IS13" s="66">
        <f t="shared" si="33"/>
        <v>110.06071326431311</v>
      </c>
      <c r="IV13" s="41"/>
      <c r="IW13" s="64"/>
    </row>
    <row r="14" spans="1:258" ht="17" thickBot="1" x14ac:dyDescent="0.25">
      <c r="A14" s="139"/>
      <c r="B14" s="89" t="s">
        <v>82</v>
      </c>
      <c r="C14" s="41" t="s">
        <v>214</v>
      </c>
      <c r="D14" s="308">
        <f>SUM(Start:Stop!D14)</f>
        <v>62.813333333333333</v>
      </c>
      <c r="E14" s="114">
        <f>SUM(Start:Stop!E14)</f>
        <v>23</v>
      </c>
      <c r="F14" s="339" t="s">
        <v>52</v>
      </c>
      <c r="G14" s="115">
        <f>SUM(Start:Stop!G14)</f>
        <v>37</v>
      </c>
      <c r="H14" s="116" t="s">
        <v>53</v>
      </c>
      <c r="I14" s="339">
        <f>SUM(Start:Stop!I14)</f>
        <v>13</v>
      </c>
      <c r="J14" s="115" t="s">
        <v>54</v>
      </c>
      <c r="K14" s="116">
        <f>SUM(Start:Stop!K14)</f>
        <v>11</v>
      </c>
      <c r="L14" s="339" t="s">
        <v>52</v>
      </c>
      <c r="M14" s="115">
        <f>SUM(Start:Stop!M14)</f>
        <v>15</v>
      </c>
      <c r="N14" s="116" t="s">
        <v>53</v>
      </c>
      <c r="O14" s="339">
        <f>SUM(Start:Stop!O14)</f>
        <v>6</v>
      </c>
      <c r="P14" s="115" t="s">
        <v>54</v>
      </c>
      <c r="Q14" s="116">
        <f>SUM(Start:Stop!Q14)</f>
        <v>1</v>
      </c>
      <c r="R14" s="339" t="s">
        <v>52</v>
      </c>
      <c r="S14" s="115">
        <f>SUM(Start:Stop!S14)</f>
        <v>4</v>
      </c>
      <c r="T14" s="116" t="s">
        <v>53</v>
      </c>
      <c r="U14" s="339">
        <f>SUM(Start:Stop!U14)</f>
        <v>0</v>
      </c>
      <c r="V14" s="115" t="s">
        <v>54</v>
      </c>
      <c r="W14" s="116">
        <f>SUM(Start:Stop!W14)</f>
        <v>11</v>
      </c>
      <c r="X14" s="339" t="s">
        <v>52</v>
      </c>
      <c r="Y14" s="115">
        <f>SUM(Start:Stop!Y14)</f>
        <v>18</v>
      </c>
      <c r="Z14" s="116" t="s">
        <v>53</v>
      </c>
      <c r="AA14" s="339">
        <f>SUM(Start:Stop!AA14)</f>
        <v>7</v>
      </c>
      <c r="AB14" s="115" t="s">
        <v>54</v>
      </c>
      <c r="AC14" s="329">
        <f>SUM(Start:Stop!AC14)</f>
        <v>2.8</v>
      </c>
      <c r="AD14" s="339" t="s">
        <v>52</v>
      </c>
      <c r="AE14" s="294">
        <f>SUM(Start:Stop!AE14)</f>
        <v>4</v>
      </c>
      <c r="AF14" s="226"/>
      <c r="AG14" s="243">
        <f>SUM(Start:Stop!AG14)</f>
        <v>18</v>
      </c>
      <c r="AH14" s="244" t="s">
        <v>52</v>
      </c>
      <c r="AI14" s="245">
        <f>SUM(Start:Stop!AI14)</f>
        <v>31</v>
      </c>
      <c r="AJ14" s="246" t="s">
        <v>53</v>
      </c>
      <c r="AK14" s="244">
        <f>SUM(Start:Stop!AK14)</f>
        <v>11</v>
      </c>
      <c r="AL14" s="245" t="s">
        <v>54</v>
      </c>
      <c r="AM14" s="246">
        <f>SUM(Start:Stop!AM14)</f>
        <v>8</v>
      </c>
      <c r="AN14" s="244" t="s">
        <v>52</v>
      </c>
      <c r="AO14" s="245">
        <f>SUM(Start:Stop!AO14)</f>
        <v>12</v>
      </c>
      <c r="AP14" s="246" t="s">
        <v>53</v>
      </c>
      <c r="AQ14" s="244">
        <f>SUM(Start:Stop!AQ14)</f>
        <v>4</v>
      </c>
      <c r="AR14" s="245" t="s">
        <v>54</v>
      </c>
      <c r="AS14" s="246">
        <f>SUM(Start:Stop!AS14)</f>
        <v>1</v>
      </c>
      <c r="AT14" s="244" t="s">
        <v>52</v>
      </c>
      <c r="AU14" s="245">
        <f>SUM(Start:Stop!AU14)</f>
        <v>4</v>
      </c>
      <c r="AV14" s="246" t="s">
        <v>53</v>
      </c>
      <c r="AW14" s="244">
        <f>SUM(Start:Stop!AW14)</f>
        <v>0</v>
      </c>
      <c r="AX14" s="245" t="s">
        <v>54</v>
      </c>
      <c r="AY14" s="246">
        <f>SUM(Start:Stop!AY14)</f>
        <v>9</v>
      </c>
      <c r="AZ14" s="244" t="s">
        <v>52</v>
      </c>
      <c r="BA14" s="245">
        <f>SUM(Start:Stop!BA14)</f>
        <v>15</v>
      </c>
      <c r="BB14" s="246" t="s">
        <v>53</v>
      </c>
      <c r="BC14" s="244">
        <f>SUM(Start:Stop!BC14)</f>
        <v>7</v>
      </c>
      <c r="BD14" s="245" t="s">
        <v>54</v>
      </c>
      <c r="BE14" s="246">
        <f>SUM(Start:Stop!BE14)</f>
        <v>0</v>
      </c>
      <c r="BF14" s="244" t="s">
        <v>52</v>
      </c>
      <c r="BG14" s="247">
        <f>SUM(Start:Stop!BG14)</f>
        <v>0</v>
      </c>
      <c r="BH14" s="115"/>
      <c r="BI14" s="243">
        <f>SUM(Start:Stop!BI14)</f>
        <v>5</v>
      </c>
      <c r="BJ14" s="244" t="s">
        <v>52</v>
      </c>
      <c r="BK14" s="245">
        <f>SUM(Start:Stop!BK14)</f>
        <v>6</v>
      </c>
      <c r="BL14" s="246" t="s">
        <v>53</v>
      </c>
      <c r="BM14" s="244">
        <f>SUM(Start:Stop!BM14)</f>
        <v>2</v>
      </c>
      <c r="BN14" s="245" t="s">
        <v>54</v>
      </c>
      <c r="BO14" s="246">
        <f>SUM(Start:Stop!BO14)</f>
        <v>3</v>
      </c>
      <c r="BP14" s="244" t="s">
        <v>52</v>
      </c>
      <c r="BQ14" s="245">
        <f>SUM(Start:Stop!BQ14)</f>
        <v>3</v>
      </c>
      <c r="BR14" s="246" t="s">
        <v>53</v>
      </c>
      <c r="BS14" s="244">
        <f>SUM(Start:Stop!BS14)</f>
        <v>2</v>
      </c>
      <c r="BT14" s="245" t="s">
        <v>54</v>
      </c>
      <c r="BU14" s="246">
        <f>SUM(Start:Stop!BU14)</f>
        <v>0</v>
      </c>
      <c r="BV14" s="244" t="s">
        <v>52</v>
      </c>
      <c r="BW14" s="245">
        <f>SUM(Start:Stop!BW14)</f>
        <v>0</v>
      </c>
      <c r="BX14" s="246" t="s">
        <v>53</v>
      </c>
      <c r="BY14" s="244">
        <f>SUM(Start:Stop!BY14)</f>
        <v>0</v>
      </c>
      <c r="BZ14" s="245" t="s">
        <v>54</v>
      </c>
      <c r="CA14" s="246">
        <f>SUM(Start:Stop!CA14)</f>
        <v>2</v>
      </c>
      <c r="CB14" s="244" t="s">
        <v>52</v>
      </c>
      <c r="CC14" s="245">
        <f>SUM(Start:Stop!CC14)</f>
        <v>3</v>
      </c>
      <c r="CD14" s="246" t="s">
        <v>53</v>
      </c>
      <c r="CE14" s="244">
        <f>SUM(Start:Stop!CE14)</f>
        <v>0</v>
      </c>
      <c r="CF14" s="245" t="s">
        <v>54</v>
      </c>
      <c r="CG14" s="246">
        <f>SUM(Start:Stop!CG14)</f>
        <v>0</v>
      </c>
      <c r="CH14" s="244" t="s">
        <v>52</v>
      </c>
      <c r="CI14" s="247">
        <f>SUM(Start:Stop!CI14)</f>
        <v>0</v>
      </c>
      <c r="CJ14" s="140">
        <f>SUM(Start:Stop!CJ14)</f>
        <v>3</v>
      </c>
      <c r="CK14" s="148">
        <f>SUM(Start:Stop!CK14)</f>
        <v>8</v>
      </c>
      <c r="CL14" s="148">
        <f>SUM(Start:Stop!CL14)</f>
        <v>5</v>
      </c>
      <c r="CM14" s="148">
        <f>SUM(Start:Stop!CM14)</f>
        <v>3</v>
      </c>
      <c r="CN14" s="148">
        <f>SUM(Start:Stop!CN14)</f>
        <v>11</v>
      </c>
      <c r="CO14" s="175">
        <f>SUM(Start:Stop!CO14)</f>
        <v>7</v>
      </c>
      <c r="CP14" s="140">
        <f>SUM(Start:Stop!CP14)</f>
        <v>11</v>
      </c>
      <c r="CQ14" s="140">
        <f>SUM(Start:Stop!CQ14)</f>
        <v>4</v>
      </c>
      <c r="CR14" s="148">
        <f>SUM(Start:Stop!CR14)</f>
        <v>4</v>
      </c>
      <c r="CS14" s="148">
        <f>SUM(Start:Stop!CS14)</f>
        <v>5</v>
      </c>
      <c r="CT14" s="140">
        <f>SUM(Start:Stop!CT14)</f>
        <v>9</v>
      </c>
      <c r="CU14" s="140">
        <f>SUM(Start:Stop!CU14)</f>
        <v>2</v>
      </c>
      <c r="CV14" s="148">
        <f>SUM(Start:Stop!CV14)</f>
        <v>59.8</v>
      </c>
      <c r="CW14" s="140"/>
      <c r="CX14" s="164">
        <f t="shared" si="34"/>
        <v>125.04037596971283</v>
      </c>
      <c r="CY14" s="147">
        <f t="shared" si="35"/>
        <v>0.51604644890454898</v>
      </c>
      <c r="CZ14" s="165">
        <f t="shared" si="36"/>
        <v>0.24020539976630975</v>
      </c>
      <c r="DA14" s="164">
        <f t="shared" si="37"/>
        <v>86.63734751289077</v>
      </c>
      <c r="DB14" s="148">
        <f t="shared" si="38"/>
        <v>38.403028456822057</v>
      </c>
      <c r="DC14" s="147">
        <f t="shared" si="39"/>
        <v>0.95202717045213325</v>
      </c>
      <c r="DD14" s="77">
        <f>IFERROR(D14/($D$21/10),"0")</f>
        <v>0.88251547820874277</v>
      </c>
      <c r="DE14" s="37">
        <f t="shared" si="40"/>
        <v>0.6216216216216216</v>
      </c>
      <c r="DF14" s="37">
        <f t="shared" si="41"/>
        <v>0.61111111111111116</v>
      </c>
      <c r="DG14" s="536">
        <f t="shared" si="42"/>
        <v>0.77027027027027029</v>
      </c>
      <c r="DH14" s="64">
        <f t="shared" si="83"/>
        <v>4.0468735785547501E-2</v>
      </c>
      <c r="DI14" s="64">
        <f t="shared" si="84"/>
        <v>0.10185389680856899</v>
      </c>
      <c r="DJ14" s="64">
        <f t="shared" si="85"/>
        <v>6.1249978486234057E-2</v>
      </c>
      <c r="DK14" s="64">
        <f t="shared" si="43"/>
        <v>2.9158286397413472E-2</v>
      </c>
      <c r="DL14" s="64">
        <f t="shared" si="86"/>
        <v>0.11495466976764218</v>
      </c>
      <c r="DM14" s="64">
        <f t="shared" si="44"/>
        <v>0.10496983103068849</v>
      </c>
      <c r="DN14" s="64">
        <f t="shared" si="87"/>
        <v>0.21850014848294669</v>
      </c>
      <c r="DO14" s="37">
        <f t="shared" si="45"/>
        <v>0.77777777777777779</v>
      </c>
      <c r="DP14" s="66">
        <f t="shared" si="46"/>
        <v>2.5472298874973465</v>
      </c>
      <c r="DQ14" s="78">
        <f t="shared" si="47"/>
        <v>2.5472298874973465</v>
      </c>
      <c r="DR14" s="6"/>
      <c r="DS14" s="36"/>
      <c r="DT14" s="533">
        <f t="shared" si="88"/>
        <v>37.821823392061148</v>
      </c>
      <c r="DU14" s="18">
        <f t="shared" si="48"/>
        <v>21.255903359275862</v>
      </c>
      <c r="DV14" s="13">
        <f t="shared" si="49"/>
        <v>18.170721758379489</v>
      </c>
      <c r="DW14" s="14">
        <f t="shared" si="50"/>
        <v>0.54518167792512262</v>
      </c>
      <c r="DX14" s="14">
        <f t="shared" si="51"/>
        <v>1.9892086330935252</v>
      </c>
      <c r="DY14" s="14">
        <f t="shared" si="52"/>
        <v>1.456</v>
      </c>
      <c r="DZ14" s="15">
        <f t="shared" si="89"/>
        <v>98.719499999999996</v>
      </c>
      <c r="EA14" s="14">
        <f t="shared" si="53"/>
        <v>0.7502746387205359</v>
      </c>
      <c r="EB14" s="14">
        <f t="shared" si="54"/>
        <v>0.21428571428571427</v>
      </c>
      <c r="EC14" s="14">
        <f t="shared" si="55"/>
        <v>0.45036268248175182</v>
      </c>
      <c r="ED14" s="14">
        <f t="shared" si="56"/>
        <v>1.0136870966766232</v>
      </c>
      <c r="EE14" s="19">
        <f t="shared" si="57"/>
        <v>10.79</v>
      </c>
      <c r="EF14" s="67">
        <f t="shared" si="58"/>
        <v>0.14400000000000004</v>
      </c>
      <c r="EG14" s="74">
        <f t="shared" si="59"/>
        <v>41.18990335927586</v>
      </c>
      <c r="EH14" s="27">
        <f t="shared" si="91"/>
        <v>51.504010021999903</v>
      </c>
      <c r="EI14" s="25">
        <f>IFERROR(2*(E14+(0.5*W14))*(1-0.5*((CV14-EX14)/(2*G14))*DW14),"0")</f>
        <v>45.031788705549168</v>
      </c>
      <c r="EJ14" s="25">
        <f t="shared" si="60"/>
        <v>4.5549994786779271</v>
      </c>
      <c r="EK14" s="26">
        <f t="shared" si="61"/>
        <v>2.3447793852897036</v>
      </c>
      <c r="EL14" s="29">
        <f t="shared" si="62"/>
        <v>0.7381871667585953</v>
      </c>
      <c r="EM14" s="30">
        <f t="shared" si="63"/>
        <v>0.1797752808988764</v>
      </c>
      <c r="EN14" s="30">
        <f t="shared" si="64"/>
        <v>0.38194444444444442</v>
      </c>
      <c r="EO14" s="31">
        <f t="shared" si="65"/>
        <v>8.286882296192088</v>
      </c>
      <c r="EP14" s="31">
        <f t="shared" si="66"/>
        <v>11.479280776894639</v>
      </c>
      <c r="EQ14" s="31">
        <f t="shared" si="67"/>
        <v>19.766163073086727</v>
      </c>
      <c r="ER14" s="93">
        <f t="shared" si="68"/>
        <v>0.57634744386304126</v>
      </c>
      <c r="ES14" s="109">
        <f t="shared" si="69"/>
        <v>82.190049169652085</v>
      </c>
      <c r="ET14" s="32">
        <f t="shared" si="70"/>
        <v>2.4649099686320879</v>
      </c>
      <c r="EV14" s="275"/>
      <c r="EW14" s="276"/>
      <c r="EX14" s="37">
        <f t="shared" si="90"/>
        <v>2.8</v>
      </c>
      <c r="EY14" s="72">
        <f t="shared" si="71"/>
        <v>4</v>
      </c>
      <c r="EZ14" s="7">
        <v>0.7</v>
      </c>
      <c r="FB14" s="41"/>
      <c r="FC14" s="178"/>
      <c r="FD14" s="216" t="s">
        <v>82</v>
      </c>
      <c r="FE14" s="180" t="s">
        <v>242</v>
      </c>
      <c r="FF14" s="393">
        <f t="shared" si="15"/>
        <v>62.813333333333333</v>
      </c>
      <c r="FG14" s="182">
        <f t="shared" si="16"/>
        <v>23</v>
      </c>
      <c r="FH14" s="183" t="s">
        <v>52</v>
      </c>
      <c r="FI14" s="184">
        <f t="shared" si="72"/>
        <v>37</v>
      </c>
      <c r="FJ14" s="193">
        <f t="shared" si="73"/>
        <v>0.6216216216216216</v>
      </c>
      <c r="FK14" s="185">
        <f t="shared" si="17"/>
        <v>11</v>
      </c>
      <c r="FL14" s="183" t="s">
        <v>52</v>
      </c>
      <c r="FM14" s="186">
        <f t="shared" si="18"/>
        <v>18</v>
      </c>
      <c r="FN14" s="193">
        <f t="shared" si="19"/>
        <v>0.61111111111111116</v>
      </c>
      <c r="FO14" s="261">
        <f t="shared" si="74"/>
        <v>0</v>
      </c>
      <c r="FP14" s="183" t="s">
        <v>52</v>
      </c>
      <c r="FQ14" s="268">
        <f t="shared" si="75"/>
        <v>0</v>
      </c>
      <c r="FR14" s="196" t="str">
        <f t="shared" si="76"/>
        <v>0</v>
      </c>
      <c r="FS14" s="179">
        <f t="shared" si="20"/>
        <v>3</v>
      </c>
      <c r="FT14" s="179">
        <f t="shared" si="21"/>
        <v>8</v>
      </c>
      <c r="FU14" s="179">
        <f t="shared" si="22"/>
        <v>11</v>
      </c>
      <c r="FV14" s="187">
        <f t="shared" si="22"/>
        <v>7</v>
      </c>
      <c r="FW14" s="179">
        <f t="shared" si="22"/>
        <v>11</v>
      </c>
      <c r="FX14" s="179">
        <f t="shared" si="22"/>
        <v>4</v>
      </c>
      <c r="FY14" s="179">
        <f t="shared" si="22"/>
        <v>4</v>
      </c>
      <c r="FZ14" s="179">
        <f t="shared" si="22"/>
        <v>5</v>
      </c>
      <c r="GA14" s="179">
        <f t="shared" si="22"/>
        <v>9</v>
      </c>
      <c r="GB14" s="179">
        <f t="shared" si="22"/>
        <v>2</v>
      </c>
      <c r="GC14" s="191">
        <f t="shared" si="77"/>
        <v>57</v>
      </c>
      <c r="GD14" s="200">
        <f>CX14</f>
        <v>125.04037596971283</v>
      </c>
      <c r="GE14" s="181">
        <f t="shared" si="78"/>
        <v>0.51604644890454898</v>
      </c>
      <c r="GF14" s="181">
        <f t="shared" si="78"/>
        <v>0.24020539976630975</v>
      </c>
      <c r="GG14" s="258">
        <f t="shared" si="78"/>
        <v>86.63734751289077</v>
      </c>
      <c r="GH14" s="191">
        <f t="shared" ref="GH14" si="97">GD14-GG14</f>
        <v>38.403028456822057</v>
      </c>
      <c r="GI14" s="297">
        <f t="shared" si="23"/>
        <v>0.90745064742092973</v>
      </c>
      <c r="GJ14" s="82"/>
      <c r="GK14" s="24"/>
      <c r="GL14" s="366">
        <f t="shared" si="24"/>
        <v>0.74400000000000011</v>
      </c>
      <c r="GM14" s="366">
        <f>((E45/G45)*(1-(CJ45/(CJ45+CK44))))/((E45/G45)*(1-(CJ45/(CJ45+CK44)))+((1-(E45/G45)))*(CJ45/(CJ45+CK44)))</f>
        <v>0.68069666182873734</v>
      </c>
      <c r="GN14" s="370">
        <f>GK14+(GL14/10)+(GJ14*GM14*(1-(CJ45/(CJ45+CK44))))+(CK14*(1-GM14))</f>
        <v>2.6288267053701011</v>
      </c>
      <c r="GO14" s="371">
        <f>GN14/(DD14*EG45)</f>
        <v>1.6930692916240477E-2</v>
      </c>
      <c r="GP14" s="46"/>
      <c r="GQ14" s="383">
        <f t="shared" si="80"/>
        <v>0.48648648648648651</v>
      </c>
      <c r="GR14" s="385">
        <f t="shared" si="81"/>
        <v>0.28656336234345148</v>
      </c>
      <c r="GS14" s="389" t="s">
        <v>188</v>
      </c>
      <c r="GT14" s="120">
        <v>103.9447417976523</v>
      </c>
      <c r="GU14" s="139"/>
      <c r="GV14" s="160" t="s">
        <v>148</v>
      </c>
      <c r="GW14" s="399">
        <v>0.13256314755131748</v>
      </c>
      <c r="GX14" s="160" t="s">
        <v>149</v>
      </c>
      <c r="GY14" s="147">
        <v>1.0416666666666667</v>
      </c>
      <c r="GZ14" s="147"/>
      <c r="HA14" s="405" t="s">
        <v>150</v>
      </c>
      <c r="HB14" s="147">
        <v>0.5</v>
      </c>
      <c r="HC14" s="139"/>
      <c r="HD14" s="416" t="s">
        <v>151</v>
      </c>
      <c r="HE14" s="164">
        <v>10.005005387186783</v>
      </c>
      <c r="HF14" s="164"/>
      <c r="HG14" s="41" t="s">
        <v>124</v>
      </c>
      <c r="HH14" s="28">
        <f t="shared" si="93"/>
        <v>1.4666666666666666</v>
      </c>
      <c r="HI14" s="28">
        <f t="shared" si="94"/>
        <v>0.5</v>
      </c>
      <c r="HJ14" s="28">
        <f t="shared" si="95"/>
        <v>1.8333333333333333</v>
      </c>
      <c r="HK14" s="33"/>
      <c r="HL14" s="41"/>
      <c r="HM14" s="90">
        <f t="shared" si="96"/>
        <v>22.526530122550906</v>
      </c>
      <c r="HN14" s="6"/>
      <c r="HO14" s="37"/>
      <c r="HQ14" s="6"/>
      <c r="HR14" s="6"/>
      <c r="HS14" s="41"/>
      <c r="HT14" s="396">
        <v>11</v>
      </c>
      <c r="HU14" s="397" t="s">
        <v>151</v>
      </c>
      <c r="HV14" s="395">
        <v>-54.429903105318814</v>
      </c>
      <c r="HX14" s="24"/>
      <c r="HY14" s="228"/>
      <c r="HZ14" s="37"/>
      <c r="IA14" s="24"/>
      <c r="IC14" s="6"/>
      <c r="IE14" s="41" t="s">
        <v>147</v>
      </c>
      <c r="IF14" s="6">
        <v>0.33320796650480161</v>
      </c>
      <c r="IJ14" s="24"/>
      <c r="IK14" s="12" t="s">
        <v>147</v>
      </c>
      <c r="IL14" s="250">
        <v>10</v>
      </c>
      <c r="IM14" s="36">
        <v>19</v>
      </c>
      <c r="IN14" s="326">
        <f t="shared" si="92"/>
        <v>0.34482758620689657</v>
      </c>
      <c r="IO14" s="323"/>
      <c r="IP14" s="24"/>
      <c r="IQ14" s="41" t="s">
        <v>148</v>
      </c>
      <c r="IR14" s="64">
        <f>CZ15</f>
        <v>0.37835020915802342</v>
      </c>
      <c r="IS14" s="66">
        <f>CX15</f>
        <v>117.26321758589006</v>
      </c>
      <c r="IV14" s="41"/>
      <c r="IW14" s="64"/>
    </row>
    <row r="15" spans="1:258" ht="17" thickBot="1" x14ac:dyDescent="0.25">
      <c r="A15" s="139"/>
      <c r="B15" s="89" t="s">
        <v>82</v>
      </c>
      <c r="C15" s="41" t="s">
        <v>215</v>
      </c>
      <c r="D15" s="308">
        <f>SUM(Start:Stop!D15)</f>
        <v>38.29</v>
      </c>
      <c r="E15" s="114">
        <f>SUM(Start:Stop!E15)</f>
        <v>16</v>
      </c>
      <c r="F15" s="339" t="s">
        <v>52</v>
      </c>
      <c r="G15" s="115">
        <f>SUM(Start:Stop!G15)</f>
        <v>31</v>
      </c>
      <c r="H15" s="116" t="s">
        <v>53</v>
      </c>
      <c r="I15" s="339">
        <f>SUM(Start:Stop!I15)</f>
        <v>9</v>
      </c>
      <c r="J15" s="115" t="s">
        <v>54</v>
      </c>
      <c r="K15" s="116">
        <f>SUM(Start:Stop!K15)</f>
        <v>2</v>
      </c>
      <c r="L15" s="339" t="s">
        <v>52</v>
      </c>
      <c r="M15" s="115">
        <f>SUM(Start:Stop!M15)</f>
        <v>3</v>
      </c>
      <c r="N15" s="116" t="s">
        <v>53</v>
      </c>
      <c r="O15" s="339">
        <f>SUM(Start:Stop!O15)</f>
        <v>0</v>
      </c>
      <c r="P15" s="115" t="s">
        <v>54</v>
      </c>
      <c r="Q15" s="116">
        <f>SUM(Start:Stop!Q15)</f>
        <v>6</v>
      </c>
      <c r="R15" s="339" t="s">
        <v>52</v>
      </c>
      <c r="S15" s="115">
        <f>SUM(Start:Stop!S15)</f>
        <v>10</v>
      </c>
      <c r="T15" s="116" t="s">
        <v>53</v>
      </c>
      <c r="U15" s="339">
        <f>SUM(Start:Stop!U15)</f>
        <v>1</v>
      </c>
      <c r="V15" s="115" t="s">
        <v>54</v>
      </c>
      <c r="W15" s="116">
        <f>SUM(Start:Stop!W15)</f>
        <v>8</v>
      </c>
      <c r="X15" s="339" t="s">
        <v>52</v>
      </c>
      <c r="Y15" s="115">
        <f>SUM(Start:Stop!Y15)</f>
        <v>18</v>
      </c>
      <c r="Z15" s="116" t="s">
        <v>53</v>
      </c>
      <c r="AA15" s="339">
        <f>SUM(Start:Stop!AA15)</f>
        <v>8</v>
      </c>
      <c r="AB15" s="115" t="s">
        <v>54</v>
      </c>
      <c r="AC15" s="329">
        <f>SUM(Start:Stop!AC15)</f>
        <v>5.0999999999999996</v>
      </c>
      <c r="AD15" s="339" t="s">
        <v>52</v>
      </c>
      <c r="AE15" s="294">
        <f>SUM(Start:Stop!AE15)</f>
        <v>6</v>
      </c>
      <c r="AF15" s="226"/>
      <c r="AG15" s="243">
        <f>SUM(Start:Stop!AG15)</f>
        <v>16</v>
      </c>
      <c r="AH15" s="244" t="s">
        <v>52</v>
      </c>
      <c r="AI15" s="245">
        <f>SUM(Start:Stop!AI15)</f>
        <v>31</v>
      </c>
      <c r="AJ15" s="246" t="s">
        <v>53</v>
      </c>
      <c r="AK15" s="244">
        <f>SUM(Start:Stop!AK15)</f>
        <v>9</v>
      </c>
      <c r="AL15" s="245" t="s">
        <v>54</v>
      </c>
      <c r="AM15" s="246">
        <f>SUM(Start:Stop!AM15)</f>
        <v>2</v>
      </c>
      <c r="AN15" s="244" t="s">
        <v>52</v>
      </c>
      <c r="AO15" s="245">
        <f>SUM(Start:Stop!AO15)</f>
        <v>3</v>
      </c>
      <c r="AP15" s="246" t="s">
        <v>53</v>
      </c>
      <c r="AQ15" s="244">
        <f>SUM(Start:Stop!AQ15)</f>
        <v>0</v>
      </c>
      <c r="AR15" s="245" t="s">
        <v>54</v>
      </c>
      <c r="AS15" s="246">
        <f>SUM(Start:Stop!AS15)</f>
        <v>6</v>
      </c>
      <c r="AT15" s="244" t="s">
        <v>52</v>
      </c>
      <c r="AU15" s="245">
        <f>SUM(Start:Stop!AU15)</f>
        <v>10</v>
      </c>
      <c r="AV15" s="246" t="s">
        <v>53</v>
      </c>
      <c r="AW15" s="244">
        <f>SUM(Start:Stop!AW15)</f>
        <v>1</v>
      </c>
      <c r="AX15" s="245" t="s">
        <v>54</v>
      </c>
      <c r="AY15" s="246">
        <f>SUM(Start:Stop!AY15)</f>
        <v>8</v>
      </c>
      <c r="AZ15" s="244" t="s">
        <v>52</v>
      </c>
      <c r="BA15" s="245">
        <f>SUM(Start:Stop!BA15)</f>
        <v>18</v>
      </c>
      <c r="BB15" s="246" t="s">
        <v>53</v>
      </c>
      <c r="BC15" s="244">
        <f>SUM(Start:Stop!BC15)</f>
        <v>8</v>
      </c>
      <c r="BD15" s="245" t="s">
        <v>54</v>
      </c>
      <c r="BE15" s="246">
        <f>SUM(Start:Stop!BE15)</f>
        <v>0</v>
      </c>
      <c r="BF15" s="244" t="s">
        <v>52</v>
      </c>
      <c r="BG15" s="247">
        <f>SUM(Start:Stop!BG15)</f>
        <v>0</v>
      </c>
      <c r="BH15" s="115"/>
      <c r="BI15" s="243">
        <f>SUM(Start:Stop!BI15)</f>
        <v>0</v>
      </c>
      <c r="BJ15" s="244" t="s">
        <v>52</v>
      </c>
      <c r="BK15" s="245">
        <f>SUM(Start:Stop!BK15)</f>
        <v>0</v>
      </c>
      <c r="BL15" s="246" t="s">
        <v>53</v>
      </c>
      <c r="BM15" s="244">
        <f>SUM(Start:Stop!BM15)</f>
        <v>0</v>
      </c>
      <c r="BN15" s="245" t="s">
        <v>54</v>
      </c>
      <c r="BO15" s="246">
        <f>SUM(Start:Stop!BO15)</f>
        <v>0</v>
      </c>
      <c r="BP15" s="244" t="s">
        <v>52</v>
      </c>
      <c r="BQ15" s="245">
        <f>SUM(Start:Stop!BQ15)</f>
        <v>0</v>
      </c>
      <c r="BR15" s="246" t="s">
        <v>53</v>
      </c>
      <c r="BS15" s="244">
        <f>SUM(Start:Stop!BS15)</f>
        <v>0</v>
      </c>
      <c r="BT15" s="245" t="s">
        <v>54</v>
      </c>
      <c r="BU15" s="246">
        <f>SUM(Start:Stop!BU15)</f>
        <v>0</v>
      </c>
      <c r="BV15" s="244" t="s">
        <v>52</v>
      </c>
      <c r="BW15" s="245">
        <f>SUM(Start:Stop!BW15)</f>
        <v>0</v>
      </c>
      <c r="BX15" s="246" t="s">
        <v>53</v>
      </c>
      <c r="BY15" s="244">
        <f>SUM(Start:Stop!BY15)</f>
        <v>0</v>
      </c>
      <c r="BZ15" s="245" t="s">
        <v>54</v>
      </c>
      <c r="CA15" s="246">
        <f>SUM(Start:Stop!CA15)</f>
        <v>0</v>
      </c>
      <c r="CB15" s="244" t="s">
        <v>52</v>
      </c>
      <c r="CC15" s="245">
        <f>SUM(Start:Stop!CC15)</f>
        <v>0</v>
      </c>
      <c r="CD15" s="246" t="s">
        <v>53</v>
      </c>
      <c r="CE15" s="244">
        <f>SUM(Start:Stop!CE15)</f>
        <v>0</v>
      </c>
      <c r="CF15" s="245" t="s">
        <v>54</v>
      </c>
      <c r="CG15" s="246">
        <f>SUM(Start:Stop!CG15)</f>
        <v>0</v>
      </c>
      <c r="CH15" s="244" t="s">
        <v>52</v>
      </c>
      <c r="CI15" s="247">
        <f>SUM(Start:Stop!CI15)</f>
        <v>0</v>
      </c>
      <c r="CJ15" s="140">
        <f>SUM(Start:Stop!CJ15)</f>
        <v>0</v>
      </c>
      <c r="CK15" s="148">
        <f>SUM(Start:Stop!CK15)</f>
        <v>11</v>
      </c>
      <c r="CL15" s="148">
        <f>SUM(Start:Stop!CL15)</f>
        <v>9</v>
      </c>
      <c r="CM15" s="148">
        <f>SUM(Start:Stop!CM15)</f>
        <v>2</v>
      </c>
      <c r="CN15" s="148">
        <f>SUM(Start:Stop!CN15)</f>
        <v>11</v>
      </c>
      <c r="CO15" s="175">
        <f>SUM(Start:Stop!CO15)</f>
        <v>16</v>
      </c>
      <c r="CP15" s="140">
        <f>SUM(Start:Stop!CP15)</f>
        <v>13</v>
      </c>
      <c r="CQ15" s="140">
        <f>SUM(Start:Stop!CQ15)</f>
        <v>1</v>
      </c>
      <c r="CR15" s="148">
        <f>SUM(Start:Stop!CR15)</f>
        <v>6</v>
      </c>
      <c r="CS15" s="148">
        <f>SUM(Start:Stop!CS15)</f>
        <v>0</v>
      </c>
      <c r="CT15" s="140">
        <f>SUM(Start:Stop!CT15)</f>
        <v>9</v>
      </c>
      <c r="CU15" s="140">
        <f>SUM(Start:Stop!CU15)</f>
        <v>5</v>
      </c>
      <c r="CV15" s="148">
        <f>SUM(Start:Stop!CV15)</f>
        <v>45.100000000000009</v>
      </c>
      <c r="CW15" s="140"/>
      <c r="CX15" s="164">
        <f>IFERROR(100*(EH15/EG15),"0")</f>
        <v>117.26321758589006</v>
      </c>
      <c r="CY15" s="147">
        <f t="shared" si="35"/>
        <v>0.47911989925415333</v>
      </c>
      <c r="CZ15" s="165">
        <f t="shared" si="36"/>
        <v>0.37835020915802342</v>
      </c>
      <c r="DA15" s="164">
        <f>IFERROR(ES15+0.2*(100*ET15*(1-ER15)-ES15),"0")</f>
        <v>82.128055085735951</v>
      </c>
      <c r="DB15" s="148">
        <f t="shared" si="38"/>
        <v>35.135162500154109</v>
      </c>
      <c r="DC15" s="147">
        <f t="shared" si="39"/>
        <v>1.1778532253852183</v>
      </c>
      <c r="DD15" s="77">
        <f t="shared" si="82"/>
        <v>0.53796727330629524</v>
      </c>
      <c r="DE15" s="37">
        <f t="shared" si="40"/>
        <v>0.5161290322580645</v>
      </c>
      <c r="DF15" s="37">
        <f t="shared" si="41"/>
        <v>0.44444444444444442</v>
      </c>
      <c r="DG15" s="536">
        <f t="shared" si="42"/>
        <v>0.64516129032258063</v>
      </c>
      <c r="DH15" s="64">
        <f t="shared" si="83"/>
        <v>0</v>
      </c>
      <c r="DI15" s="64">
        <f t="shared" si="84"/>
        <v>0.26214539066458631</v>
      </c>
      <c r="DJ15" s="64">
        <f t="shared" si="85"/>
        <v>0.19774990785142874</v>
      </c>
      <c r="DK15" s="64">
        <f t="shared" si="43"/>
        <v>0</v>
      </c>
      <c r="DL15" s="64">
        <f>IFERROR(CO15/(DD15*(E36-E15)),"0")</f>
        <v>0.41307758528965116</v>
      </c>
      <c r="DM15" s="64">
        <f>IFERROR((CO15+CP15)/(DD15*EG36),"0")</f>
        <v>0.27642869204166043</v>
      </c>
      <c r="DN15" s="64">
        <f t="shared" si="87"/>
        <v>0.22674287655995215</v>
      </c>
      <c r="DO15" s="37">
        <f t="shared" si="45"/>
        <v>1.7777777777777777</v>
      </c>
      <c r="DP15" s="66">
        <f t="shared" si="46"/>
        <v>1.0446591799425438</v>
      </c>
      <c r="DQ15" s="78">
        <f t="shared" si="47"/>
        <v>6.2679550796552626</v>
      </c>
      <c r="DR15" s="6"/>
      <c r="DS15" s="36"/>
      <c r="DT15" s="533">
        <f t="shared" si="88"/>
        <v>47.842925045703844</v>
      </c>
      <c r="DU15" s="18">
        <f>IFERROR((DV15+DX15+DY15)*(1-(CJ36/EZ36)*EA15*EC15)+ED15,"0")</f>
        <v>19.017484291936469</v>
      </c>
      <c r="DV15" s="13">
        <f t="shared" si="49"/>
        <v>13.486380953176601</v>
      </c>
      <c r="DW15" s="14">
        <f>IFERROR(((D15/(D36/5))*(1.14*((CO36-CO15)/E36)))+((((CO36/D36)*D15*5-CO15)/((E36/D36)*D15*5-E15))*(1-(D15/(D36/5)))),"0")</f>
        <v>0.48701369032203334</v>
      </c>
      <c r="DX15" s="14">
        <f t="shared" si="51"/>
        <v>4.5789473684210522</v>
      </c>
      <c r="DY15" s="14">
        <f t="shared" si="52"/>
        <v>2.3460000000000001</v>
      </c>
      <c r="DZ15" s="15">
        <f t="shared" si="89"/>
        <v>99.337299999999999</v>
      </c>
      <c r="EA15" s="14">
        <f t="shared" si="53"/>
        <v>0.7492592058280183</v>
      </c>
      <c r="EB15" s="14">
        <f t="shared" si="54"/>
        <v>0.21052631578947367</v>
      </c>
      <c r="EC15" s="14">
        <f t="shared" si="55"/>
        <v>0.4434700892857143</v>
      </c>
      <c r="ED15" s="14">
        <f>IFERROR(CJ15*EA15*EC15,"0")</f>
        <v>0</v>
      </c>
      <c r="EE15" s="19">
        <f t="shared" si="57"/>
        <v>11.621052631578948</v>
      </c>
      <c r="EF15" s="67">
        <f t="shared" si="58"/>
        <v>5.400000000000002E-2</v>
      </c>
      <c r="EG15" s="74">
        <f>SUM(CT15+DU15+EE15+EF15)</f>
        <v>39.692536923515419</v>
      </c>
      <c r="EH15" s="27">
        <f>IFERROR((EI15+EJ15+EX15)*(1-(CJ36/DZ15)*EA15*EC15)+EK15,"0")</f>
        <v>46.544745937981645</v>
      </c>
      <c r="EI15" s="25">
        <f>IFERROR(2*(E15+(0.5*W15))*(1-0.5*((CV15-EX15)/(2*G15))*DW15),"0")</f>
        <v>33.715952382941502</v>
      </c>
      <c r="EJ15" s="25">
        <f t="shared" si="60"/>
        <v>11.065789473684209</v>
      </c>
      <c r="EK15" s="26">
        <f t="shared" si="61"/>
        <v>0</v>
      </c>
      <c r="EL15" s="29">
        <f t="shared" si="62"/>
        <v>0.77567789646672147</v>
      </c>
      <c r="EM15" s="30">
        <f t="shared" si="63"/>
        <v>0.17948717948717949</v>
      </c>
      <c r="EN15" s="30">
        <f t="shared" si="64"/>
        <v>0.43065693430656932</v>
      </c>
      <c r="EO15" s="31">
        <f t="shared" si="65"/>
        <v>5.6010829488232936</v>
      </c>
      <c r="EP15" s="31">
        <f t="shared" si="66"/>
        <v>6.4075713999207089</v>
      </c>
      <c r="EQ15" s="31">
        <f t="shared" si="67"/>
        <v>12.008654348744003</v>
      </c>
      <c r="ER15" s="93">
        <f>IFERROR((EQ15*D51)/(EG36*D15),"0")</f>
        <v>0.57233389910408661</v>
      </c>
      <c r="ES15" s="109">
        <f t="shared" si="69"/>
        <v>77.48282416167261</v>
      </c>
      <c r="ET15" s="32">
        <f t="shared" si="70"/>
        <v>2.3548506316262876</v>
      </c>
      <c r="EV15" s="275"/>
      <c r="EW15" s="276"/>
      <c r="EX15" s="37">
        <f t="shared" si="90"/>
        <v>5.0999999999999996</v>
      </c>
      <c r="EY15" s="72">
        <f t="shared" si="71"/>
        <v>6</v>
      </c>
      <c r="EZ15" s="7">
        <v>0.85</v>
      </c>
      <c r="FB15" s="57"/>
      <c r="FC15" s="139"/>
      <c r="FD15" s="60" t="s">
        <v>82</v>
      </c>
      <c r="FE15" s="41" t="s">
        <v>243</v>
      </c>
      <c r="FF15" s="164">
        <f t="shared" si="15"/>
        <v>38.29</v>
      </c>
      <c r="FG15" s="144">
        <f t="shared" si="16"/>
        <v>16</v>
      </c>
      <c r="FH15" s="265" t="s">
        <v>52</v>
      </c>
      <c r="FI15" s="145">
        <f t="shared" si="72"/>
        <v>31</v>
      </c>
      <c r="FJ15" s="194">
        <f t="shared" si="73"/>
        <v>0.5161290322580645</v>
      </c>
      <c r="FK15" s="110">
        <f t="shared" si="17"/>
        <v>8</v>
      </c>
      <c r="FL15" s="265" t="s">
        <v>52</v>
      </c>
      <c r="FM15" s="168">
        <f t="shared" si="18"/>
        <v>18</v>
      </c>
      <c r="FN15" s="194">
        <f t="shared" si="19"/>
        <v>0.44444444444444442</v>
      </c>
      <c r="FO15" s="262">
        <f t="shared" si="74"/>
        <v>0</v>
      </c>
      <c r="FP15" s="419" t="s">
        <v>52</v>
      </c>
      <c r="FQ15" s="274">
        <f t="shared" si="75"/>
        <v>0</v>
      </c>
      <c r="FR15" s="197" t="str">
        <f t="shared" si="76"/>
        <v>0</v>
      </c>
      <c r="FS15" s="140">
        <f t="shared" si="20"/>
        <v>0</v>
      </c>
      <c r="FT15" s="140">
        <f t="shared" si="21"/>
        <v>11</v>
      </c>
      <c r="FU15" s="140">
        <f t="shared" si="22"/>
        <v>11</v>
      </c>
      <c r="FV15" s="175">
        <f t="shared" si="22"/>
        <v>16</v>
      </c>
      <c r="FW15" s="140">
        <f t="shared" si="22"/>
        <v>13</v>
      </c>
      <c r="FX15" s="140">
        <f t="shared" si="22"/>
        <v>1</v>
      </c>
      <c r="FY15" s="140">
        <f t="shared" si="22"/>
        <v>6</v>
      </c>
      <c r="FZ15" s="140">
        <f t="shared" si="22"/>
        <v>0</v>
      </c>
      <c r="GA15" s="140">
        <f t="shared" si="22"/>
        <v>9</v>
      </c>
      <c r="GB15" s="140">
        <f t="shared" si="22"/>
        <v>5</v>
      </c>
      <c r="GC15" s="192">
        <f t="shared" si="77"/>
        <v>40</v>
      </c>
      <c r="GD15" s="201">
        <f t="shared" si="78"/>
        <v>117.26321758589006</v>
      </c>
      <c r="GE15" s="147">
        <f t="shared" si="78"/>
        <v>0.47911989925415333</v>
      </c>
      <c r="GF15" s="147">
        <f t="shared" si="78"/>
        <v>0.37835020915802342</v>
      </c>
      <c r="GG15" s="259">
        <f t="shared" si="78"/>
        <v>82.128055085735951</v>
      </c>
      <c r="GH15" s="192">
        <f t="shared" si="79"/>
        <v>35.135162500154109</v>
      </c>
      <c r="GI15" s="161">
        <f t="shared" si="23"/>
        <v>1.0446591799425438</v>
      </c>
      <c r="GJ15" s="82"/>
      <c r="GK15" s="24"/>
      <c r="GL15" s="366">
        <f t="shared" si="24"/>
        <v>0.54230769230769216</v>
      </c>
      <c r="GM15" s="366">
        <f>((E47/G47)*(1-(CJ47/(CJ47+CK46))))/((E47/G47)*(1-(CJ47/(CJ47+CK46)))+((1-(E47/G47)))*(CJ47/(CJ47+CK46)))</f>
        <v>0.67298578199052139</v>
      </c>
      <c r="GN15" s="370">
        <f>GK15+(GL15/10)+(GJ15*GM15*(1-(CJ47/(CJ47+CK46))))+(CK15*(1-GM15))</f>
        <v>3.651387167335034</v>
      </c>
      <c r="GO15" s="371">
        <f>GN15/(DD15*EG47)</f>
        <v>3.9876551875228601E-2</v>
      </c>
      <c r="GP15" s="46"/>
      <c r="GQ15" s="383">
        <f t="shared" si="80"/>
        <v>0.58064516129032262</v>
      </c>
      <c r="GR15" s="385">
        <f t="shared" si="81"/>
        <v>0.47009663097414467</v>
      </c>
      <c r="GS15" s="190" t="s">
        <v>151</v>
      </c>
      <c r="GT15" s="120">
        <v>80.679594500289781</v>
      </c>
      <c r="GU15" s="139"/>
      <c r="GV15" s="160" t="s">
        <v>144</v>
      </c>
      <c r="GW15" s="399">
        <v>0.13247854630427316</v>
      </c>
      <c r="GX15" s="190" t="s">
        <v>151</v>
      </c>
      <c r="GY15" s="147">
        <v>0.95081967213114749</v>
      </c>
      <c r="GZ15" s="147"/>
      <c r="HA15" s="406" t="s">
        <v>189</v>
      </c>
      <c r="HB15" s="121">
        <v>0.45454545454545453</v>
      </c>
      <c r="HC15" s="139"/>
      <c r="HD15" s="416" t="s">
        <v>147</v>
      </c>
      <c r="HE15" s="164">
        <v>9.3655473233851634</v>
      </c>
      <c r="HF15" s="164"/>
      <c r="HG15" s="41" t="s">
        <v>125</v>
      </c>
      <c r="HH15" s="28">
        <f>(K15*2)/M15</f>
        <v>1.3333333333333333</v>
      </c>
      <c r="HI15" s="28">
        <f>(Q15*2)/S15</f>
        <v>1.2</v>
      </c>
      <c r="HJ15" s="28">
        <f>(W15*3)/Y15</f>
        <v>1.3333333333333333</v>
      </c>
      <c r="HK15" s="33"/>
      <c r="HL15" s="41"/>
      <c r="HM15" s="90">
        <f t="shared" si="96"/>
        <v>33.274922175123237</v>
      </c>
      <c r="HN15" s="6"/>
      <c r="HO15" s="37"/>
      <c r="HQ15" s="6">
        <f>(FV15+FZ15)/GA15</f>
        <v>1.7777777777777777</v>
      </c>
      <c r="HR15" s="6">
        <f>(CO15+CP15)/CT15</f>
        <v>3.2222222222222223</v>
      </c>
      <c r="HS15" s="41"/>
      <c r="HT15" s="396">
        <v>12</v>
      </c>
      <c r="HU15" s="397" t="s">
        <v>189</v>
      </c>
      <c r="HV15" s="395">
        <v>-59.418834574381933</v>
      </c>
      <c r="HX15" s="24"/>
      <c r="HY15" s="228"/>
      <c r="HZ15" s="37"/>
      <c r="IA15" s="24"/>
      <c r="IC15" s="6"/>
      <c r="IE15" s="41" t="s">
        <v>149</v>
      </c>
      <c r="IF15" s="6">
        <v>0.32191148091618838</v>
      </c>
      <c r="IJ15" s="24"/>
      <c r="IK15" s="12" t="s">
        <v>144</v>
      </c>
      <c r="IL15" s="250">
        <v>15</v>
      </c>
      <c r="IM15" s="36">
        <v>31</v>
      </c>
      <c r="IN15" s="326">
        <f t="shared" si="92"/>
        <v>0.32608695652173914</v>
      </c>
      <c r="IO15" s="323"/>
      <c r="IP15" s="24"/>
      <c r="IQ15" s="41" t="s">
        <v>149</v>
      </c>
      <c r="IR15" s="64">
        <f>CZ16</f>
        <v>0.18740505544439306</v>
      </c>
      <c r="IS15" s="66">
        <f>CX16</f>
        <v>86.159545104714766</v>
      </c>
      <c r="IV15" s="41"/>
      <c r="IW15" s="64"/>
    </row>
    <row r="16" spans="1:258" ht="17" thickBot="1" x14ac:dyDescent="0.25">
      <c r="A16" s="139"/>
      <c r="B16" s="89" t="s">
        <v>82</v>
      </c>
      <c r="C16" s="41" t="s">
        <v>216</v>
      </c>
      <c r="D16" s="308">
        <f>SUM(Start:Stop!D16)</f>
        <v>48.016666666666666</v>
      </c>
      <c r="E16" s="114">
        <f>SUM(Start:Stop!E16)</f>
        <v>4</v>
      </c>
      <c r="F16" s="339" t="s">
        <v>52</v>
      </c>
      <c r="G16" s="115">
        <f>SUM(Start:Stop!G16)</f>
        <v>14</v>
      </c>
      <c r="H16" s="116" t="s">
        <v>53</v>
      </c>
      <c r="I16" s="339">
        <f>SUM(Start:Stop!I16)</f>
        <v>4</v>
      </c>
      <c r="J16" s="115" t="s">
        <v>54</v>
      </c>
      <c r="K16" s="116">
        <f>SUM(Start:Stop!K16)</f>
        <v>3</v>
      </c>
      <c r="L16" s="339" t="s">
        <v>52</v>
      </c>
      <c r="M16" s="115">
        <f>SUM(Start:Stop!M16)</f>
        <v>6</v>
      </c>
      <c r="N16" s="116" t="s">
        <v>53</v>
      </c>
      <c r="O16" s="339">
        <f>SUM(Start:Stop!O16)</f>
        <v>3</v>
      </c>
      <c r="P16" s="115" t="s">
        <v>54</v>
      </c>
      <c r="Q16" s="116">
        <f>SUM(Start:Stop!Q16)</f>
        <v>0</v>
      </c>
      <c r="R16" s="339" t="s">
        <v>52</v>
      </c>
      <c r="S16" s="115">
        <f>SUM(Start:Stop!S16)</f>
        <v>0</v>
      </c>
      <c r="T16" s="116" t="s">
        <v>53</v>
      </c>
      <c r="U16" s="339">
        <f>SUM(Start:Stop!U16)</f>
        <v>0</v>
      </c>
      <c r="V16" s="115" t="s">
        <v>54</v>
      </c>
      <c r="W16" s="116">
        <f>SUM(Start:Stop!W16)</f>
        <v>1</v>
      </c>
      <c r="X16" s="339" t="s">
        <v>52</v>
      </c>
      <c r="Y16" s="115">
        <f>SUM(Start:Stop!Y16)</f>
        <v>8</v>
      </c>
      <c r="Z16" s="116" t="s">
        <v>53</v>
      </c>
      <c r="AA16" s="339">
        <f>SUM(Start:Stop!AA16)</f>
        <v>1</v>
      </c>
      <c r="AB16" s="115" t="s">
        <v>54</v>
      </c>
      <c r="AC16" s="329">
        <f>SUM(Start:Stop!AC16)</f>
        <v>2.25</v>
      </c>
      <c r="AD16" s="339" t="s">
        <v>52</v>
      </c>
      <c r="AE16" s="294">
        <f>SUM(Start:Stop!AE16)</f>
        <v>3</v>
      </c>
      <c r="AF16" s="226"/>
      <c r="AG16" s="243">
        <f>SUM(Start:Stop!AG16)</f>
        <v>4</v>
      </c>
      <c r="AH16" s="244" t="s">
        <v>52</v>
      </c>
      <c r="AI16" s="245">
        <f>SUM(Start:Stop!AI16)</f>
        <v>13</v>
      </c>
      <c r="AJ16" s="246" t="s">
        <v>53</v>
      </c>
      <c r="AK16" s="244">
        <f>SUM(Start:Stop!AK16)</f>
        <v>4</v>
      </c>
      <c r="AL16" s="245" t="s">
        <v>54</v>
      </c>
      <c r="AM16" s="246">
        <f>SUM(Start:Stop!AM16)</f>
        <v>3</v>
      </c>
      <c r="AN16" s="244" t="s">
        <v>52</v>
      </c>
      <c r="AO16" s="245">
        <f>SUM(Start:Stop!AO16)</f>
        <v>5</v>
      </c>
      <c r="AP16" s="246" t="s">
        <v>53</v>
      </c>
      <c r="AQ16" s="244">
        <f>SUM(Start:Stop!AQ16)</f>
        <v>3</v>
      </c>
      <c r="AR16" s="245" t="s">
        <v>54</v>
      </c>
      <c r="AS16" s="246">
        <f>SUM(Start:Stop!AS16)</f>
        <v>0</v>
      </c>
      <c r="AT16" s="244" t="s">
        <v>52</v>
      </c>
      <c r="AU16" s="245">
        <f>SUM(Start:Stop!AU16)</f>
        <v>0</v>
      </c>
      <c r="AV16" s="246" t="s">
        <v>53</v>
      </c>
      <c r="AW16" s="244">
        <f>SUM(Start:Stop!AW16)</f>
        <v>0</v>
      </c>
      <c r="AX16" s="245" t="s">
        <v>54</v>
      </c>
      <c r="AY16" s="246">
        <f>SUM(Start:Stop!AY16)</f>
        <v>1</v>
      </c>
      <c r="AZ16" s="244" t="s">
        <v>52</v>
      </c>
      <c r="BA16" s="245">
        <f>SUM(Start:Stop!BA16)</f>
        <v>8</v>
      </c>
      <c r="BB16" s="246" t="s">
        <v>53</v>
      </c>
      <c r="BC16" s="244">
        <f>SUM(Start:Stop!BC16)</f>
        <v>1</v>
      </c>
      <c r="BD16" s="245" t="s">
        <v>54</v>
      </c>
      <c r="BE16" s="246">
        <f>SUM(Start:Stop!BE16)</f>
        <v>0</v>
      </c>
      <c r="BF16" s="244" t="s">
        <v>52</v>
      </c>
      <c r="BG16" s="247">
        <f>SUM(Start:Stop!BG16)</f>
        <v>0</v>
      </c>
      <c r="BH16" s="115"/>
      <c r="BI16" s="243">
        <f>SUM(Start:Stop!BI16)</f>
        <v>0</v>
      </c>
      <c r="BJ16" s="244" t="s">
        <v>52</v>
      </c>
      <c r="BK16" s="245">
        <f>SUM(Start:Stop!BK16)</f>
        <v>1</v>
      </c>
      <c r="BL16" s="246" t="s">
        <v>53</v>
      </c>
      <c r="BM16" s="244">
        <f>SUM(Start:Stop!BM16)</f>
        <v>0</v>
      </c>
      <c r="BN16" s="245" t="s">
        <v>54</v>
      </c>
      <c r="BO16" s="246">
        <f>SUM(Start:Stop!BO16)</f>
        <v>0</v>
      </c>
      <c r="BP16" s="244" t="s">
        <v>52</v>
      </c>
      <c r="BQ16" s="245">
        <f>SUM(Start:Stop!BQ16)</f>
        <v>1</v>
      </c>
      <c r="BR16" s="246" t="s">
        <v>53</v>
      </c>
      <c r="BS16" s="244">
        <f>SUM(Start:Stop!BS16)</f>
        <v>0</v>
      </c>
      <c r="BT16" s="245" t="s">
        <v>54</v>
      </c>
      <c r="BU16" s="246">
        <f>SUM(Start:Stop!BU16)</f>
        <v>0</v>
      </c>
      <c r="BV16" s="244" t="s">
        <v>52</v>
      </c>
      <c r="BW16" s="245">
        <f>SUM(Start:Stop!BW16)</f>
        <v>0</v>
      </c>
      <c r="BX16" s="246" t="s">
        <v>53</v>
      </c>
      <c r="BY16" s="244">
        <f>SUM(Start:Stop!BY16)</f>
        <v>0</v>
      </c>
      <c r="BZ16" s="245" t="s">
        <v>54</v>
      </c>
      <c r="CA16" s="246">
        <f>SUM(Start:Stop!CA16)</f>
        <v>0</v>
      </c>
      <c r="CB16" s="244" t="s">
        <v>52</v>
      </c>
      <c r="CC16" s="245">
        <f>SUM(Start:Stop!CC16)</f>
        <v>0</v>
      </c>
      <c r="CD16" s="246" t="s">
        <v>53</v>
      </c>
      <c r="CE16" s="244">
        <f>SUM(Start:Stop!CE16)</f>
        <v>0</v>
      </c>
      <c r="CF16" s="245" t="s">
        <v>54</v>
      </c>
      <c r="CG16" s="246">
        <f>SUM(Start:Stop!CG16)</f>
        <v>0</v>
      </c>
      <c r="CH16" s="244" t="s">
        <v>52</v>
      </c>
      <c r="CI16" s="247">
        <f>SUM(Start:Stop!CI16)</f>
        <v>0</v>
      </c>
      <c r="CJ16" s="140">
        <f>SUM(Start:Stop!CJ16)</f>
        <v>2</v>
      </c>
      <c r="CK16" s="148">
        <f>SUM(Start:Stop!CK16)</f>
        <v>18</v>
      </c>
      <c r="CL16" s="148">
        <f>SUM(Start:Stop!CL16)</f>
        <v>7</v>
      </c>
      <c r="CM16" s="148">
        <f>SUM(Start:Stop!CM16)</f>
        <v>11</v>
      </c>
      <c r="CN16" s="148">
        <f>SUM(Start:Stop!CN16)</f>
        <v>20</v>
      </c>
      <c r="CO16" s="175">
        <f>SUM(Start:Stop!CO16)</f>
        <v>14</v>
      </c>
      <c r="CP16" s="140">
        <f>SUM(Start:Stop!CP16)</f>
        <v>6</v>
      </c>
      <c r="CQ16" s="140">
        <f>SUM(Start:Stop!CQ16)</f>
        <v>2</v>
      </c>
      <c r="CR16" s="148">
        <f>SUM(Start:Stop!CR16)</f>
        <v>3</v>
      </c>
      <c r="CS16" s="148">
        <f>SUM(Start:Stop!CS16)</f>
        <v>4</v>
      </c>
      <c r="CT16" s="140">
        <f>SUM(Start:Stop!CT16)</f>
        <v>7</v>
      </c>
      <c r="CU16" s="140">
        <f>SUM(Start:Stop!CU16)</f>
        <v>0</v>
      </c>
      <c r="CV16" s="148">
        <f>SUM(Start:Stop!CV16)</f>
        <v>11.25</v>
      </c>
      <c r="CW16" s="140"/>
      <c r="CX16" s="164">
        <f>IFERROR(100*(EH16/EG16),"0")</f>
        <v>86.159545104714766</v>
      </c>
      <c r="CY16" s="147">
        <f t="shared" si="35"/>
        <v>0.37846386613537769</v>
      </c>
      <c r="CZ16" s="165">
        <f t="shared" si="36"/>
        <v>0.18740505544439306</v>
      </c>
      <c r="DA16" s="164">
        <f t="shared" si="37"/>
        <v>97.682204655121083</v>
      </c>
      <c r="DB16" s="148">
        <f t="shared" si="38"/>
        <v>-11.522659550406317</v>
      </c>
      <c r="DC16" s="147">
        <f t="shared" si="39"/>
        <v>0.2342936480388754</v>
      </c>
      <c r="DD16" s="77">
        <f t="shared" si="82"/>
        <v>0.67462510420276689</v>
      </c>
      <c r="DE16" s="37">
        <f t="shared" si="40"/>
        <v>0.2857142857142857</v>
      </c>
      <c r="DF16" s="37">
        <f t="shared" si="41"/>
        <v>0.125</v>
      </c>
      <c r="DG16" s="536">
        <f t="shared" si="42"/>
        <v>0.32142857142857145</v>
      </c>
      <c r="DH16" s="64">
        <f t="shared" si="83"/>
        <v>3.4877758948077667E-2</v>
      </c>
      <c r="DI16" s="64">
        <f t="shared" si="84"/>
        <v>0.30319869994635701</v>
      </c>
      <c r="DJ16" s="64">
        <f>IFERROR(CU16/(DD16*(M52)),"0")</f>
        <v>0</v>
      </c>
      <c r="DK16" s="64">
        <f t="shared" si="43"/>
        <v>3.1731157689547269E-2</v>
      </c>
      <c r="DL16" s="64">
        <f t="shared" si="86"/>
        <v>0.27669688765474953</v>
      </c>
      <c r="DM16" s="64">
        <f t="shared" si="44"/>
        <v>0.15865578844773634</v>
      </c>
      <c r="DN16" s="64">
        <f t="shared" si="87"/>
        <v>0.29630751329002686</v>
      </c>
      <c r="DO16" s="37">
        <f t="shared" si="45"/>
        <v>2</v>
      </c>
      <c r="DP16" s="66">
        <f t="shared" si="46"/>
        <v>1.6660881638320029</v>
      </c>
      <c r="DQ16" s="78">
        <f t="shared" si="47"/>
        <v>2.4991322457480045</v>
      </c>
      <c r="DR16" s="6"/>
      <c r="DS16" s="36"/>
      <c r="DT16" s="533">
        <f t="shared" si="88"/>
        <v>15.127559875043387</v>
      </c>
      <c r="DU16" s="18">
        <f t="shared" si="48"/>
        <v>8.9408703597554453</v>
      </c>
      <c r="DV16" s="13">
        <f t="shared" si="49"/>
        <v>3.700099466955078</v>
      </c>
      <c r="DW16" s="14">
        <f t="shared" si="50"/>
        <v>0.46651194029210108</v>
      </c>
      <c r="DX16" s="14">
        <f t="shared" si="51"/>
        <v>4.13</v>
      </c>
      <c r="DY16" s="14">
        <f t="shared" si="52"/>
        <v>1.125</v>
      </c>
      <c r="DZ16" s="15">
        <f t="shared" si="89"/>
        <v>84.989937499999996</v>
      </c>
      <c r="EA16" s="14">
        <f t="shared" si="53"/>
        <v>0.70019309782979733</v>
      </c>
      <c r="EB16" s="14">
        <f t="shared" si="54"/>
        <v>0.22352941176470589</v>
      </c>
      <c r="EC16" s="14">
        <f t="shared" si="55"/>
        <v>0.40203376300851462</v>
      </c>
      <c r="ED16" s="14">
        <f t="shared" si="56"/>
        <v>0.56300253190620486</v>
      </c>
      <c r="EE16" s="19">
        <f t="shared" si="57"/>
        <v>7.6082352941176463</v>
      </c>
      <c r="EF16" s="67">
        <f t="shared" si="58"/>
        <v>7.5000000000000011E-2</v>
      </c>
      <c r="EG16" s="74">
        <f t="shared" si="59"/>
        <v>23.624105653873091</v>
      </c>
      <c r="EH16" s="27">
        <f t="shared" si="91"/>
        <v>20.354421966434256</v>
      </c>
      <c r="EI16" s="25">
        <f t="shared" ref="EI16:EI18" si="98">IFERROR(2*(E16+(0.5*W16))*(1-0.5*((CV16-EX16)/(2*G16))*DW16),"0")</f>
        <v>8.3252238006489261</v>
      </c>
      <c r="EJ16" s="25">
        <f t="shared" si="60"/>
        <v>9.7467999999999986</v>
      </c>
      <c r="EK16" s="26">
        <f t="shared" si="61"/>
        <v>1.3112887768723591</v>
      </c>
      <c r="EL16" s="29">
        <f t="shared" si="62"/>
        <v>0.7899427116486315</v>
      </c>
      <c r="EM16" s="30">
        <f t="shared" si="63"/>
        <v>0.17045454545454544</v>
      </c>
      <c r="EN16" s="30">
        <f t="shared" si="64"/>
        <v>0.4358974358974359</v>
      </c>
      <c r="EO16" s="31">
        <f t="shared" si="65"/>
        <v>7.781031190324633</v>
      </c>
      <c r="EP16" s="31">
        <f>IFERROR((((G52-E52-CU37)/D37)*EL16*(1-1.07*EM16)+((CT52-CS37)/D37))*D16+(CQ16/CQ37)*0.4*EY52*(1-(EX52/EY52))^2,"0")</f>
        <v>8.9467187090194713</v>
      </c>
      <c r="EQ16" s="31">
        <f t="shared" si="67"/>
        <v>16.727749899344104</v>
      </c>
      <c r="ER16" s="93">
        <f t="shared" si="68"/>
        <v>0.6634885873092452</v>
      </c>
      <c r="ES16" s="109">
        <f t="shared" si="69"/>
        <v>101.73503551213695</v>
      </c>
      <c r="ET16" s="32">
        <f t="shared" si="70"/>
        <v>2.4210436304556264</v>
      </c>
      <c r="EV16" s="275"/>
      <c r="EW16" s="276"/>
      <c r="EX16" s="37">
        <f t="shared" si="90"/>
        <v>2.25</v>
      </c>
      <c r="EY16" s="72">
        <f t="shared" si="71"/>
        <v>3</v>
      </c>
      <c r="EZ16" s="7">
        <v>0.75</v>
      </c>
      <c r="FB16" s="41"/>
      <c r="FC16" s="178"/>
      <c r="FD16" s="216" t="s">
        <v>82</v>
      </c>
      <c r="FE16" s="180" t="s">
        <v>244</v>
      </c>
      <c r="FF16" s="393">
        <f t="shared" si="15"/>
        <v>48.016666666666666</v>
      </c>
      <c r="FG16" s="182">
        <f t="shared" si="16"/>
        <v>4</v>
      </c>
      <c r="FH16" s="183" t="s">
        <v>52</v>
      </c>
      <c r="FI16" s="184">
        <f t="shared" si="72"/>
        <v>14</v>
      </c>
      <c r="FJ16" s="193">
        <f t="shared" si="73"/>
        <v>0.2857142857142857</v>
      </c>
      <c r="FK16" s="185">
        <f t="shared" si="17"/>
        <v>1</v>
      </c>
      <c r="FL16" s="183" t="s">
        <v>52</v>
      </c>
      <c r="FM16" s="186">
        <f t="shared" si="18"/>
        <v>8</v>
      </c>
      <c r="FN16" s="193">
        <f t="shared" si="19"/>
        <v>0.125</v>
      </c>
      <c r="FO16" s="261">
        <f t="shared" si="74"/>
        <v>0</v>
      </c>
      <c r="FP16" s="183" t="s">
        <v>52</v>
      </c>
      <c r="FQ16" s="268">
        <f t="shared" si="75"/>
        <v>0</v>
      </c>
      <c r="FR16" s="196" t="str">
        <f t="shared" si="76"/>
        <v>0</v>
      </c>
      <c r="FS16" s="179">
        <f t="shared" si="20"/>
        <v>2</v>
      </c>
      <c r="FT16" s="179">
        <f t="shared" si="21"/>
        <v>18</v>
      </c>
      <c r="FU16" s="179">
        <f t="shared" si="22"/>
        <v>20</v>
      </c>
      <c r="FV16" s="187">
        <f t="shared" si="22"/>
        <v>14</v>
      </c>
      <c r="FW16" s="179">
        <f t="shared" si="22"/>
        <v>6</v>
      </c>
      <c r="FX16" s="179">
        <f t="shared" si="22"/>
        <v>2</v>
      </c>
      <c r="FY16" s="179">
        <f t="shared" si="22"/>
        <v>3</v>
      </c>
      <c r="FZ16" s="179">
        <f t="shared" si="22"/>
        <v>4</v>
      </c>
      <c r="GA16" s="179">
        <f t="shared" si="22"/>
        <v>7</v>
      </c>
      <c r="GB16" s="179">
        <f t="shared" si="22"/>
        <v>0</v>
      </c>
      <c r="GC16" s="191">
        <f t="shared" si="77"/>
        <v>9</v>
      </c>
      <c r="GD16" s="200">
        <f t="shared" si="78"/>
        <v>86.159545104714766</v>
      </c>
      <c r="GE16" s="181">
        <f t="shared" si="78"/>
        <v>0.37846386613537769</v>
      </c>
      <c r="GF16" s="181">
        <f t="shared" si="78"/>
        <v>0.18740505544439306</v>
      </c>
      <c r="GG16" s="258">
        <f t="shared" si="78"/>
        <v>97.682204655121083</v>
      </c>
      <c r="GH16" s="191">
        <f t="shared" si="79"/>
        <v>-11.522659550406317</v>
      </c>
      <c r="GI16" s="297">
        <f t="shared" si="23"/>
        <v>0.18743491843110033</v>
      </c>
      <c r="GJ16" s="82"/>
      <c r="GK16" s="24"/>
      <c r="GL16" s="366">
        <f t="shared" si="24"/>
        <v>0.27931034482758627</v>
      </c>
      <c r="GM16" s="366">
        <f>((E49/G49)*(1-(CJ49/(CJ49+CK48))))/((E49/G49)*(1-(CJ49/(CJ49+CK48)))+((1-(E49/G49)))*(CJ49/(CJ49+CK48)))</f>
        <v>0.78791858174655294</v>
      </c>
      <c r="GN16" s="370">
        <f>GK16+(GL16/10)+(GJ16*GM16*(1-(CJ49/(CJ49+CK48))))+(CK16*(1-GM16))</f>
        <v>3.8453965630448055</v>
      </c>
      <c r="GO16" s="371">
        <f>GN16/(DD16*EG49)</f>
        <v>3.0504721180204458E-2</v>
      </c>
      <c r="GP16" s="46"/>
      <c r="GQ16" s="383">
        <f t="shared" si="80"/>
        <v>0.5714285714285714</v>
      </c>
      <c r="GR16" s="385">
        <f t="shared" si="81"/>
        <v>0.16660881638320027</v>
      </c>
      <c r="GS16" s="389" t="s">
        <v>189</v>
      </c>
      <c r="GT16" s="23">
        <v>67.618940939960311</v>
      </c>
      <c r="GU16" s="139"/>
      <c r="GV16" s="160" t="s">
        <v>147</v>
      </c>
      <c r="GW16" s="399">
        <v>0.12689908738809902</v>
      </c>
      <c r="GX16" s="160" t="s">
        <v>189</v>
      </c>
      <c r="GY16" s="147">
        <v>0.76623376623376627</v>
      </c>
      <c r="GZ16" s="147"/>
      <c r="HA16" s="190" t="s">
        <v>151</v>
      </c>
      <c r="HB16" s="147">
        <v>0.24590163934426229</v>
      </c>
      <c r="HC16" s="139"/>
      <c r="HD16" s="416" t="s">
        <v>189</v>
      </c>
      <c r="HE16" s="164">
        <v>5.9043030549898168</v>
      </c>
      <c r="HF16" s="164"/>
      <c r="HG16" s="41" t="s">
        <v>126</v>
      </c>
      <c r="HH16" s="28">
        <f>(K16*2)/M16</f>
        <v>1</v>
      </c>
      <c r="HI16" s="28" t="e">
        <f>(Q16*2)/S16</f>
        <v>#DIV/0!</v>
      </c>
      <c r="HJ16" s="28">
        <f>(W16*3)/Y16</f>
        <v>0.375</v>
      </c>
      <c r="HK16" s="33"/>
      <c r="HL16" s="40"/>
      <c r="HM16" s="90">
        <f t="shared" si="96"/>
        <v>12.110050745559565</v>
      </c>
      <c r="HN16" s="314"/>
      <c r="HO16" s="313"/>
      <c r="HQ16" s="6">
        <f>(FV16+FZ16)/GA16</f>
        <v>2.5714285714285716</v>
      </c>
      <c r="HR16" s="6">
        <f>(CO16+CP16)/CT16</f>
        <v>2.8571428571428572</v>
      </c>
      <c r="HS16" s="41"/>
      <c r="HT16" s="41"/>
      <c r="HW16" s="66"/>
      <c r="HX16" s="24"/>
      <c r="HY16" s="228"/>
      <c r="HZ16" s="37"/>
      <c r="IA16" s="24"/>
      <c r="IC16" s="6"/>
      <c r="IJ16" s="24"/>
      <c r="IK16" s="12" t="s">
        <v>151</v>
      </c>
      <c r="IL16" s="250">
        <v>12</v>
      </c>
      <c r="IM16" s="58">
        <v>32</v>
      </c>
      <c r="IN16" s="326">
        <f t="shared" si="92"/>
        <v>0.27272727272727271</v>
      </c>
      <c r="IO16" s="323"/>
      <c r="IP16" s="24"/>
      <c r="IQ16" s="41" t="s">
        <v>155</v>
      </c>
      <c r="IR16" s="64">
        <f>CZ17</f>
        <v>0.16081262272376204</v>
      </c>
      <c r="IS16" s="66">
        <f>CX17</f>
        <v>95.274116261890484</v>
      </c>
      <c r="IV16" s="41"/>
      <c r="IW16" s="64"/>
    </row>
    <row r="17" spans="1:257" ht="17" thickBot="1" x14ac:dyDescent="0.25">
      <c r="A17" s="139"/>
      <c r="B17" s="89" t="s">
        <v>82</v>
      </c>
      <c r="C17" s="41" t="s">
        <v>217</v>
      </c>
      <c r="D17" s="308">
        <f>SUM(Start:Stop!D17)</f>
        <v>55.573333333333331</v>
      </c>
      <c r="E17" s="114">
        <f>SUM(Start:Stop!E17)</f>
        <v>9</v>
      </c>
      <c r="F17" s="339" t="s">
        <v>52</v>
      </c>
      <c r="G17" s="115">
        <f>SUM(Start:Stop!G17)</f>
        <v>22</v>
      </c>
      <c r="H17" s="116" t="s">
        <v>53</v>
      </c>
      <c r="I17" s="339">
        <f>SUM(Start:Stop!I17)</f>
        <v>4</v>
      </c>
      <c r="J17" s="115" t="s">
        <v>54</v>
      </c>
      <c r="K17" s="116">
        <f>SUM(Start:Stop!K17)</f>
        <v>6</v>
      </c>
      <c r="L17" s="339" t="s">
        <v>52</v>
      </c>
      <c r="M17" s="115">
        <f>SUM(Start:Stop!M17)</f>
        <v>10</v>
      </c>
      <c r="N17" s="116" t="s">
        <v>53</v>
      </c>
      <c r="O17" s="339">
        <f>SUM(Start:Stop!O17)</f>
        <v>1</v>
      </c>
      <c r="P17" s="115" t="s">
        <v>54</v>
      </c>
      <c r="Q17" s="116">
        <f>SUM(Start:Stop!Q17)</f>
        <v>0</v>
      </c>
      <c r="R17" s="339" t="s">
        <v>52</v>
      </c>
      <c r="S17" s="115">
        <f>SUM(Start:Stop!S17)</f>
        <v>4</v>
      </c>
      <c r="T17" s="116" t="s">
        <v>53</v>
      </c>
      <c r="U17" s="339">
        <f>SUM(Start:Stop!U17)</f>
        <v>0</v>
      </c>
      <c r="V17" s="115" t="s">
        <v>54</v>
      </c>
      <c r="W17" s="116">
        <f>SUM(Start:Stop!W17)</f>
        <v>3</v>
      </c>
      <c r="X17" s="339" t="s">
        <v>52</v>
      </c>
      <c r="Y17" s="115">
        <f>SUM(Start:Stop!Y17)</f>
        <v>8</v>
      </c>
      <c r="Z17" s="116" t="s">
        <v>53</v>
      </c>
      <c r="AA17" s="339">
        <f>SUM(Start:Stop!AA17)</f>
        <v>3</v>
      </c>
      <c r="AB17" s="115" t="s">
        <v>54</v>
      </c>
      <c r="AC17" s="329">
        <f>SUM(Start:Stop!AC17)</f>
        <v>1.5</v>
      </c>
      <c r="AD17" s="339" t="s">
        <v>52</v>
      </c>
      <c r="AE17" s="294">
        <f>SUM(Start:Stop!AE17)</f>
        <v>2</v>
      </c>
      <c r="AF17" s="226"/>
      <c r="AG17" s="243">
        <f>SUM(Start:Stop!AG17)</f>
        <v>9</v>
      </c>
      <c r="AH17" s="244" t="s">
        <v>52</v>
      </c>
      <c r="AI17" s="245">
        <f>SUM(Start:Stop!AI17)</f>
        <v>19</v>
      </c>
      <c r="AJ17" s="246" t="s">
        <v>53</v>
      </c>
      <c r="AK17" s="244">
        <f>SUM(Start:Stop!AK17)</f>
        <v>4</v>
      </c>
      <c r="AL17" s="245" t="s">
        <v>54</v>
      </c>
      <c r="AM17" s="246">
        <f>SUM(Start:Stop!AM17)</f>
        <v>6</v>
      </c>
      <c r="AN17" s="244" t="s">
        <v>52</v>
      </c>
      <c r="AO17" s="245">
        <f>SUM(Start:Stop!AO17)</f>
        <v>10</v>
      </c>
      <c r="AP17" s="246" t="s">
        <v>53</v>
      </c>
      <c r="AQ17" s="244">
        <f>SUM(Start:Stop!AQ17)</f>
        <v>1</v>
      </c>
      <c r="AR17" s="245" t="s">
        <v>54</v>
      </c>
      <c r="AS17" s="246">
        <f>SUM(Start:Stop!AS17)</f>
        <v>0</v>
      </c>
      <c r="AT17" s="244" t="s">
        <v>52</v>
      </c>
      <c r="AU17" s="245">
        <f>SUM(Start:Stop!AU17)</f>
        <v>3</v>
      </c>
      <c r="AV17" s="246" t="s">
        <v>53</v>
      </c>
      <c r="AW17" s="244">
        <f>SUM(Start:Stop!AW17)</f>
        <v>0</v>
      </c>
      <c r="AX17" s="245" t="s">
        <v>54</v>
      </c>
      <c r="AY17" s="246">
        <f>SUM(Start:Stop!AY17)</f>
        <v>3</v>
      </c>
      <c r="AZ17" s="244" t="s">
        <v>52</v>
      </c>
      <c r="BA17" s="245">
        <f>SUM(Start:Stop!BA17)</f>
        <v>6</v>
      </c>
      <c r="BB17" s="246" t="s">
        <v>53</v>
      </c>
      <c r="BC17" s="244">
        <f>SUM(Start:Stop!BC17)</f>
        <v>3</v>
      </c>
      <c r="BD17" s="245" t="s">
        <v>54</v>
      </c>
      <c r="BE17" s="246">
        <f>SUM(Start:Stop!BE17)</f>
        <v>0</v>
      </c>
      <c r="BF17" s="244" t="s">
        <v>52</v>
      </c>
      <c r="BG17" s="247">
        <f>SUM(Start:Stop!BG17)</f>
        <v>0</v>
      </c>
      <c r="BH17" s="115"/>
      <c r="BI17" s="243">
        <f>SUM(Start:Stop!BI17)</f>
        <v>0</v>
      </c>
      <c r="BJ17" s="244" t="s">
        <v>52</v>
      </c>
      <c r="BK17" s="245">
        <f>SUM(Start:Stop!BK17)</f>
        <v>3</v>
      </c>
      <c r="BL17" s="246" t="s">
        <v>53</v>
      </c>
      <c r="BM17" s="244">
        <f>SUM(Start:Stop!BM17)</f>
        <v>0</v>
      </c>
      <c r="BN17" s="245" t="s">
        <v>54</v>
      </c>
      <c r="BO17" s="246">
        <f>SUM(Start:Stop!BO17)</f>
        <v>0</v>
      </c>
      <c r="BP17" s="244" t="s">
        <v>52</v>
      </c>
      <c r="BQ17" s="245">
        <f>SUM(Start:Stop!BQ17)</f>
        <v>0</v>
      </c>
      <c r="BR17" s="246" t="s">
        <v>53</v>
      </c>
      <c r="BS17" s="244">
        <f>SUM(Start:Stop!BS17)</f>
        <v>0</v>
      </c>
      <c r="BT17" s="245" t="s">
        <v>54</v>
      </c>
      <c r="BU17" s="246">
        <f>SUM(Start:Stop!BU17)</f>
        <v>0</v>
      </c>
      <c r="BV17" s="244" t="s">
        <v>52</v>
      </c>
      <c r="BW17" s="245">
        <f>SUM(Start:Stop!BW17)</f>
        <v>1</v>
      </c>
      <c r="BX17" s="246" t="s">
        <v>53</v>
      </c>
      <c r="BY17" s="244">
        <f>SUM(Start:Stop!BY17)</f>
        <v>0</v>
      </c>
      <c r="BZ17" s="245" t="s">
        <v>54</v>
      </c>
      <c r="CA17" s="246">
        <f>SUM(Start:Stop!CA17)</f>
        <v>0</v>
      </c>
      <c r="CB17" s="244" t="s">
        <v>52</v>
      </c>
      <c r="CC17" s="245">
        <f>SUM(Start:Stop!CC17)</f>
        <v>2</v>
      </c>
      <c r="CD17" s="246" t="s">
        <v>53</v>
      </c>
      <c r="CE17" s="244">
        <f>SUM(Start:Stop!CE17)</f>
        <v>0</v>
      </c>
      <c r="CF17" s="245" t="s">
        <v>54</v>
      </c>
      <c r="CG17" s="246">
        <f>SUM(Start:Stop!CG17)</f>
        <v>0</v>
      </c>
      <c r="CH17" s="244" t="s">
        <v>52</v>
      </c>
      <c r="CI17" s="247">
        <f>SUM(Start:Stop!CI17)</f>
        <v>0</v>
      </c>
      <c r="CJ17" s="140">
        <f>SUM(Start:Stop!CJ17)</f>
        <v>1</v>
      </c>
      <c r="CK17" s="148">
        <f>SUM(Start:Stop!CK17)</f>
        <v>19</v>
      </c>
      <c r="CL17" s="148">
        <f>SUM(Start:Stop!CL17)</f>
        <v>7</v>
      </c>
      <c r="CM17" s="148">
        <f>SUM(Start:Stop!CM17)</f>
        <v>12</v>
      </c>
      <c r="CN17" s="148">
        <f>SUM(Start:Stop!CN17)</f>
        <v>20</v>
      </c>
      <c r="CO17" s="175">
        <f>SUM(Start:Stop!CO17)</f>
        <v>2</v>
      </c>
      <c r="CP17" s="140">
        <f>SUM(Start:Stop!CP17)</f>
        <v>7</v>
      </c>
      <c r="CQ17" s="140">
        <f>SUM(Start:Stop!CQ17)</f>
        <v>4</v>
      </c>
      <c r="CR17" s="148">
        <f>SUM(Start:Stop!CR17)</f>
        <v>2</v>
      </c>
      <c r="CS17" s="148">
        <f>SUM(Start:Stop!CS17)</f>
        <v>3</v>
      </c>
      <c r="CT17" s="140">
        <f>SUM(Start:Stop!CT17)</f>
        <v>2</v>
      </c>
      <c r="CU17" s="140">
        <f>SUM(Start:Stop!CU17)</f>
        <v>1</v>
      </c>
      <c r="CV17" s="148">
        <f>SUM(Start:Stop!CV17)</f>
        <v>22.5</v>
      </c>
      <c r="CW17" s="140"/>
      <c r="CX17" s="164">
        <f t="shared" si="34"/>
        <v>95.274116261890484</v>
      </c>
      <c r="CY17" s="147">
        <f t="shared" si="35"/>
        <v>0.41071595441346259</v>
      </c>
      <c r="CZ17" s="165">
        <f t="shared" si="36"/>
        <v>0.16081262272376204</v>
      </c>
      <c r="DA17" s="164">
        <f t="shared" si="37"/>
        <v>109.49307024139179</v>
      </c>
      <c r="DB17" s="148">
        <f t="shared" si="38"/>
        <v>-14.218953979501308</v>
      </c>
      <c r="DC17" s="147">
        <f t="shared" si="39"/>
        <v>0.40487044145873324</v>
      </c>
      <c r="DD17" s="77">
        <f t="shared" si="82"/>
        <v>0.78079484465592019</v>
      </c>
      <c r="DE17" s="37">
        <f t="shared" si="40"/>
        <v>0.40909090909090912</v>
      </c>
      <c r="DF17" s="37">
        <f t="shared" si="41"/>
        <v>0.375</v>
      </c>
      <c r="DG17" s="536">
        <f t="shared" si="42"/>
        <v>0.47727272727272729</v>
      </c>
      <c r="DH17" s="64">
        <f t="shared" si="83"/>
        <v>1.5811681002819836E-2</v>
      </c>
      <c r="DI17" s="64">
        <f t="shared" si="84"/>
        <v>0.26450192460151883</v>
      </c>
      <c r="DJ17" s="64">
        <f t="shared" si="85"/>
        <v>2.0011658769193856E-2</v>
      </c>
      <c r="DK17" s="64">
        <f t="shared" si="43"/>
        <v>2.2481209823890933E-2</v>
      </c>
      <c r="DL17" s="64">
        <f t="shared" si="86"/>
        <v>4.3415124109437521E-2</v>
      </c>
      <c r="DM17" s="64">
        <f t="shared" si="44"/>
        <v>6.7443629471672803E-2</v>
      </c>
      <c r="DN17" s="64">
        <f t="shared" si="87"/>
        <v>9.3198363176205487E-2</v>
      </c>
      <c r="DO17" s="37">
        <f t="shared" si="45"/>
        <v>1</v>
      </c>
      <c r="DP17" s="66">
        <f t="shared" si="46"/>
        <v>2.8790786948176583</v>
      </c>
      <c r="DQ17" s="78">
        <f t="shared" si="47"/>
        <v>1.4395393474088292</v>
      </c>
      <c r="DR17" s="6"/>
      <c r="DS17" s="36"/>
      <c r="DT17" s="533">
        <f t="shared" si="88"/>
        <v>16.043324136276397</v>
      </c>
      <c r="DU17" s="18">
        <f t="shared" si="48"/>
        <v>8.8138018826992166</v>
      </c>
      <c r="DV17" s="13">
        <f t="shared" si="49"/>
        <v>7.6924855548375177</v>
      </c>
      <c r="DW17" s="14">
        <f t="shared" si="50"/>
        <v>0.60878979457300764</v>
      </c>
      <c r="DX17" s="14">
        <f t="shared" si="51"/>
        <v>0.58000000000000007</v>
      </c>
      <c r="DY17" s="14">
        <f t="shared" si="52"/>
        <v>0.75</v>
      </c>
      <c r="DZ17" s="15">
        <f t="shared" si="89"/>
        <v>76.563434782608695</v>
      </c>
      <c r="EA17" s="14">
        <f t="shared" si="53"/>
        <v>0.75854006860830536</v>
      </c>
      <c r="EB17" s="14">
        <f t="shared" si="54"/>
        <v>0.1728395061728395</v>
      </c>
      <c r="EC17" s="14">
        <f t="shared" si="55"/>
        <v>0.39629107030335764</v>
      </c>
      <c r="ED17" s="14">
        <f t="shared" si="56"/>
        <v>0.30060265565676769</v>
      </c>
      <c r="EE17" s="19">
        <f t="shared" si="57"/>
        <v>10.595802469135803</v>
      </c>
      <c r="EF17" s="67">
        <f t="shared" si="58"/>
        <v>0.05</v>
      </c>
      <c r="EG17" s="74">
        <f t="shared" si="59"/>
        <v>21.459604351835022</v>
      </c>
      <c r="EH17" s="27">
        <f t="shared" si="91"/>
        <v>20.445448399509008</v>
      </c>
      <c r="EI17" s="25">
        <f t="shared" si="98"/>
        <v>17.949132961287539</v>
      </c>
      <c r="EJ17" s="25">
        <f t="shared" si="60"/>
        <v>1.4254237288135596</v>
      </c>
      <c r="EK17" s="26">
        <f t="shared" si="61"/>
        <v>0.71829661258741984</v>
      </c>
      <c r="EL17" s="29">
        <f t="shared" si="62"/>
        <v>0.7515856236786469</v>
      </c>
      <c r="EM17" s="30">
        <f t="shared" si="63"/>
        <v>0.21739130434782608</v>
      </c>
      <c r="EN17" s="30">
        <f t="shared" si="64"/>
        <v>0.45664739884393063</v>
      </c>
      <c r="EO17" s="31">
        <f t="shared" si="65"/>
        <v>8.2966334221895401</v>
      </c>
      <c r="EP17" s="31">
        <f t="shared" si="66"/>
        <v>10.762068895904935</v>
      </c>
      <c r="EQ17" s="31">
        <f t="shared" si="67"/>
        <v>19.058702318094475</v>
      </c>
      <c r="ER17" s="93">
        <f t="shared" si="68"/>
        <v>0.71410447630693064</v>
      </c>
      <c r="ES17" s="109">
        <f t="shared" si="69"/>
        <v>120.00546437860787</v>
      </c>
      <c r="ET17" s="32">
        <f t="shared" si="70"/>
        <v>2.3590258714555183</v>
      </c>
      <c r="EV17" s="275"/>
      <c r="EW17" s="276"/>
      <c r="EX17" s="37">
        <f t="shared" si="90"/>
        <v>1.5</v>
      </c>
      <c r="EY17" s="72">
        <f t="shared" si="71"/>
        <v>2</v>
      </c>
      <c r="EZ17" s="7">
        <v>0.75</v>
      </c>
      <c r="FB17" s="57"/>
      <c r="FC17" s="139"/>
      <c r="FD17" s="60" t="s">
        <v>82</v>
      </c>
      <c r="FE17" s="41" t="s">
        <v>245</v>
      </c>
      <c r="FF17" s="164">
        <f t="shared" si="15"/>
        <v>55.573333333333331</v>
      </c>
      <c r="FG17" s="144">
        <f t="shared" si="16"/>
        <v>9</v>
      </c>
      <c r="FH17" s="265" t="s">
        <v>52</v>
      </c>
      <c r="FI17" s="145">
        <f t="shared" si="72"/>
        <v>22</v>
      </c>
      <c r="FJ17" s="194">
        <f t="shared" si="73"/>
        <v>0.40909090909090912</v>
      </c>
      <c r="FK17" s="110">
        <f t="shared" si="17"/>
        <v>3</v>
      </c>
      <c r="FL17" s="265" t="s">
        <v>52</v>
      </c>
      <c r="FM17" s="168">
        <f t="shared" si="18"/>
        <v>8</v>
      </c>
      <c r="FN17" s="194">
        <f t="shared" si="19"/>
        <v>0.375</v>
      </c>
      <c r="FO17" s="262">
        <f t="shared" si="74"/>
        <v>0</v>
      </c>
      <c r="FP17" s="419" t="s">
        <v>52</v>
      </c>
      <c r="FQ17" s="274">
        <f t="shared" si="75"/>
        <v>0</v>
      </c>
      <c r="FR17" s="197" t="str">
        <f t="shared" si="76"/>
        <v>0</v>
      </c>
      <c r="FS17" s="140">
        <f t="shared" si="20"/>
        <v>1</v>
      </c>
      <c r="FT17" s="140">
        <f t="shared" si="21"/>
        <v>19</v>
      </c>
      <c r="FU17" s="140">
        <f t="shared" si="22"/>
        <v>20</v>
      </c>
      <c r="FV17" s="175">
        <f t="shared" si="22"/>
        <v>2</v>
      </c>
      <c r="FW17" s="140">
        <f t="shared" si="22"/>
        <v>7</v>
      </c>
      <c r="FX17" s="140">
        <f t="shared" si="22"/>
        <v>4</v>
      </c>
      <c r="FY17" s="140">
        <f t="shared" si="22"/>
        <v>2</v>
      </c>
      <c r="FZ17" s="140">
        <f t="shared" si="22"/>
        <v>3</v>
      </c>
      <c r="GA17" s="140">
        <f t="shared" si="22"/>
        <v>2</v>
      </c>
      <c r="GB17" s="140">
        <f t="shared" si="22"/>
        <v>1</v>
      </c>
      <c r="GC17" s="192">
        <f t="shared" si="77"/>
        <v>21</v>
      </c>
      <c r="GD17" s="201">
        <f t="shared" si="78"/>
        <v>95.274116261890484</v>
      </c>
      <c r="GE17" s="147">
        <f t="shared" si="78"/>
        <v>0.41071595441346259</v>
      </c>
      <c r="GF17" s="147">
        <f t="shared" si="78"/>
        <v>0.16081262272376204</v>
      </c>
      <c r="GG17" s="259">
        <f t="shared" si="78"/>
        <v>109.49307024139179</v>
      </c>
      <c r="GH17" s="191">
        <f t="shared" si="79"/>
        <v>-14.218953979501308</v>
      </c>
      <c r="GI17" s="161">
        <f t="shared" si="23"/>
        <v>0.37787907869481768</v>
      </c>
      <c r="GJ17" s="82"/>
      <c r="GK17" s="24"/>
      <c r="GL17" s="366">
        <f t="shared" si="24"/>
        <v>1.2100000000000002</v>
      </c>
      <c r="GM17" s="366" t="e">
        <f>((E50/G50)*(1-(CJ50/(CJ50+#REF!))))/((E50/G50)*(1-(CJ50/(CJ50+#REF!)))+((1-(E50/G50)))*(CJ50/(CJ50+#REF!)))</f>
        <v>#REF!</v>
      </c>
      <c r="GN17" s="370" t="e">
        <f>GK17+(GL17/10)+(GJ17*GM17*(1-(CJ50/(CJ50+#REF!))))+(CK17*(1-GM17))</f>
        <v>#REF!</v>
      </c>
      <c r="GO17" s="371" t="e">
        <f>GN17/(DD17*EG50)</f>
        <v>#REF!</v>
      </c>
      <c r="GP17" s="46"/>
      <c r="GQ17" s="383"/>
      <c r="GR17" s="385"/>
      <c r="GT17" s="120"/>
      <c r="GU17" s="147"/>
      <c r="GV17" s="190"/>
      <c r="GW17" s="147"/>
      <c r="GX17" s="190"/>
      <c r="GY17" s="139"/>
      <c r="GZ17" s="139"/>
      <c r="HA17" s="190"/>
      <c r="HB17" s="139"/>
      <c r="HC17" s="139"/>
      <c r="HD17" s="139"/>
      <c r="HE17" s="140"/>
      <c r="HF17" s="140"/>
      <c r="HG17" s="41" t="s">
        <v>178</v>
      </c>
      <c r="HH17" s="28">
        <f t="shared" ref="HH17" si="99">(K17*2)/M17</f>
        <v>1.2</v>
      </c>
      <c r="HI17" s="28">
        <f t="shared" ref="HI17" si="100">(Q17*2)/S17</f>
        <v>0</v>
      </c>
      <c r="HJ17" s="28">
        <f t="shared" ref="HJ17" si="101">(W17*3)/Y17</f>
        <v>1.125</v>
      </c>
      <c r="HK17" s="33"/>
      <c r="HM17" s="90">
        <f t="shared" si="96"/>
        <v>11.490960385322426</v>
      </c>
      <c r="HQ17" s="6">
        <f>(FV17+FZ17)/GA17</f>
        <v>2.5</v>
      </c>
      <c r="HR17" s="6">
        <f>(CO17+CP17)/CT17</f>
        <v>4.5</v>
      </c>
      <c r="HS17" s="41"/>
      <c r="HT17" s="41"/>
      <c r="HU17" s="397"/>
      <c r="HV17" s="395"/>
      <c r="HW17" s="66"/>
      <c r="HX17" s="24"/>
      <c r="HY17" s="24"/>
      <c r="HZ17" s="24"/>
      <c r="IA17" s="24"/>
      <c r="IC17" s="6"/>
      <c r="IE17" s="41"/>
      <c r="IF17" s="6"/>
      <c r="IJ17" s="24"/>
      <c r="IO17" s="24"/>
      <c r="IP17" s="24"/>
      <c r="IQ17" s="41" t="s">
        <v>150</v>
      </c>
      <c r="IR17" s="64" t="e">
        <f>#REF!</f>
        <v>#REF!</v>
      </c>
      <c r="IS17" s="66" t="e">
        <f>#REF!</f>
        <v>#REF!</v>
      </c>
      <c r="IV17" s="41"/>
      <c r="IW17" s="64"/>
    </row>
    <row r="18" spans="1:257" x14ac:dyDescent="0.2">
      <c r="A18" s="139"/>
      <c r="B18" s="89" t="s">
        <v>82</v>
      </c>
      <c r="C18" s="41" t="s">
        <v>218</v>
      </c>
      <c r="D18" s="308">
        <f>SUM(Start:Stop!D18)</f>
        <v>58.406666666666666</v>
      </c>
      <c r="E18" s="114">
        <f>SUM(Start:Stop!E18)</f>
        <v>13</v>
      </c>
      <c r="F18" s="339" t="s">
        <v>52</v>
      </c>
      <c r="G18" s="115">
        <f>SUM(Start:Stop!G18)</f>
        <v>26</v>
      </c>
      <c r="H18" s="116" t="s">
        <v>53</v>
      </c>
      <c r="I18" s="339">
        <f>SUM(Start:Stop!I18)</f>
        <v>8</v>
      </c>
      <c r="J18" s="115" t="s">
        <v>54</v>
      </c>
      <c r="K18" s="116">
        <f>SUM(Start:Stop!K18)</f>
        <v>5</v>
      </c>
      <c r="L18" s="339" t="s">
        <v>52</v>
      </c>
      <c r="M18" s="115">
        <f>SUM(Start:Stop!M18)</f>
        <v>9</v>
      </c>
      <c r="N18" s="116" t="s">
        <v>53</v>
      </c>
      <c r="O18" s="339">
        <f>SUM(Start:Stop!O18)</f>
        <v>2</v>
      </c>
      <c r="P18" s="115" t="s">
        <v>54</v>
      </c>
      <c r="Q18" s="116">
        <f>SUM(Start:Stop!Q18)</f>
        <v>1</v>
      </c>
      <c r="R18" s="339" t="s">
        <v>52</v>
      </c>
      <c r="S18" s="115">
        <f>SUM(Start:Stop!S18)</f>
        <v>3</v>
      </c>
      <c r="T18" s="116" t="s">
        <v>53</v>
      </c>
      <c r="U18" s="339">
        <f>SUM(Start:Stop!U18)</f>
        <v>0</v>
      </c>
      <c r="V18" s="115" t="s">
        <v>54</v>
      </c>
      <c r="W18" s="116">
        <f>SUM(Start:Stop!W18)</f>
        <v>7</v>
      </c>
      <c r="X18" s="339" t="s">
        <v>52</v>
      </c>
      <c r="Y18" s="115">
        <f>SUM(Start:Stop!Y18)</f>
        <v>14</v>
      </c>
      <c r="Z18" s="116" t="s">
        <v>53</v>
      </c>
      <c r="AA18" s="339">
        <f>SUM(Start:Stop!AA18)</f>
        <v>6</v>
      </c>
      <c r="AB18" s="115" t="s">
        <v>54</v>
      </c>
      <c r="AC18" s="329">
        <f>SUM(Start:Stop!AC18)</f>
        <v>1.5</v>
      </c>
      <c r="AD18" s="339" t="s">
        <v>52</v>
      </c>
      <c r="AE18" s="294">
        <f>SUM(Start:Stop!AE18)</f>
        <v>2</v>
      </c>
      <c r="AF18" s="226"/>
      <c r="AG18" s="243">
        <f>SUM(Start:Stop!AG18)</f>
        <v>7</v>
      </c>
      <c r="AH18" s="244" t="s">
        <v>52</v>
      </c>
      <c r="AI18" s="245">
        <f>SUM(Start:Stop!AI18)</f>
        <v>19</v>
      </c>
      <c r="AJ18" s="246" t="s">
        <v>53</v>
      </c>
      <c r="AK18" s="244">
        <f>SUM(Start:Stop!AK18)</f>
        <v>3</v>
      </c>
      <c r="AL18" s="245" t="s">
        <v>54</v>
      </c>
      <c r="AM18" s="246">
        <f>SUM(Start:Stop!AM18)</f>
        <v>4</v>
      </c>
      <c r="AN18" s="244" t="s">
        <v>52</v>
      </c>
      <c r="AO18" s="245">
        <f>SUM(Start:Stop!AO18)</f>
        <v>8</v>
      </c>
      <c r="AP18" s="246" t="s">
        <v>53</v>
      </c>
      <c r="AQ18" s="244">
        <f>SUM(Start:Stop!AQ18)</f>
        <v>1</v>
      </c>
      <c r="AR18" s="245" t="s">
        <v>54</v>
      </c>
      <c r="AS18" s="246">
        <f>SUM(Start:Stop!AS18)</f>
        <v>1</v>
      </c>
      <c r="AT18" s="244" t="s">
        <v>52</v>
      </c>
      <c r="AU18" s="245">
        <f>SUM(Start:Stop!AU18)</f>
        <v>3</v>
      </c>
      <c r="AV18" s="246" t="s">
        <v>53</v>
      </c>
      <c r="AW18" s="244">
        <f>SUM(Start:Stop!AW18)</f>
        <v>0</v>
      </c>
      <c r="AX18" s="245" t="s">
        <v>54</v>
      </c>
      <c r="AY18" s="246">
        <f>SUM(Start:Stop!AY18)</f>
        <v>2</v>
      </c>
      <c r="AZ18" s="244" t="s">
        <v>52</v>
      </c>
      <c r="BA18" s="245">
        <f>SUM(Start:Stop!BA18)</f>
        <v>8</v>
      </c>
      <c r="BB18" s="246" t="s">
        <v>53</v>
      </c>
      <c r="BC18" s="244">
        <f>SUM(Start:Stop!BC18)</f>
        <v>2</v>
      </c>
      <c r="BD18" s="245" t="s">
        <v>54</v>
      </c>
      <c r="BE18" s="246">
        <f>SUM(Start:Stop!BE18)</f>
        <v>0</v>
      </c>
      <c r="BF18" s="244" t="s">
        <v>52</v>
      </c>
      <c r="BG18" s="247">
        <f>SUM(Start:Stop!BG18)</f>
        <v>0</v>
      </c>
      <c r="BH18" s="115"/>
      <c r="BI18" s="243">
        <f>SUM(Start:Stop!BI18)</f>
        <v>6</v>
      </c>
      <c r="BJ18" s="244" t="s">
        <v>52</v>
      </c>
      <c r="BK18" s="245">
        <f>SUM(Start:Stop!BK18)</f>
        <v>7</v>
      </c>
      <c r="BL18" s="246" t="s">
        <v>53</v>
      </c>
      <c r="BM18" s="244">
        <f>SUM(Start:Stop!BM18)</f>
        <v>5</v>
      </c>
      <c r="BN18" s="245" t="s">
        <v>54</v>
      </c>
      <c r="BO18" s="246">
        <f>SUM(Start:Stop!BO18)</f>
        <v>1</v>
      </c>
      <c r="BP18" s="244" t="s">
        <v>52</v>
      </c>
      <c r="BQ18" s="245">
        <f>SUM(Start:Stop!BQ18)</f>
        <v>1</v>
      </c>
      <c r="BR18" s="246" t="s">
        <v>53</v>
      </c>
      <c r="BS18" s="244">
        <f>SUM(Start:Stop!BS18)</f>
        <v>1</v>
      </c>
      <c r="BT18" s="245" t="s">
        <v>54</v>
      </c>
      <c r="BU18" s="246">
        <f>SUM(Start:Stop!BU18)</f>
        <v>0</v>
      </c>
      <c r="BV18" s="244" t="s">
        <v>52</v>
      </c>
      <c r="BW18" s="245">
        <f>SUM(Start:Stop!BW18)</f>
        <v>0</v>
      </c>
      <c r="BX18" s="246" t="s">
        <v>53</v>
      </c>
      <c r="BY18" s="244">
        <f>SUM(Start:Stop!BY18)</f>
        <v>0</v>
      </c>
      <c r="BZ18" s="245" t="s">
        <v>54</v>
      </c>
      <c r="CA18" s="246">
        <f>SUM(Start:Stop!CA18)</f>
        <v>5</v>
      </c>
      <c r="CB18" s="244" t="s">
        <v>52</v>
      </c>
      <c r="CC18" s="245">
        <f>SUM(Start:Stop!CC18)</f>
        <v>6</v>
      </c>
      <c r="CD18" s="246" t="s">
        <v>53</v>
      </c>
      <c r="CE18" s="244">
        <f>SUM(Start:Stop!CE18)</f>
        <v>4</v>
      </c>
      <c r="CF18" s="245" t="s">
        <v>54</v>
      </c>
      <c r="CG18" s="246">
        <f>SUM(Start:Stop!CG18)</f>
        <v>0</v>
      </c>
      <c r="CH18" s="244" t="s">
        <v>52</v>
      </c>
      <c r="CI18" s="247">
        <f>SUM(Start:Stop!CI18)</f>
        <v>0</v>
      </c>
      <c r="CJ18" s="140">
        <f>SUM(Start:Stop!CJ18)</f>
        <v>0</v>
      </c>
      <c r="CK18" s="148">
        <f>SUM(Start:Stop!CK18)</f>
        <v>7</v>
      </c>
      <c r="CL18" s="148">
        <f>SUM(Start:Stop!CL18)</f>
        <v>2</v>
      </c>
      <c r="CM18" s="148">
        <f>SUM(Start:Stop!CM18)</f>
        <v>5</v>
      </c>
      <c r="CN18" s="148">
        <f>SUM(Start:Stop!CN18)</f>
        <v>7</v>
      </c>
      <c r="CO18" s="175">
        <f>SUM(Start:Stop!CO18)</f>
        <v>8</v>
      </c>
      <c r="CP18" s="140">
        <f>SUM(Start:Stop!CP18)</f>
        <v>6</v>
      </c>
      <c r="CQ18" s="140">
        <f>SUM(Start:Stop!CQ18)</f>
        <v>3</v>
      </c>
      <c r="CR18" s="148">
        <f>SUM(Start:Stop!CR18)</f>
        <v>2</v>
      </c>
      <c r="CS18" s="148">
        <f>SUM(Start:Stop!CS18)</f>
        <v>1</v>
      </c>
      <c r="CT18" s="140">
        <f>SUM(Start:Stop!CT18)</f>
        <v>2</v>
      </c>
      <c r="CU18" s="140">
        <f>SUM(Start:Stop!CU18)</f>
        <v>0</v>
      </c>
      <c r="CV18" s="148">
        <f>SUM(Start:Stop!CV18)</f>
        <v>34.5</v>
      </c>
      <c r="CW18" s="140"/>
      <c r="CX18" s="164">
        <f t="shared" si="34"/>
        <v>127.86288199643765</v>
      </c>
      <c r="CY18" s="147">
        <f t="shared" si="35"/>
        <v>0.51565602491111773</v>
      </c>
      <c r="CZ18" s="165">
        <f t="shared" si="36"/>
        <v>0.1597710235470734</v>
      </c>
      <c r="DA18" s="164">
        <f t="shared" si="37"/>
        <v>107.68166367433537</v>
      </c>
      <c r="DB18" s="148">
        <f t="shared" si="38"/>
        <v>20.181218322102282</v>
      </c>
      <c r="DC18" s="147">
        <f t="shared" si="39"/>
        <v>0.59068599474945782</v>
      </c>
      <c r="DD18" s="77">
        <f t="shared" si="82"/>
        <v>0.82060264323782595</v>
      </c>
      <c r="DE18" s="37">
        <f t="shared" si="40"/>
        <v>0.5</v>
      </c>
      <c r="DF18" s="37">
        <f t="shared" si="41"/>
        <v>0.5</v>
      </c>
      <c r="DG18" s="536">
        <f t="shared" si="42"/>
        <v>0.63461538461538458</v>
      </c>
      <c r="DH18" s="64">
        <f t="shared" si="83"/>
        <v>0</v>
      </c>
      <c r="DI18" s="64">
        <f t="shared" si="84"/>
        <v>9.4781290821697145E-2</v>
      </c>
      <c r="DJ18" s="64">
        <f t="shared" si="85"/>
        <v>0</v>
      </c>
      <c r="DK18" s="64">
        <f t="shared" si="43"/>
        <v>6.5216203418263941E-3</v>
      </c>
      <c r="DL18" s="64">
        <f t="shared" si="86"/>
        <v>0.14550645925718966</v>
      </c>
      <c r="DM18" s="64">
        <f t="shared" si="44"/>
        <v>9.1302684785569521E-2</v>
      </c>
      <c r="DN18" s="64">
        <f t="shared" si="87"/>
        <v>8.1637085336752901E-2</v>
      </c>
      <c r="DO18" s="37">
        <f t="shared" si="45"/>
        <v>4</v>
      </c>
      <c r="DP18" s="66">
        <f t="shared" si="46"/>
        <v>2.0545599817372446</v>
      </c>
      <c r="DQ18" s="78">
        <f t="shared" si="47"/>
        <v>1.3697066544914964</v>
      </c>
      <c r="DR18" s="6"/>
      <c r="DS18" s="36"/>
      <c r="DT18" s="533">
        <f>IFERROR(((E18*85.91)+(CS18*53.897)+(W18*51.757)+(EX18*46.845)+(CU18*39.19)+(CJ18*39.19)+(CO18*34.677)+(CK18*14.707)-(CQ18*17.174)-((EY18-EX18)*20.091)-((G18-E18)*39.19)-(CT18*53.897))*(1/D18),"0")</f>
        <v>22.340377810752194</v>
      </c>
      <c r="DU18" s="18">
        <f t="shared" si="48"/>
        <v>12.632886702998695</v>
      </c>
      <c r="DV18" s="13">
        <f t="shared" si="49"/>
        <v>10.509820148195667</v>
      </c>
      <c r="DW18" s="14">
        <f t="shared" si="50"/>
        <v>0.60367996407377778</v>
      </c>
      <c r="DX18" s="14">
        <f t="shared" si="51"/>
        <v>2.2446043165467624</v>
      </c>
      <c r="DY18" s="14">
        <f t="shared" si="52"/>
        <v>0.75</v>
      </c>
      <c r="DZ18" s="15">
        <f t="shared" si="89"/>
        <v>85.989937499999996</v>
      </c>
      <c r="EA18" s="14">
        <f t="shared" si="53"/>
        <v>0.69617375482928023</v>
      </c>
      <c r="EB18" s="14">
        <f t="shared" si="54"/>
        <v>0.2289156626506024</v>
      </c>
      <c r="EC18" s="14">
        <f t="shared" si="55"/>
        <v>0.40484904661016946</v>
      </c>
      <c r="ED18" s="14">
        <f t="shared" si="56"/>
        <v>0</v>
      </c>
      <c r="EE18" s="19">
        <f t="shared" si="57"/>
        <v>9.8157831325301199</v>
      </c>
      <c r="EF18" s="67">
        <f t="shared" si="58"/>
        <v>0.05</v>
      </c>
      <c r="EG18" s="74">
        <f>SUM(CT18+DU18+EE18+EF18)</f>
        <v>24.498669835528815</v>
      </c>
      <c r="EH18" s="27">
        <f t="shared" si="91"/>
        <v>31.324705302499073</v>
      </c>
      <c r="EI18" s="25">
        <f t="shared" si="98"/>
        <v>26.678774222342845</v>
      </c>
      <c r="EJ18" s="25">
        <f t="shared" si="60"/>
        <v>5.2262428862879844</v>
      </c>
      <c r="EK18" s="26">
        <f t="shared" si="61"/>
        <v>0</v>
      </c>
      <c r="EL18" s="29">
        <f t="shared" si="62"/>
        <v>0.79196217494089838</v>
      </c>
      <c r="EM18" s="30">
        <f t="shared" si="63"/>
        <v>0.16666666666666666</v>
      </c>
      <c r="EN18" s="30">
        <f t="shared" si="64"/>
        <v>0.43225806451612903</v>
      </c>
      <c r="EO18" s="31">
        <f t="shared" si="65"/>
        <v>2.4562647754137115</v>
      </c>
      <c r="EP18" s="31">
        <f t="shared" si="66"/>
        <v>10.690441878018907</v>
      </c>
      <c r="EQ18" s="31">
        <f t="shared" si="67"/>
        <v>13.146706653432618</v>
      </c>
      <c r="ER18" s="93">
        <f t="shared" si="68"/>
        <v>0.42868914769525296</v>
      </c>
      <c r="ES18" s="109">
        <f t="shared" si="69"/>
        <v>100.12953784492804</v>
      </c>
      <c r="ET18" s="32">
        <f>IFERROR(CV54/(E54+(1-(1-(EX54/EY54))^2)*EY54*0.4),"0")</f>
        <v>2.4135751392730711</v>
      </c>
      <c r="EV18" s="275"/>
      <c r="EW18" s="276"/>
      <c r="EX18" s="37">
        <f t="shared" si="90"/>
        <v>1.5</v>
      </c>
      <c r="EY18" s="72">
        <f t="shared" si="71"/>
        <v>2</v>
      </c>
      <c r="EZ18" s="7">
        <v>0.75</v>
      </c>
      <c r="FB18" s="57"/>
      <c r="FC18" s="178"/>
      <c r="FD18" s="216" t="s">
        <v>82</v>
      </c>
      <c r="FE18" s="180" t="s">
        <v>246</v>
      </c>
      <c r="FF18" s="393">
        <f t="shared" si="15"/>
        <v>58.406666666666666</v>
      </c>
      <c r="FG18" s="182">
        <f t="shared" si="16"/>
        <v>13</v>
      </c>
      <c r="FH18" s="183" t="s">
        <v>52</v>
      </c>
      <c r="FI18" s="184">
        <f t="shared" si="72"/>
        <v>26</v>
      </c>
      <c r="FJ18" s="193">
        <f t="shared" si="73"/>
        <v>0.5</v>
      </c>
      <c r="FK18" s="185">
        <f t="shared" si="17"/>
        <v>7</v>
      </c>
      <c r="FL18" s="183" t="s">
        <v>52</v>
      </c>
      <c r="FM18" s="186">
        <f t="shared" si="18"/>
        <v>14</v>
      </c>
      <c r="FN18" s="193">
        <f t="shared" si="19"/>
        <v>0.5</v>
      </c>
      <c r="FO18" s="261">
        <f t="shared" si="74"/>
        <v>0</v>
      </c>
      <c r="FP18" s="183" t="s">
        <v>52</v>
      </c>
      <c r="FQ18" s="268">
        <f t="shared" si="75"/>
        <v>0</v>
      </c>
      <c r="FR18" s="196" t="str">
        <f t="shared" si="76"/>
        <v>0</v>
      </c>
      <c r="FS18" s="179">
        <f t="shared" si="20"/>
        <v>0</v>
      </c>
      <c r="FT18" s="179">
        <f t="shared" si="21"/>
        <v>7</v>
      </c>
      <c r="FU18" s="179">
        <f t="shared" si="22"/>
        <v>7</v>
      </c>
      <c r="FV18" s="187">
        <f t="shared" si="22"/>
        <v>8</v>
      </c>
      <c r="FW18" s="179">
        <f t="shared" si="22"/>
        <v>6</v>
      </c>
      <c r="FX18" s="179">
        <f t="shared" si="22"/>
        <v>3</v>
      </c>
      <c r="FY18" s="179">
        <f t="shared" si="22"/>
        <v>2</v>
      </c>
      <c r="FZ18" s="179">
        <f t="shared" si="22"/>
        <v>1</v>
      </c>
      <c r="GA18" s="179">
        <f t="shared" si="22"/>
        <v>2</v>
      </c>
      <c r="GB18" s="179">
        <f t="shared" si="22"/>
        <v>0</v>
      </c>
      <c r="GC18" s="191">
        <f t="shared" si="77"/>
        <v>33</v>
      </c>
      <c r="GD18" s="200">
        <f t="shared" si="78"/>
        <v>127.86288199643765</v>
      </c>
      <c r="GE18" s="181">
        <f t="shared" si="78"/>
        <v>0.51565602491111773</v>
      </c>
      <c r="GF18" s="181">
        <f t="shared" si="78"/>
        <v>0.1597710235470734</v>
      </c>
      <c r="GG18" s="258">
        <f t="shared" si="78"/>
        <v>107.68166367433537</v>
      </c>
      <c r="GH18" s="191">
        <f t="shared" si="79"/>
        <v>20.181218322102282</v>
      </c>
      <c r="GI18" s="297">
        <f t="shared" si="23"/>
        <v>0.56500399497774223</v>
      </c>
      <c r="GJ18" s="82"/>
      <c r="GK18" s="24"/>
      <c r="GL18" s="366">
        <f t="shared" si="24"/>
        <v>0.41896551724137937</v>
      </c>
      <c r="GM18" s="366">
        <f>((E52/G52)*(1-(CJ52/(CJ52+CK51))))/((E52/G52)*(1-(CJ52/(CJ52+CK51)))+((1-(E52/G52)))*(CJ52/(CJ52+CK51)))</f>
        <v>0.79439252336448596</v>
      </c>
      <c r="GN18" s="370">
        <f>GK18+(GL18/10)+(GJ18*GM18*(1-(CJ52/(CJ52+CK51))))+(CK18*(1-GM18))</f>
        <v>1.4811488881727362</v>
      </c>
      <c r="GO18" s="371">
        <f>GN18/(DD18*EG52)</f>
        <v>1.0505235049814685E-2</v>
      </c>
      <c r="GP18" s="46"/>
      <c r="GQ18" s="383">
        <f>FM18/FI18</f>
        <v>0.53846153846153844</v>
      </c>
      <c r="GR18" s="385">
        <f>FM18/FF18</f>
        <v>0.23969866453601188</v>
      </c>
      <c r="GS18" s="190"/>
      <c r="GU18" s="139"/>
      <c r="GV18" s="139"/>
      <c r="GW18" s="139"/>
      <c r="GX18" s="139"/>
      <c r="GY18" s="139"/>
      <c r="GZ18" s="139"/>
      <c r="HB18" s="139"/>
      <c r="HC18" s="139"/>
      <c r="HD18" s="139"/>
      <c r="HE18" s="140"/>
      <c r="HF18" s="140"/>
      <c r="HG18" s="41" t="s">
        <v>127</v>
      </c>
      <c r="HH18" s="28">
        <f>(K18*2)/M18</f>
        <v>1.1111111111111112</v>
      </c>
      <c r="HI18" s="28">
        <f>(Q18*2)/S18</f>
        <v>0.66666666666666663</v>
      </c>
      <c r="HJ18" s="28">
        <f>(W18*3)/Y18</f>
        <v>1.5</v>
      </c>
      <c r="HK18" s="33"/>
      <c r="HM18" s="90">
        <f t="shared" si="96"/>
        <v>15.32158764768713</v>
      </c>
      <c r="HQ18" s="6">
        <f>(FV18+FZ18)/GA18</f>
        <v>4.5</v>
      </c>
      <c r="HR18" s="6">
        <f>(CO18+CP18)/CT18</f>
        <v>7</v>
      </c>
      <c r="HS18" s="41"/>
      <c r="HT18" s="41"/>
      <c r="HW18" s="24"/>
      <c r="HX18" s="24"/>
      <c r="HY18" s="228"/>
      <c r="HZ18" s="37"/>
      <c r="IA18" s="24"/>
      <c r="IC18" s="6"/>
      <c r="IJ18" s="24"/>
      <c r="IK18" s="325" t="s">
        <v>154</v>
      </c>
      <c r="IL18" s="250">
        <v>12</v>
      </c>
      <c r="IM18" s="36">
        <v>9</v>
      </c>
      <c r="IN18" s="24"/>
      <c r="IO18" s="24"/>
      <c r="IP18" s="24"/>
      <c r="IR18" s="65"/>
      <c r="IS18" s="66"/>
      <c r="IV18" s="41"/>
      <c r="IW18" s="334"/>
    </row>
    <row r="19" spans="1:257" ht="17" thickBot="1" x14ac:dyDescent="0.25">
      <c r="A19" s="139"/>
      <c r="B19" s="430" t="s">
        <v>117</v>
      </c>
      <c r="C19" s="431" t="s">
        <v>71</v>
      </c>
      <c r="D19" s="161"/>
      <c r="E19" s="114"/>
      <c r="F19" s="339"/>
      <c r="G19" s="115"/>
      <c r="H19" s="116"/>
      <c r="I19" s="339"/>
      <c r="J19" s="115"/>
      <c r="K19" s="116"/>
      <c r="L19" s="339"/>
      <c r="M19" s="115"/>
      <c r="N19" s="116"/>
      <c r="O19" s="339"/>
      <c r="P19" s="115"/>
      <c r="Q19" s="116"/>
      <c r="R19" s="339"/>
      <c r="S19" s="115"/>
      <c r="T19" s="116"/>
      <c r="U19" s="339"/>
      <c r="V19" s="115"/>
      <c r="W19" s="116"/>
      <c r="X19" s="339"/>
      <c r="Y19" s="115"/>
      <c r="Z19" s="116"/>
      <c r="AA19" s="339"/>
      <c r="AB19" s="115"/>
      <c r="AC19" s="329"/>
      <c r="AD19" s="339"/>
      <c r="AE19" s="294"/>
      <c r="AF19" s="226"/>
      <c r="AG19" s="114"/>
      <c r="AH19" s="419"/>
      <c r="AI19" s="115"/>
      <c r="AJ19" s="116"/>
      <c r="AK19" s="419"/>
      <c r="AL19" s="115"/>
      <c r="AM19" s="116"/>
      <c r="AN19" s="419"/>
      <c r="AO19" s="115"/>
      <c r="AP19" s="116"/>
      <c r="AQ19" s="419"/>
      <c r="AR19" s="115"/>
      <c r="AS19" s="116"/>
      <c r="AT19" s="419"/>
      <c r="AU19" s="115"/>
      <c r="AV19" s="116"/>
      <c r="AW19" s="419"/>
      <c r="AX19" s="115"/>
      <c r="AY19" s="116"/>
      <c r="AZ19" s="419"/>
      <c r="BA19" s="115"/>
      <c r="BB19" s="116"/>
      <c r="BC19" s="419"/>
      <c r="BD19" s="115"/>
      <c r="BE19" s="116"/>
      <c r="BF19" s="419"/>
      <c r="BG19" s="117"/>
      <c r="BH19" s="115"/>
      <c r="BI19" s="114"/>
      <c r="BJ19" s="419"/>
      <c r="BK19" s="115"/>
      <c r="BL19" s="116"/>
      <c r="BM19" s="419"/>
      <c r="BN19" s="115"/>
      <c r="BO19" s="116"/>
      <c r="BP19" s="419"/>
      <c r="BQ19" s="115"/>
      <c r="BR19" s="116"/>
      <c r="BS19" s="419"/>
      <c r="BT19" s="115"/>
      <c r="BU19" s="116"/>
      <c r="BV19" s="419"/>
      <c r="BW19" s="115"/>
      <c r="BX19" s="116"/>
      <c r="BY19" s="419"/>
      <c r="BZ19" s="115"/>
      <c r="CA19" s="116"/>
      <c r="CB19" s="419"/>
      <c r="CC19" s="115"/>
      <c r="CD19" s="116"/>
      <c r="CE19" s="419"/>
      <c r="CF19" s="115"/>
      <c r="CG19" s="116"/>
      <c r="CH19" s="419"/>
      <c r="CI19" s="117"/>
      <c r="CJ19" s="140">
        <f>SUM(Start:Stop!CJ19)</f>
        <v>8</v>
      </c>
      <c r="CK19" s="148">
        <f>SUM(Start:Stop!CK19)</f>
        <v>8</v>
      </c>
      <c r="CL19" s="148">
        <f>SUM(Start:Stop!CL19)</f>
        <v>0</v>
      </c>
      <c r="CM19" s="148">
        <f>SUM(Start:Stop!CM19)</f>
        <v>0</v>
      </c>
      <c r="CN19" s="148">
        <f>SUM(Start:Stop!CN19)</f>
        <v>16</v>
      </c>
      <c r="CO19" s="175">
        <f>SUM(Start:Stop!CO19)</f>
        <v>0</v>
      </c>
      <c r="CP19" s="140">
        <f>SUM(Start:Stop!CP19)</f>
        <v>0</v>
      </c>
      <c r="CQ19" s="140">
        <f>SUM(Start:Stop!CQ19)</f>
        <v>0</v>
      </c>
      <c r="CR19" s="148">
        <f>SUM(Start:Stop!CR19)</f>
        <v>0</v>
      </c>
      <c r="CS19" s="148">
        <f>SUM(Start:Stop!CS19)</f>
        <v>0</v>
      </c>
      <c r="CT19" s="140">
        <f>SUM(Start:Stop!CT19)</f>
        <v>1</v>
      </c>
      <c r="CU19" s="140">
        <f>SUM(Start:Stop!CU19)</f>
        <v>0</v>
      </c>
      <c r="CV19" s="148">
        <f>SUM(Start:Stop!CV19)</f>
        <v>0</v>
      </c>
      <c r="CW19" s="140"/>
      <c r="CX19" s="140"/>
      <c r="CY19" s="140"/>
      <c r="CZ19" s="140"/>
      <c r="DA19" s="147"/>
      <c r="DB19" s="141"/>
      <c r="DC19" s="141"/>
      <c r="DD19" s="77"/>
      <c r="DE19" s="37"/>
      <c r="DF19" s="37"/>
      <c r="DG19" s="77"/>
      <c r="DH19" s="37"/>
      <c r="DI19" s="37"/>
      <c r="DJ19" s="37"/>
      <c r="DK19" s="37"/>
      <c r="DL19" s="37"/>
      <c r="DM19" s="37"/>
      <c r="DN19" s="37"/>
      <c r="DO19" s="37"/>
      <c r="DP19" s="66"/>
      <c r="DQ19" s="78"/>
      <c r="DR19" s="6"/>
      <c r="DS19" s="36"/>
      <c r="DT19" s="534"/>
      <c r="DU19" s="18">
        <f>IFERROR((DV19+DX19+DY19)*(1-(CJ40/EZ40)*EA19*EC19)+ED19,"0")</f>
        <v>0</v>
      </c>
      <c r="DV19" s="13" t="str">
        <f t="shared" si="49"/>
        <v>0</v>
      </c>
      <c r="DW19" s="14" t="str">
        <f t="shared" si="50"/>
        <v>0</v>
      </c>
      <c r="DX19" s="14">
        <f t="shared" si="51"/>
        <v>0</v>
      </c>
      <c r="DY19" s="14" t="str">
        <f t="shared" si="52"/>
        <v>0</v>
      </c>
      <c r="DZ19" s="15">
        <f t="shared" si="89"/>
        <v>83.32352941176471</v>
      </c>
      <c r="EA19" s="14">
        <f t="shared" si="53"/>
        <v>0</v>
      </c>
      <c r="EB19" s="14">
        <f t="shared" si="54"/>
        <v>1</v>
      </c>
      <c r="EC19" s="14">
        <f t="shared" si="55"/>
        <v>0.41703468174056407</v>
      </c>
      <c r="ED19" s="14">
        <f t="shared" si="56"/>
        <v>0</v>
      </c>
      <c r="EE19" s="19">
        <f t="shared" si="57"/>
        <v>0</v>
      </c>
      <c r="EF19" s="67" t="str">
        <f t="shared" si="58"/>
        <v>0</v>
      </c>
      <c r="EG19" s="74">
        <f>SUM(CT19+DU19+EE19+EF19)</f>
        <v>1</v>
      </c>
      <c r="EH19" s="27">
        <f t="shared" si="91"/>
        <v>0</v>
      </c>
      <c r="EI19" s="25" t="str">
        <f t="shared" ref="EI19:EI20" si="102">IFERROR(2*((E19)+(0.5*W19))*(1-0.5*((CV19-EX19)/(2*(G19)))*DW19),"0")</f>
        <v>0</v>
      </c>
      <c r="EJ19" s="25">
        <f t="shared" si="60"/>
        <v>0</v>
      </c>
      <c r="EK19" s="26">
        <f t="shared" si="61"/>
        <v>0</v>
      </c>
      <c r="EL19" s="29" t="str">
        <f t="shared" si="62"/>
        <v>0</v>
      </c>
      <c r="EM19" s="30">
        <f t="shared" si="63"/>
        <v>0</v>
      </c>
      <c r="EN19" s="30" t="str">
        <f t="shared" si="64"/>
        <v>0</v>
      </c>
      <c r="EO19" s="31">
        <f t="shared" si="65"/>
        <v>8</v>
      </c>
      <c r="EP19" s="31" t="str">
        <f t="shared" si="66"/>
        <v>0</v>
      </c>
      <c r="EQ19" s="31">
        <f t="shared" si="67"/>
        <v>8</v>
      </c>
      <c r="ER19" s="93" t="str">
        <f t="shared" si="68"/>
        <v>0</v>
      </c>
      <c r="ES19" s="109">
        <f t="shared" si="69"/>
        <v>0</v>
      </c>
      <c r="ET19" s="32" t="str">
        <f t="shared" si="70"/>
        <v>0</v>
      </c>
      <c r="EV19" s="269"/>
      <c r="EW19" s="270"/>
      <c r="EX19" s="24"/>
      <c r="EY19" s="83"/>
      <c r="FB19" s="139"/>
      <c r="FC19" s="139"/>
      <c r="FD19" s="435" t="s">
        <v>117</v>
      </c>
      <c r="FE19" s="436" t="s">
        <v>71</v>
      </c>
      <c r="FF19" s="148"/>
      <c r="FG19" s="144"/>
      <c r="FH19" s="110"/>
      <c r="FI19" s="145"/>
      <c r="FJ19" s="194"/>
      <c r="FK19" s="110"/>
      <c r="FL19" s="110"/>
      <c r="FM19" s="168"/>
      <c r="FN19" s="194"/>
      <c r="FO19" s="262"/>
      <c r="FP19" s="110"/>
      <c r="FQ19" s="131"/>
      <c r="FR19" s="197"/>
      <c r="FS19" s="140">
        <f t="shared" si="20"/>
        <v>8</v>
      </c>
      <c r="FT19" s="140">
        <f t="shared" si="21"/>
        <v>8</v>
      </c>
      <c r="FU19" s="140">
        <f t="shared" ref="FU19:FU23" si="103">CN19</f>
        <v>16</v>
      </c>
      <c r="FV19" s="175"/>
      <c r="FW19" s="140"/>
      <c r="FX19" s="140"/>
      <c r="FY19" s="140"/>
      <c r="FZ19" s="140"/>
      <c r="GA19" s="140">
        <f t="shared" ref="GA19:GB23" si="104">CT19</f>
        <v>1</v>
      </c>
      <c r="GB19" s="140"/>
      <c r="GC19" s="192"/>
      <c r="GD19" s="175"/>
      <c r="GE19" s="140"/>
      <c r="GF19" s="140"/>
      <c r="GG19" s="140"/>
      <c r="GH19" s="175"/>
      <c r="GI19" s="491"/>
      <c r="GJ19" s="82"/>
      <c r="GK19" s="24"/>
      <c r="GL19" s="367"/>
      <c r="GM19" s="367"/>
      <c r="GN19" s="337"/>
      <c r="GO19" s="213"/>
      <c r="GP19" s="46"/>
      <c r="GQ19" s="383"/>
      <c r="GR19" s="384"/>
      <c r="GS19" s="390"/>
      <c r="GT19" s="122"/>
      <c r="GU19" s="139"/>
      <c r="GV19" s="190"/>
      <c r="GW19" s="139"/>
      <c r="GX19" s="139"/>
      <c r="GY19" s="118"/>
      <c r="GZ19" s="118"/>
      <c r="HA19" s="143"/>
      <c r="HB19" s="118"/>
      <c r="HC19" s="118"/>
      <c r="HD19" s="118"/>
      <c r="HE19" s="118"/>
      <c r="HF19" s="118"/>
      <c r="HG19" s="33"/>
      <c r="HH19" s="28"/>
      <c r="HI19" s="28"/>
      <c r="HJ19" s="28"/>
      <c r="HK19" s="33"/>
      <c r="HL19" s="33"/>
      <c r="HM19" s="28"/>
      <c r="HN19" s="6"/>
      <c r="HO19" s="37"/>
      <c r="HQ19" s="6"/>
      <c r="HR19" s="6"/>
      <c r="HV19" s="337"/>
      <c r="HW19" s="24"/>
      <c r="HX19" s="24"/>
      <c r="HY19" s="24"/>
      <c r="HZ19" s="37"/>
      <c r="IA19" s="24"/>
      <c r="ID19" s="48"/>
      <c r="IH19" s="24"/>
      <c r="II19" s="24"/>
      <c r="IJ19" s="24"/>
      <c r="IK19" s="24"/>
      <c r="IL19" s="24"/>
      <c r="IM19" s="24"/>
      <c r="IN19" s="24"/>
      <c r="IO19" s="24"/>
      <c r="IP19" s="24"/>
      <c r="IQ19" s="37"/>
      <c r="IR19" s="24"/>
      <c r="IS19" s="24"/>
      <c r="IT19" s="24"/>
      <c r="IU19" s="24"/>
      <c r="IV19" s="24"/>
      <c r="IW19" s="24"/>
    </row>
    <row r="20" spans="1:257" ht="17" thickBot="1" x14ac:dyDescent="0.25">
      <c r="A20" s="139"/>
      <c r="B20" s="5" t="s">
        <v>82</v>
      </c>
      <c r="C20" s="41" t="s">
        <v>71</v>
      </c>
      <c r="D20" s="361"/>
      <c r="E20" s="114"/>
      <c r="F20" s="339"/>
      <c r="G20" s="115"/>
      <c r="H20" s="116"/>
      <c r="I20" s="339"/>
      <c r="J20" s="115"/>
      <c r="K20" s="116"/>
      <c r="L20" s="339"/>
      <c r="M20" s="115"/>
      <c r="N20" s="116"/>
      <c r="O20" s="339"/>
      <c r="P20" s="115"/>
      <c r="Q20" s="116"/>
      <c r="R20" s="339"/>
      <c r="S20" s="115"/>
      <c r="T20" s="116"/>
      <c r="U20" s="339"/>
      <c r="V20" s="115"/>
      <c r="W20" s="372"/>
      <c r="X20" s="339"/>
      <c r="Y20" s="115"/>
      <c r="Z20" s="116"/>
      <c r="AA20" s="339"/>
      <c r="AB20" s="115"/>
      <c r="AC20" s="329"/>
      <c r="AD20" s="339"/>
      <c r="AE20" s="294"/>
      <c r="AF20" s="226"/>
      <c r="AG20" s="114"/>
      <c r="AH20" s="419"/>
      <c r="AI20" s="115"/>
      <c r="AJ20" s="116"/>
      <c r="AK20" s="419"/>
      <c r="AL20" s="115"/>
      <c r="AM20" s="116"/>
      <c r="AN20" s="419"/>
      <c r="AO20" s="115"/>
      <c r="AP20" s="116"/>
      <c r="AQ20" s="419"/>
      <c r="AR20" s="115"/>
      <c r="AS20" s="116"/>
      <c r="AT20" s="419"/>
      <c r="AU20" s="115"/>
      <c r="AV20" s="116"/>
      <c r="AW20" s="419"/>
      <c r="AX20" s="115"/>
      <c r="AY20" s="116"/>
      <c r="AZ20" s="419"/>
      <c r="BA20" s="115"/>
      <c r="BB20" s="116"/>
      <c r="BC20" s="419"/>
      <c r="BD20" s="115"/>
      <c r="BE20" s="116"/>
      <c r="BF20" s="419"/>
      <c r="BG20" s="117"/>
      <c r="BH20" s="219"/>
      <c r="BI20" s="217"/>
      <c r="BJ20" s="218"/>
      <c r="BK20" s="219"/>
      <c r="BL20" s="220"/>
      <c r="BM20" s="218"/>
      <c r="BN20" s="219"/>
      <c r="BO20" s="220"/>
      <c r="BP20" s="218"/>
      <c r="BQ20" s="219"/>
      <c r="BR20" s="220"/>
      <c r="BS20" s="218"/>
      <c r="BT20" s="219"/>
      <c r="BU20" s="220"/>
      <c r="BV20" s="218"/>
      <c r="BW20" s="219"/>
      <c r="BX20" s="220"/>
      <c r="BY20" s="218"/>
      <c r="BZ20" s="219"/>
      <c r="CA20" s="220"/>
      <c r="CB20" s="218"/>
      <c r="CC20" s="219"/>
      <c r="CD20" s="220"/>
      <c r="CE20" s="218"/>
      <c r="CF20" s="219"/>
      <c r="CG20" s="220"/>
      <c r="CH20" s="218"/>
      <c r="CI20" s="221"/>
      <c r="CJ20" s="140">
        <f>SUM(Start:Stop!CJ20)</f>
        <v>2</v>
      </c>
      <c r="CK20" s="148">
        <f>SUM(Start:Stop!CK20)</f>
        <v>0</v>
      </c>
      <c r="CL20" s="148">
        <f>SUM(Start:Stop!CL20)</f>
        <v>0</v>
      </c>
      <c r="CM20" s="148">
        <f>SUM(Start:Stop!CM20)</f>
        <v>0</v>
      </c>
      <c r="CN20" s="148">
        <f>SUM(Start:Stop!CN20)</f>
        <v>2</v>
      </c>
      <c r="CO20" s="175">
        <f>SUM(Start:Stop!CO20)</f>
        <v>0</v>
      </c>
      <c r="CP20" s="140">
        <f>SUM(Start:Stop!CP20)</f>
        <v>0</v>
      </c>
      <c r="CQ20" s="140">
        <f>SUM(Start:Stop!CQ20)</f>
        <v>0</v>
      </c>
      <c r="CR20" s="148">
        <f>SUM(Start:Stop!CR20)</f>
        <v>0</v>
      </c>
      <c r="CS20" s="148">
        <f>SUM(Start:Stop!CS20)</f>
        <v>0</v>
      </c>
      <c r="CT20" s="140">
        <f>SUM(Start:Stop!CT20)</f>
        <v>0</v>
      </c>
      <c r="CU20" s="140">
        <f>SUM(Start:Stop!CU20)</f>
        <v>0</v>
      </c>
      <c r="CV20" s="148">
        <f>SUM(Start:Stop!CV20)</f>
        <v>0</v>
      </c>
      <c r="CW20" s="140"/>
      <c r="CX20" s="153" t="s">
        <v>14</v>
      </c>
      <c r="CY20" s="154" t="s">
        <v>97</v>
      </c>
      <c r="CZ20" s="154" t="s">
        <v>96</v>
      </c>
      <c r="DA20" s="157" t="s">
        <v>95</v>
      </c>
      <c r="DB20" s="141"/>
      <c r="DC20" s="141"/>
      <c r="DD20" s="79"/>
      <c r="DE20" s="73"/>
      <c r="DF20" s="73"/>
      <c r="DG20" s="79"/>
      <c r="DH20" s="73"/>
      <c r="DI20" s="73"/>
      <c r="DJ20" s="73"/>
      <c r="DK20" s="73"/>
      <c r="DL20" s="73"/>
      <c r="DM20" s="73"/>
      <c r="DN20" s="73"/>
      <c r="DO20" s="73"/>
      <c r="DP20" s="80"/>
      <c r="DQ20" s="81"/>
      <c r="DR20" s="6"/>
      <c r="DS20" s="36"/>
      <c r="DT20" s="535"/>
      <c r="DU20" s="18">
        <f t="shared" si="48"/>
        <v>0</v>
      </c>
      <c r="DV20" s="13" t="str">
        <f t="shared" si="49"/>
        <v>0</v>
      </c>
      <c r="DW20" s="14" t="str">
        <f>IFERROR(((D20/(D41/5))*(1.14*((CO41-CO20)/E41)))+((((CO41/D41)*D20*5-CO20)/((E41/D41)*D20*5-E20))*(1-(D20/(D41/5)))),"0")</f>
        <v>0</v>
      </c>
      <c r="DX20" s="14">
        <f t="shared" si="51"/>
        <v>0</v>
      </c>
      <c r="DY20" s="14" t="str">
        <f t="shared" si="52"/>
        <v>0</v>
      </c>
      <c r="DZ20" s="15">
        <f t="shared" si="89"/>
        <v>72.813285714285712</v>
      </c>
      <c r="EA20" s="14">
        <f t="shared" si="53"/>
        <v>0</v>
      </c>
      <c r="EB20" s="14">
        <f t="shared" si="54"/>
        <v>1</v>
      </c>
      <c r="EC20" s="14">
        <f t="shared" si="55"/>
        <v>0.36333974907328198</v>
      </c>
      <c r="ED20" s="14">
        <f t="shared" si="56"/>
        <v>0</v>
      </c>
      <c r="EE20" s="19">
        <f t="shared" si="57"/>
        <v>0</v>
      </c>
      <c r="EF20" s="67" t="str">
        <f t="shared" si="58"/>
        <v>0</v>
      </c>
      <c r="EG20" s="74">
        <f t="shared" si="59"/>
        <v>0</v>
      </c>
      <c r="EH20" s="27">
        <f t="shared" si="91"/>
        <v>0</v>
      </c>
      <c r="EI20" s="25" t="str">
        <f t="shared" si="102"/>
        <v>0</v>
      </c>
      <c r="EJ20" s="25">
        <f t="shared" si="60"/>
        <v>0</v>
      </c>
      <c r="EK20" s="26">
        <f t="shared" si="61"/>
        <v>0</v>
      </c>
      <c r="EL20" s="29" t="str">
        <f t="shared" si="62"/>
        <v>0</v>
      </c>
      <c r="EM20" s="30">
        <f t="shared" si="63"/>
        <v>0</v>
      </c>
      <c r="EN20" s="30" t="str">
        <f t="shared" si="64"/>
        <v>0</v>
      </c>
      <c r="EO20" s="31">
        <f t="shared" si="65"/>
        <v>0</v>
      </c>
      <c r="EP20" s="31" t="str">
        <f t="shared" si="66"/>
        <v>0</v>
      </c>
      <c r="EQ20" s="31">
        <f t="shared" si="67"/>
        <v>0</v>
      </c>
      <c r="ER20" s="93" t="str">
        <f t="shared" si="68"/>
        <v>0</v>
      </c>
      <c r="ES20" s="109">
        <f t="shared" si="69"/>
        <v>0</v>
      </c>
      <c r="ET20" s="32" t="str">
        <f t="shared" si="70"/>
        <v>0</v>
      </c>
      <c r="EV20" s="271"/>
      <c r="EW20" s="272"/>
      <c r="EX20" s="211"/>
      <c r="EY20" s="85"/>
      <c r="EZ20" s="88" t="s">
        <v>87</v>
      </c>
      <c r="FA20" s="52" t="s">
        <v>90</v>
      </c>
      <c r="FB20" s="52"/>
      <c r="FC20" s="139"/>
      <c r="FD20" s="140" t="s">
        <v>82</v>
      </c>
      <c r="FE20" s="160" t="s">
        <v>71</v>
      </c>
      <c r="FF20" s="148"/>
      <c r="FG20" s="144"/>
      <c r="FH20" s="110"/>
      <c r="FI20" s="145"/>
      <c r="FJ20" s="194"/>
      <c r="FK20" s="110"/>
      <c r="FL20" s="110"/>
      <c r="FM20" s="168"/>
      <c r="FN20" s="194"/>
      <c r="FO20" s="262"/>
      <c r="FP20" s="110"/>
      <c r="FQ20" s="131"/>
      <c r="FR20" s="197"/>
      <c r="FS20" s="140">
        <f t="shared" si="20"/>
        <v>2</v>
      </c>
      <c r="FT20" s="140">
        <f t="shared" si="21"/>
        <v>0</v>
      </c>
      <c r="FU20" s="140">
        <f t="shared" si="103"/>
        <v>2</v>
      </c>
      <c r="FV20" s="175"/>
      <c r="FW20" s="140"/>
      <c r="FX20" s="140"/>
      <c r="FY20" s="140"/>
      <c r="FZ20" s="140"/>
      <c r="GA20" s="140">
        <f t="shared" si="104"/>
        <v>0</v>
      </c>
      <c r="GB20" s="140"/>
      <c r="GC20" s="292"/>
      <c r="GD20" s="176" t="s">
        <v>14</v>
      </c>
      <c r="GE20" s="177" t="s">
        <v>97</v>
      </c>
      <c r="GF20" s="177" t="s">
        <v>104</v>
      </c>
      <c r="GG20" s="155" t="s">
        <v>95</v>
      </c>
      <c r="GH20" s="218" t="s">
        <v>250</v>
      </c>
      <c r="GI20" s="296"/>
      <c r="GJ20" s="84"/>
      <c r="GK20" s="211"/>
      <c r="GL20" s="368"/>
      <c r="GM20" s="368"/>
      <c r="GN20" s="369"/>
      <c r="GO20" s="215"/>
      <c r="GP20" s="46"/>
      <c r="GQ20" s="386"/>
      <c r="GR20" s="387"/>
      <c r="GS20" s="391"/>
      <c r="GT20" s="408" t="s">
        <v>192</v>
      </c>
      <c r="GU20" s="409" t="s">
        <v>14</v>
      </c>
      <c r="GV20" s="409" t="s">
        <v>97</v>
      </c>
      <c r="GW20" s="409" t="s">
        <v>104</v>
      </c>
      <c r="GX20" s="409" t="s">
        <v>193</v>
      </c>
      <c r="GY20" s="409" t="s">
        <v>194</v>
      </c>
      <c r="GZ20" s="409" t="s">
        <v>195</v>
      </c>
      <c r="HA20" s="409" t="s">
        <v>196</v>
      </c>
      <c r="HB20" s="409" t="s">
        <v>197</v>
      </c>
      <c r="HC20" s="118"/>
      <c r="HD20" s="118"/>
      <c r="HE20" s="118"/>
      <c r="HF20" s="118"/>
      <c r="HG20" s="58"/>
      <c r="HH20" s="28"/>
      <c r="HI20" s="28"/>
      <c r="HJ20" s="28"/>
      <c r="HK20" s="58"/>
      <c r="HL20" s="58"/>
      <c r="HM20" s="28"/>
      <c r="HN20" s="6"/>
      <c r="HO20" s="37"/>
      <c r="HR20" s="6"/>
      <c r="HZ20" s="315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24"/>
      <c r="IV20" s="24"/>
      <c r="IW20" s="24"/>
    </row>
    <row r="21" spans="1:257" x14ac:dyDescent="0.2">
      <c r="A21" s="139"/>
      <c r="B21" s="140"/>
      <c r="C21" s="123" t="s">
        <v>219</v>
      </c>
      <c r="D21" s="309">
        <f>SUM(Start:Stop!D21)</f>
        <v>711.75333333333333</v>
      </c>
      <c r="E21" s="125">
        <f>SUM(Start:Stop!E21)</f>
        <v>147</v>
      </c>
      <c r="F21" s="126" t="s">
        <v>52</v>
      </c>
      <c r="G21" s="127">
        <f>SUM(Start:Stop!G21)</f>
        <v>320</v>
      </c>
      <c r="H21" s="128" t="s">
        <v>53</v>
      </c>
      <c r="I21" s="126">
        <f>SUM(Start:Stop!I21)</f>
        <v>88</v>
      </c>
      <c r="J21" s="127" t="s">
        <v>54</v>
      </c>
      <c r="K21" s="128">
        <f>SUM(Start:Stop!K21)</f>
        <v>70</v>
      </c>
      <c r="L21" s="126" t="s">
        <v>52</v>
      </c>
      <c r="M21" s="127">
        <f>SUM(Start:Stop!M21)</f>
        <v>114</v>
      </c>
      <c r="N21" s="128" t="s">
        <v>53</v>
      </c>
      <c r="O21" s="126">
        <f>SUM(Start:Stop!O21)</f>
        <v>33</v>
      </c>
      <c r="P21" s="127" t="s">
        <v>54</v>
      </c>
      <c r="Q21" s="128">
        <f>SUM(Start:Stop!Q21)</f>
        <v>16</v>
      </c>
      <c r="R21" s="126" t="s">
        <v>52</v>
      </c>
      <c r="S21" s="127">
        <f>SUM(Start:Stop!S21)</f>
        <v>49</v>
      </c>
      <c r="T21" s="128" t="s">
        <v>53</v>
      </c>
      <c r="U21" s="126">
        <f>SUM(Start:Stop!U21)</f>
        <v>2</v>
      </c>
      <c r="V21" s="127" t="s">
        <v>54</v>
      </c>
      <c r="W21" s="128">
        <f>SUM(Start:Stop!W21)</f>
        <v>61</v>
      </c>
      <c r="X21" s="126" t="s">
        <v>52</v>
      </c>
      <c r="Y21" s="127">
        <f>SUM(Start:Stop!Y21)</f>
        <v>157</v>
      </c>
      <c r="Z21" s="128" t="s">
        <v>53</v>
      </c>
      <c r="AA21" s="126">
        <f>SUM(Start:Stop!AA21)</f>
        <v>53</v>
      </c>
      <c r="AB21" s="127" t="s">
        <v>54</v>
      </c>
      <c r="AC21" s="358">
        <f>SUM(Start:Stop!AC21)</f>
        <v>33.049999999999997</v>
      </c>
      <c r="AD21" s="126" t="s">
        <v>52</v>
      </c>
      <c r="AE21" s="359">
        <f>SUM(Start:Stop!AE21)</f>
        <v>44</v>
      </c>
      <c r="AF21" s="303"/>
      <c r="AG21" s="298">
        <f>SUM(Start:Stop!AG21)</f>
        <v>119</v>
      </c>
      <c r="AH21" s="299" t="s">
        <v>52</v>
      </c>
      <c r="AI21" s="300">
        <f>SUM(Start:Stop!AI21)</f>
        <v>265</v>
      </c>
      <c r="AJ21" s="301" t="s">
        <v>53</v>
      </c>
      <c r="AK21" s="299">
        <f>SUM(Start:Stop!AK21)</f>
        <v>73</v>
      </c>
      <c r="AL21" s="300" t="s">
        <v>54</v>
      </c>
      <c r="AM21" s="301">
        <f>SUM(Start:Stop!AM21)</f>
        <v>54</v>
      </c>
      <c r="AN21" s="299" t="s">
        <v>52</v>
      </c>
      <c r="AO21" s="300">
        <f>SUM(Start:Stop!AO21)</f>
        <v>88</v>
      </c>
      <c r="AP21" s="301" t="s">
        <v>53</v>
      </c>
      <c r="AQ21" s="299">
        <f>SUM(Start:Stop!AQ21)</f>
        <v>26</v>
      </c>
      <c r="AR21" s="302" t="s">
        <v>54</v>
      </c>
      <c r="AS21" s="301">
        <f>SUM(Start:Stop!AS21)</f>
        <v>16</v>
      </c>
      <c r="AT21" s="299" t="s">
        <v>52</v>
      </c>
      <c r="AU21" s="300">
        <f>SUM(Start:Stop!AU21)</f>
        <v>48</v>
      </c>
      <c r="AV21" s="301" t="s">
        <v>53</v>
      </c>
      <c r="AW21" s="299">
        <f>SUM(Start:Stop!AW21)</f>
        <v>2</v>
      </c>
      <c r="AX21" s="302" t="s">
        <v>54</v>
      </c>
      <c r="AY21" s="301">
        <f>SUM(Start:Stop!AY21)</f>
        <v>49</v>
      </c>
      <c r="AZ21" s="299" t="s">
        <v>52</v>
      </c>
      <c r="BA21" s="300">
        <f>SUM(Start:Stop!BA21)</f>
        <v>129</v>
      </c>
      <c r="BB21" s="301" t="s">
        <v>53</v>
      </c>
      <c r="BC21" s="299">
        <f>SUM(Start:Stop!BC21)</f>
        <v>45</v>
      </c>
      <c r="BD21" s="302" t="s">
        <v>54</v>
      </c>
      <c r="BE21" s="301">
        <f>SUM(Start:Stop!BE21)</f>
        <v>0</v>
      </c>
      <c r="BF21" s="299" t="s">
        <v>52</v>
      </c>
      <c r="BG21" s="304">
        <f>SUM(Start:Stop!BG21)</f>
        <v>0</v>
      </c>
      <c r="BH21" s="305"/>
      <c r="BI21" s="298">
        <f>SUM(Start:Stop!BI21)</f>
        <v>28</v>
      </c>
      <c r="BJ21" s="299" t="s">
        <v>52</v>
      </c>
      <c r="BK21" s="300">
        <f>SUM(Start:Stop!BK21)</f>
        <v>55</v>
      </c>
      <c r="BL21" s="301" t="s">
        <v>53</v>
      </c>
      <c r="BM21" s="299">
        <f>SUM(Start:Stop!BM21)</f>
        <v>15</v>
      </c>
      <c r="BN21" s="300" t="s">
        <v>54</v>
      </c>
      <c r="BO21" s="301">
        <f>SUM(Start:Stop!BO21)</f>
        <v>16</v>
      </c>
      <c r="BP21" s="299" t="s">
        <v>52</v>
      </c>
      <c r="BQ21" s="300">
        <f>SUM(Start:Stop!BQ21)</f>
        <v>26</v>
      </c>
      <c r="BR21" s="301" t="s">
        <v>53</v>
      </c>
      <c r="BS21" s="299">
        <f>SUM(Start:Stop!BS21)</f>
        <v>7</v>
      </c>
      <c r="BT21" s="302" t="s">
        <v>54</v>
      </c>
      <c r="BU21" s="301">
        <f>SUM(Start:Stop!BU21)</f>
        <v>0</v>
      </c>
      <c r="BV21" s="299" t="s">
        <v>52</v>
      </c>
      <c r="BW21" s="300">
        <f>SUM(Start:Stop!BW21)</f>
        <v>1</v>
      </c>
      <c r="BX21" s="301" t="s">
        <v>53</v>
      </c>
      <c r="BY21" s="299">
        <f>SUM(Start:Stop!BY21)</f>
        <v>0</v>
      </c>
      <c r="BZ21" s="302" t="s">
        <v>54</v>
      </c>
      <c r="CA21" s="301">
        <f>SUM(Start:Stop!CA21)</f>
        <v>12</v>
      </c>
      <c r="CB21" s="299" t="s">
        <v>52</v>
      </c>
      <c r="CC21" s="300">
        <f>SUM(Start:Stop!CC21)</f>
        <v>28</v>
      </c>
      <c r="CD21" s="301" t="s">
        <v>53</v>
      </c>
      <c r="CE21" s="299">
        <f>SUM(Start:Stop!CE21)</f>
        <v>8</v>
      </c>
      <c r="CF21" s="300" t="s">
        <v>54</v>
      </c>
      <c r="CG21" s="301">
        <f>SUM(Start:Stop!CG21)</f>
        <v>0</v>
      </c>
      <c r="CH21" s="299" t="s">
        <v>52</v>
      </c>
      <c r="CI21" s="304">
        <f>SUM(Start:Stop!CI21)</f>
        <v>0</v>
      </c>
      <c r="CJ21" s="464">
        <f>SUM(Start:Stop!CJ21)</f>
        <v>34</v>
      </c>
      <c r="CK21" s="465">
        <f>SUM(Start:Stop!CK21)</f>
        <v>139</v>
      </c>
      <c r="CL21" s="465">
        <f>SUM(Start:Stop!CL21)</f>
        <v>53</v>
      </c>
      <c r="CM21" s="465">
        <f>SUM(Start:Stop!CM21)</f>
        <v>77</v>
      </c>
      <c r="CN21" s="465">
        <f>SUM(Start:Stop!CN21)</f>
        <v>173</v>
      </c>
      <c r="CO21" s="466">
        <f>SUM(Start:Stop!CO21)</f>
        <v>89</v>
      </c>
      <c r="CP21" s="303">
        <f>SUM(Start:Stop!CP21)</f>
        <v>103</v>
      </c>
      <c r="CQ21" s="303">
        <f>SUM(Start:Stop!CQ21)</f>
        <v>44</v>
      </c>
      <c r="CR21" s="465">
        <f>SUM(Start:Stop!CR21)</f>
        <v>44</v>
      </c>
      <c r="CS21" s="465">
        <f>SUM(Start:Stop!CS21)</f>
        <v>38</v>
      </c>
      <c r="CT21" s="303">
        <f>SUM(Start:Stop!CT21)</f>
        <v>70</v>
      </c>
      <c r="CU21" s="303">
        <f>SUM(Start:Stop!CU21)</f>
        <v>13</v>
      </c>
      <c r="CV21" s="465">
        <f>SUM(Start:Stop!CV21)</f>
        <v>388.05000000000007</v>
      </c>
      <c r="CW21" s="11"/>
      <c r="CX21" s="150">
        <f>DG21</f>
        <v>0.5546875</v>
      </c>
      <c r="CY21" s="151">
        <f>DN21</f>
        <v>0.19083841848954367</v>
      </c>
      <c r="CZ21" s="151">
        <f>DH21</f>
        <v>0.19653179190751446</v>
      </c>
      <c r="DA21" s="156">
        <f>FA21</f>
        <v>0.13750000000000001</v>
      </c>
      <c r="DB21" s="149" t="s">
        <v>219</v>
      </c>
      <c r="DC21" s="123"/>
      <c r="DD21" s="34"/>
      <c r="DE21" s="34"/>
      <c r="DF21" s="35"/>
      <c r="DG21" s="37">
        <f>IFERROR(((E21-W21)+1.5*W21)/G21,"0")</f>
        <v>0.5546875</v>
      </c>
      <c r="DH21" s="37">
        <f>IFERROR(CJ21/(CJ21+CK21),"0")</f>
        <v>0.19653179190751446</v>
      </c>
      <c r="DI21" s="34"/>
      <c r="DJ21" s="35"/>
      <c r="DK21" s="35"/>
      <c r="DL21" s="35"/>
      <c r="DM21" s="35"/>
      <c r="DN21" s="37">
        <f>IFERROR(CT21/EG21,"0")</f>
        <v>0.19083841848954367</v>
      </c>
      <c r="DO21" s="35"/>
      <c r="DP21" s="35"/>
      <c r="DQ21" s="35"/>
      <c r="DR21" s="36"/>
      <c r="DS21" s="24"/>
      <c r="DT21" s="36"/>
      <c r="DU21" s="92"/>
      <c r="DV21" s="20"/>
      <c r="DW21" s="20"/>
      <c r="DX21" s="20"/>
      <c r="DY21" s="20"/>
      <c r="DZ21" s="20"/>
      <c r="EA21" s="20"/>
      <c r="EB21" s="20"/>
      <c r="EC21" s="20"/>
      <c r="ED21" s="11" t="s">
        <v>252</v>
      </c>
      <c r="EE21" s="496"/>
      <c r="EF21" s="91" t="s">
        <v>39</v>
      </c>
      <c r="EG21" s="37">
        <f>SUM(EG4:EG18)+CT19+CT20</f>
        <v>366.8024528501079</v>
      </c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W21" s="39" t="s">
        <v>219</v>
      </c>
      <c r="EX21" s="6">
        <f>SUM(Start:Stop!EX21)</f>
        <v>33.049999999999997</v>
      </c>
      <c r="EY21" s="6">
        <f>SUM(Start:Stop!EY21)</f>
        <v>44</v>
      </c>
      <c r="EZ21" s="6">
        <f>SUM(Start:Stop!EZ21)</f>
        <v>158.49367070707069</v>
      </c>
      <c r="FA21" s="6">
        <f>IFERROR(EY21/G21,"0")</f>
        <v>0.13750000000000001</v>
      </c>
      <c r="FC21" s="234"/>
      <c r="FD21" s="235"/>
      <c r="FE21" s="236" t="s">
        <v>219</v>
      </c>
      <c r="FF21" s="286">
        <f t="shared" ref="FF21:FG23" si="105">D21</f>
        <v>711.75333333333333</v>
      </c>
      <c r="FG21" s="206">
        <f t="shared" si="105"/>
        <v>147</v>
      </c>
      <c r="FH21" s="238" t="s">
        <v>52</v>
      </c>
      <c r="FI21" s="210">
        <f t="shared" si="72"/>
        <v>320</v>
      </c>
      <c r="FJ21" s="239">
        <f t="shared" si="73"/>
        <v>0.45937499999999998</v>
      </c>
      <c r="FK21" s="234">
        <f>W21</f>
        <v>61</v>
      </c>
      <c r="FL21" s="238" t="s">
        <v>52</v>
      </c>
      <c r="FM21" s="240">
        <f>Y21</f>
        <v>157</v>
      </c>
      <c r="FN21" s="239">
        <f t="shared" si="19"/>
        <v>0.38853503184713378</v>
      </c>
      <c r="FO21" s="263">
        <f>SUM(FO4:FO18)</f>
        <v>0</v>
      </c>
      <c r="FP21" s="238" t="s">
        <v>52</v>
      </c>
      <c r="FQ21" s="273">
        <f>SUM(FQ4:FQ18)</f>
        <v>0</v>
      </c>
      <c r="FR21" s="207" t="str">
        <f t="shared" si="76"/>
        <v>0</v>
      </c>
      <c r="FS21" s="235">
        <f t="shared" si="20"/>
        <v>34</v>
      </c>
      <c r="FT21" s="286">
        <f t="shared" si="21"/>
        <v>139</v>
      </c>
      <c r="FU21" s="235">
        <f t="shared" si="103"/>
        <v>173</v>
      </c>
      <c r="FV21" s="241">
        <f t="shared" ref="FV21:FZ23" si="106">CO21</f>
        <v>89</v>
      </c>
      <c r="FW21" s="235">
        <f t="shared" si="106"/>
        <v>103</v>
      </c>
      <c r="FX21" s="235">
        <f t="shared" si="106"/>
        <v>44</v>
      </c>
      <c r="FY21" s="235">
        <f t="shared" si="106"/>
        <v>44</v>
      </c>
      <c r="FZ21" s="235">
        <f t="shared" si="106"/>
        <v>38</v>
      </c>
      <c r="GA21" s="235">
        <f t="shared" si="104"/>
        <v>70</v>
      </c>
      <c r="GB21" s="235">
        <f t="shared" si="104"/>
        <v>13</v>
      </c>
      <c r="GC21" s="191">
        <f t="shared" si="77"/>
        <v>355</v>
      </c>
      <c r="GD21" s="204">
        <f>CX21</f>
        <v>0.5546875</v>
      </c>
      <c r="GE21" s="205">
        <f t="shared" ref="GE21:GG23" si="107">CY21</f>
        <v>0.19083841848954367</v>
      </c>
      <c r="GF21" s="205">
        <f t="shared" si="107"/>
        <v>0.19653179190751446</v>
      </c>
      <c r="GG21" s="152">
        <f t="shared" si="107"/>
        <v>0.13750000000000001</v>
      </c>
      <c r="GH21" s="311">
        <f>CV21/EG21</f>
        <v>1.0579264042123919</v>
      </c>
      <c r="GI21" s="139"/>
      <c r="GP21" s="5"/>
      <c r="GQ21" s="381"/>
      <c r="GR21" s="382"/>
      <c r="GS21" s="410" t="s">
        <v>71</v>
      </c>
      <c r="GT21" s="411">
        <v>1.23</v>
      </c>
      <c r="GU21" s="412">
        <v>0.60499999999999998</v>
      </c>
      <c r="GV21" s="412">
        <v>0.182</v>
      </c>
      <c r="GW21" s="412">
        <v>0.221</v>
      </c>
      <c r="GX21" s="413">
        <v>0.57099999999999995</v>
      </c>
      <c r="GY21" s="413">
        <v>0.61299999999999999</v>
      </c>
      <c r="GZ21" s="413">
        <v>0.69</v>
      </c>
      <c r="HA21" s="413">
        <v>0.48</v>
      </c>
      <c r="HB21" s="413">
        <v>0.61</v>
      </c>
      <c r="HC21" s="110"/>
      <c r="HD21" s="110"/>
      <c r="HE21" s="110"/>
      <c r="HF21" s="110"/>
      <c r="HG21" s="228" t="s">
        <v>39</v>
      </c>
      <c r="HH21" s="28">
        <f t="shared" ref="HH21" si="108">(K21*2)/M21</f>
        <v>1.2280701754385965</v>
      </c>
      <c r="HI21" s="28">
        <f t="shared" ref="HI21" si="109">(Q21*2)/S21</f>
        <v>0.65306122448979587</v>
      </c>
      <c r="HJ21" s="28">
        <f>(W21*3)/Y21</f>
        <v>1.1656050955414012</v>
      </c>
      <c r="HK21" s="24"/>
      <c r="HQ21" s="317">
        <f>(GA21-FZ21)/EG21</f>
        <v>8.7240419880934242E-2</v>
      </c>
      <c r="HR21" s="6">
        <f>(CO21+CP21)/CT21</f>
        <v>2.7428571428571429</v>
      </c>
      <c r="HZ21" s="315"/>
      <c r="IH21" s="24"/>
      <c r="II21" s="24"/>
    </row>
    <row r="22" spans="1:257" x14ac:dyDescent="0.2">
      <c r="A22" s="139"/>
      <c r="B22" s="139"/>
      <c r="C22" s="432" t="s">
        <v>116</v>
      </c>
      <c r="D22" s="308">
        <f>SUM(Start:Stop!D22)</f>
        <v>355.87666666666667</v>
      </c>
      <c r="E22" s="125">
        <f>SUM(Start:Stop!E22)</f>
        <v>62</v>
      </c>
      <c r="F22" s="128" t="s">
        <v>52</v>
      </c>
      <c r="G22" s="127">
        <f>SUM(Start:Stop!G22)</f>
        <v>137</v>
      </c>
      <c r="H22" s="128" t="s">
        <v>53</v>
      </c>
      <c r="I22" s="126">
        <f>SUM(Start:Stop!I22)</f>
        <v>35</v>
      </c>
      <c r="J22" s="127" t="s">
        <v>54</v>
      </c>
      <c r="K22" s="128">
        <f>SUM(Start:Stop!K22)</f>
        <v>28</v>
      </c>
      <c r="L22" s="128" t="s">
        <v>52</v>
      </c>
      <c r="M22" s="127">
        <f>SUM(Start:Stop!M22)</f>
        <v>44</v>
      </c>
      <c r="N22" s="128" t="s">
        <v>53</v>
      </c>
      <c r="O22" s="126">
        <f>SUM(Start:Stop!O22)</f>
        <v>9</v>
      </c>
      <c r="P22" s="127" t="s">
        <v>54</v>
      </c>
      <c r="Q22" s="128">
        <f>SUM(Start:Stop!Q22)</f>
        <v>6</v>
      </c>
      <c r="R22" s="126" t="s">
        <v>52</v>
      </c>
      <c r="S22" s="127">
        <f>SUM(Start:Stop!S22)</f>
        <v>24</v>
      </c>
      <c r="T22" s="128" t="s">
        <v>53</v>
      </c>
      <c r="U22" s="126">
        <f>SUM(Start:Stop!U22)</f>
        <v>1</v>
      </c>
      <c r="V22" s="127" t="s">
        <v>54</v>
      </c>
      <c r="W22" s="128">
        <f>SUM(Start:Stop!W22)</f>
        <v>28</v>
      </c>
      <c r="X22" s="126" t="s">
        <v>52</v>
      </c>
      <c r="Y22" s="127">
        <f>SUM(Start:Stop!Y22)</f>
        <v>69</v>
      </c>
      <c r="Z22" s="128" t="s">
        <v>53</v>
      </c>
      <c r="AA22" s="126">
        <f>SUM(Start:Stop!AA22)</f>
        <v>25</v>
      </c>
      <c r="AB22" s="127" t="s">
        <v>54</v>
      </c>
      <c r="AC22" s="358">
        <f>SUM(Start:Stop!AC22)</f>
        <v>15.999999999999998</v>
      </c>
      <c r="AD22" s="126" t="s">
        <v>52</v>
      </c>
      <c r="AE22" s="359">
        <f>SUM(Start:Stop!AE22)</f>
        <v>22</v>
      </c>
      <c r="AF22" s="143"/>
      <c r="AG22" s="130">
        <f>SUM(Start:Stop!AG22)</f>
        <v>51</v>
      </c>
      <c r="AH22" s="113" t="s">
        <v>52</v>
      </c>
      <c r="AI22" s="131">
        <f>SUM(Start:Stop!AI22)</f>
        <v>115</v>
      </c>
      <c r="AJ22" s="113" t="s">
        <v>53</v>
      </c>
      <c r="AK22" s="122">
        <f>SUM(Start:Stop!AK22)</f>
        <v>30</v>
      </c>
      <c r="AL22" s="131" t="s">
        <v>54</v>
      </c>
      <c r="AM22" s="113">
        <f>SUM(Start:Stop!AM22)</f>
        <v>21</v>
      </c>
      <c r="AN22" s="113" t="s">
        <v>52</v>
      </c>
      <c r="AO22" s="131">
        <f>SUM(Start:Stop!AO22)</f>
        <v>35</v>
      </c>
      <c r="AP22" s="113" t="s">
        <v>53</v>
      </c>
      <c r="AQ22" s="122">
        <f>SUM(Start:Stop!AQ22)</f>
        <v>7</v>
      </c>
      <c r="AR22" s="132" t="s">
        <v>54</v>
      </c>
      <c r="AS22" s="113">
        <f>SUM(Start:Stop!AS22)</f>
        <v>6</v>
      </c>
      <c r="AT22" s="113" t="s">
        <v>52</v>
      </c>
      <c r="AU22" s="131">
        <f>SUM(Start:Stop!AU22)</f>
        <v>24</v>
      </c>
      <c r="AV22" s="113" t="s">
        <v>53</v>
      </c>
      <c r="AW22" s="122">
        <f>SUM(Start:Stop!AW22)</f>
        <v>1</v>
      </c>
      <c r="AX22" s="132" t="s">
        <v>54</v>
      </c>
      <c r="AY22" s="113">
        <f>SUM(Start:Stop!AY22)</f>
        <v>24</v>
      </c>
      <c r="AZ22" s="113" t="s">
        <v>52</v>
      </c>
      <c r="BA22" s="131">
        <f>SUM(Start:Stop!BA22)</f>
        <v>56</v>
      </c>
      <c r="BB22" s="113" t="s">
        <v>53</v>
      </c>
      <c r="BC22" s="122">
        <f>SUM(Start:Stop!BC22)</f>
        <v>22</v>
      </c>
      <c r="BD22" s="132" t="s">
        <v>54</v>
      </c>
      <c r="BE22" s="113">
        <f>SUM(Start:Stop!BE22)</f>
        <v>0</v>
      </c>
      <c r="BF22" s="113" t="s">
        <v>52</v>
      </c>
      <c r="BG22" s="133">
        <f>SUM(Start:Stop!BG22)</f>
        <v>0</v>
      </c>
      <c r="BH22" s="143"/>
      <c r="BI22" s="130">
        <f>SUM(Start:Stop!BI22)</f>
        <v>11</v>
      </c>
      <c r="BJ22" s="113" t="s">
        <v>52</v>
      </c>
      <c r="BK22" s="131">
        <f>SUM(Start:Stop!BK22)</f>
        <v>22</v>
      </c>
      <c r="BL22" s="113" t="s">
        <v>53</v>
      </c>
      <c r="BM22" s="122">
        <f>SUM(Start:Stop!BM22)</f>
        <v>5</v>
      </c>
      <c r="BN22" s="131" t="s">
        <v>54</v>
      </c>
      <c r="BO22" s="113">
        <f>SUM(Start:Stop!BO22)</f>
        <v>7</v>
      </c>
      <c r="BP22" s="113" t="s">
        <v>52</v>
      </c>
      <c r="BQ22" s="131">
        <f>SUM(Start:Stop!BQ22)</f>
        <v>9</v>
      </c>
      <c r="BR22" s="113" t="s">
        <v>53</v>
      </c>
      <c r="BS22" s="122">
        <f>SUM(Start:Stop!BS22)</f>
        <v>2</v>
      </c>
      <c r="BT22" s="132" t="s">
        <v>54</v>
      </c>
      <c r="BU22" s="113">
        <f>SUM(Start:Stop!BU22)</f>
        <v>0</v>
      </c>
      <c r="BV22" s="113" t="s">
        <v>52</v>
      </c>
      <c r="BW22" s="131">
        <f>SUM(Start:Stop!BW22)</f>
        <v>0</v>
      </c>
      <c r="BX22" s="113" t="s">
        <v>53</v>
      </c>
      <c r="BY22" s="122">
        <f>SUM(Start:Stop!BY22)</f>
        <v>0</v>
      </c>
      <c r="BZ22" s="132" t="s">
        <v>54</v>
      </c>
      <c r="CA22" s="113">
        <f>SUM(Start:Stop!CA22)</f>
        <v>4</v>
      </c>
      <c r="CB22" s="113" t="s">
        <v>52</v>
      </c>
      <c r="CC22" s="131">
        <f>SUM(Start:Stop!CC22)</f>
        <v>13</v>
      </c>
      <c r="CD22" s="113" t="s">
        <v>53</v>
      </c>
      <c r="CE22" s="122">
        <f>SUM(Start:Stop!CE22)</f>
        <v>3</v>
      </c>
      <c r="CF22" s="131" t="s">
        <v>54</v>
      </c>
      <c r="CG22" s="113">
        <f>SUM(Start:Stop!CG22)</f>
        <v>0</v>
      </c>
      <c r="CH22" s="113" t="s">
        <v>52</v>
      </c>
      <c r="CI22" s="133">
        <f>SUM(Start:Stop!CI22)</f>
        <v>0</v>
      </c>
      <c r="CJ22" s="140">
        <f>SUM(Start:Stop!CJ22)</f>
        <v>15</v>
      </c>
      <c r="CK22" s="148">
        <f>SUM(Start:Stop!CK22)</f>
        <v>79</v>
      </c>
      <c r="CL22" s="148">
        <f>SUM(Start:Stop!CL22)</f>
        <v>0</v>
      </c>
      <c r="CM22" s="148">
        <f>SUM(Start:Stop!CM22)</f>
        <v>0</v>
      </c>
      <c r="CN22" s="148">
        <f>SUM(Start:Stop!CN22)</f>
        <v>94</v>
      </c>
      <c r="CO22" s="175">
        <f>SUM(Start:Stop!CO22)</f>
        <v>36</v>
      </c>
      <c r="CP22" s="140">
        <f>SUM(Start:Stop!CP22)</f>
        <v>42</v>
      </c>
      <c r="CQ22" s="140">
        <f>SUM(Start:Stop!CQ22)</f>
        <v>23</v>
      </c>
      <c r="CR22" s="148">
        <f>SUM(Start:Stop!CR22)</f>
        <v>22</v>
      </c>
      <c r="CS22" s="148">
        <f>SUM(Start:Stop!CS22)</f>
        <v>12</v>
      </c>
      <c r="CT22" s="140">
        <f>SUM(Start:Stop!CT22)</f>
        <v>42</v>
      </c>
      <c r="CU22" s="140">
        <f>SUM(Start:Stop!CU22)</f>
        <v>5</v>
      </c>
      <c r="CV22" s="148">
        <f>SUM(Start:Stop!CV22)</f>
        <v>168</v>
      </c>
      <c r="CW22" s="357"/>
      <c r="CX22" s="134">
        <f>DG22</f>
        <v>0.55474452554744524</v>
      </c>
      <c r="CY22" s="121">
        <f>DN22</f>
        <v>0.24863464339729513</v>
      </c>
      <c r="CZ22" s="121">
        <f>DH22</f>
        <v>0.2</v>
      </c>
      <c r="DA22" s="135">
        <f>FA22</f>
        <v>0.16058394160583941</v>
      </c>
      <c r="DB22" s="433" t="s">
        <v>231</v>
      </c>
      <c r="DC22" s="116"/>
      <c r="DD22" s="34"/>
      <c r="DE22" s="34"/>
      <c r="DF22" s="35"/>
      <c r="DG22" s="37">
        <f>IFERROR(((E22-W22)+1.5*W22)/G22,"0")</f>
        <v>0.55474452554744524</v>
      </c>
      <c r="DH22" s="37">
        <f>IFERROR(CJ22/(CJ22+CK23),"0")</f>
        <v>0.2</v>
      </c>
      <c r="DI22" s="34"/>
      <c r="DJ22" s="35"/>
      <c r="DK22" s="35"/>
      <c r="DL22" s="35"/>
      <c r="DM22" s="35"/>
      <c r="DN22" s="37">
        <f>IFERROR(CT22/EG22,"0")</f>
        <v>0.24863464339729513</v>
      </c>
      <c r="DO22" s="35"/>
      <c r="DP22" s="35"/>
      <c r="DQ22" s="35"/>
      <c r="DR22" s="35"/>
      <c r="DS22" s="36"/>
      <c r="DT22" s="36"/>
      <c r="DU22" s="37"/>
      <c r="DV22" s="24"/>
      <c r="DW22" s="24"/>
      <c r="DX22" s="24"/>
      <c r="DY22" s="24"/>
      <c r="DZ22" s="24"/>
      <c r="EA22" s="24"/>
      <c r="EB22" s="24"/>
      <c r="EC22" s="24"/>
      <c r="ED22" s="495">
        <f>EE22/(EE22+EE23)</f>
        <v>0.46052734055551919</v>
      </c>
      <c r="EE22" s="28">
        <f>SUM(Start:Stop!EG22)</f>
        <v>165.17850857719228</v>
      </c>
      <c r="EF22" s="434" t="s">
        <v>232</v>
      </c>
      <c r="EG22" s="37">
        <f>EG21*ED22</f>
        <v>168.9225581203014</v>
      </c>
      <c r="EH22" s="35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W22" s="432" t="s">
        <v>231</v>
      </c>
      <c r="EX22" s="6">
        <f>SUM(Start:Stop!EX22)</f>
        <v>15.999999999999998</v>
      </c>
      <c r="EY22" s="6">
        <f>SUM(Start:Stop!EY22)</f>
        <v>22</v>
      </c>
      <c r="EZ22" s="6">
        <f>SUM(Start:Stop!EZ22)</f>
        <v>67.143916666666655</v>
      </c>
      <c r="FA22" s="6">
        <f>IFERROR(EY22/G22,"0")</f>
        <v>0.16058394160583941</v>
      </c>
      <c r="FC22" s="139"/>
      <c r="FD22" s="139"/>
      <c r="FE22" s="437" t="s">
        <v>232</v>
      </c>
      <c r="FF22" s="119">
        <f t="shared" si="105"/>
        <v>355.87666666666667</v>
      </c>
      <c r="FG22" s="144">
        <f t="shared" si="105"/>
        <v>62</v>
      </c>
      <c r="FH22" s="265" t="s">
        <v>52</v>
      </c>
      <c r="FI22" s="145">
        <f t="shared" si="72"/>
        <v>137</v>
      </c>
      <c r="FJ22" s="194">
        <f t="shared" si="73"/>
        <v>0.45255474452554745</v>
      </c>
      <c r="FK22" s="110">
        <f>W22</f>
        <v>28</v>
      </c>
      <c r="FL22" s="265" t="s">
        <v>52</v>
      </c>
      <c r="FM22" s="168">
        <f>Y22</f>
        <v>69</v>
      </c>
      <c r="FN22" s="194">
        <f t="shared" si="19"/>
        <v>0.40579710144927539</v>
      </c>
      <c r="FO22" s="262">
        <f>SUM(Start:Stop!FO22)</f>
        <v>0</v>
      </c>
      <c r="FP22" s="265" t="s">
        <v>52</v>
      </c>
      <c r="FQ22" s="131">
        <f>SUM(Start:Stop!FQ22)</f>
        <v>0</v>
      </c>
      <c r="FR22" s="197" t="str">
        <f t="shared" si="76"/>
        <v>0</v>
      </c>
      <c r="FS22" s="118">
        <f t="shared" si="20"/>
        <v>15</v>
      </c>
      <c r="FT22" s="118">
        <f t="shared" si="21"/>
        <v>79</v>
      </c>
      <c r="FU22" s="118">
        <f t="shared" si="103"/>
        <v>94</v>
      </c>
      <c r="FV22" s="175">
        <f t="shared" si="106"/>
        <v>36</v>
      </c>
      <c r="FW22" s="118">
        <f t="shared" si="106"/>
        <v>42</v>
      </c>
      <c r="FX22" s="118">
        <f t="shared" si="106"/>
        <v>23</v>
      </c>
      <c r="FY22" s="118">
        <f t="shared" si="106"/>
        <v>22</v>
      </c>
      <c r="FZ22" s="118">
        <f t="shared" si="106"/>
        <v>12</v>
      </c>
      <c r="GA22" s="118">
        <f t="shared" si="104"/>
        <v>42</v>
      </c>
      <c r="GB22" s="118">
        <f t="shared" si="104"/>
        <v>5</v>
      </c>
      <c r="GC22" s="192">
        <f>((FK22*3)+((FG22-FK22)*2)+FO22)</f>
        <v>152</v>
      </c>
      <c r="GD22" s="134">
        <f>CX22</f>
        <v>0.55474452554744524</v>
      </c>
      <c r="GE22" s="121">
        <f t="shared" si="107"/>
        <v>0.24863464339729513</v>
      </c>
      <c r="GF22" s="121">
        <f t="shared" si="107"/>
        <v>0.2</v>
      </c>
      <c r="GG22" s="135">
        <f t="shared" si="107"/>
        <v>0.16058394160583941</v>
      </c>
      <c r="GH22" s="208"/>
      <c r="GI22" s="139"/>
      <c r="GP22" s="5"/>
      <c r="GS22" s="190"/>
      <c r="GT22" s="414" t="s">
        <v>198</v>
      </c>
      <c r="GU22" s="415" t="s">
        <v>199</v>
      </c>
      <c r="GV22" s="415" t="s">
        <v>200</v>
      </c>
      <c r="GW22" s="415" t="s">
        <v>201</v>
      </c>
      <c r="GX22" s="415" t="s">
        <v>202</v>
      </c>
      <c r="GY22" s="414" t="s">
        <v>203</v>
      </c>
      <c r="GZ22" s="414"/>
      <c r="HA22" s="414"/>
      <c r="HB22" s="414" t="s">
        <v>204</v>
      </c>
      <c r="HC22" s="110"/>
      <c r="HD22" s="110"/>
      <c r="HE22" s="110"/>
      <c r="HF22" s="110"/>
      <c r="HG22" s="24"/>
      <c r="HH22" s="24"/>
      <c r="HI22" s="24"/>
      <c r="HJ22" s="24"/>
      <c r="HK22" s="24"/>
      <c r="HL22" s="24"/>
      <c r="HM22" s="24"/>
      <c r="HO22" s="24"/>
      <c r="HZ22" s="315"/>
    </row>
    <row r="23" spans="1:257" ht="17" thickBot="1" x14ac:dyDescent="0.25">
      <c r="A23" s="139"/>
      <c r="B23" s="139"/>
      <c r="C23" s="231" t="s">
        <v>220</v>
      </c>
      <c r="D23" s="308">
        <f>SUM(Start:Stop!D23)</f>
        <v>355.87666666666667</v>
      </c>
      <c r="E23" s="130">
        <f>SUM(Start:Stop!E23)</f>
        <v>85</v>
      </c>
      <c r="F23" s="113" t="s">
        <v>52</v>
      </c>
      <c r="G23" s="131">
        <f>SUM(Start:Stop!G23)</f>
        <v>183</v>
      </c>
      <c r="H23" s="113" t="s">
        <v>53</v>
      </c>
      <c r="I23" s="122">
        <f>SUM(Start:Stop!I23)</f>
        <v>53</v>
      </c>
      <c r="J23" s="131" t="s">
        <v>54</v>
      </c>
      <c r="K23" s="113">
        <f>SUM(Start:Stop!K23)</f>
        <v>42</v>
      </c>
      <c r="L23" s="113" t="s">
        <v>52</v>
      </c>
      <c r="M23" s="131">
        <f>SUM(Start:Stop!M23)</f>
        <v>70</v>
      </c>
      <c r="N23" s="113" t="s">
        <v>53</v>
      </c>
      <c r="O23" s="122">
        <f>SUM(Start:Stop!O23)</f>
        <v>24</v>
      </c>
      <c r="P23" s="131" t="s">
        <v>54</v>
      </c>
      <c r="Q23" s="113">
        <f>SUM(Start:Stop!Q23)</f>
        <v>10</v>
      </c>
      <c r="R23" s="122" t="s">
        <v>52</v>
      </c>
      <c r="S23" s="131">
        <f>SUM(Start:Stop!S23)</f>
        <v>25</v>
      </c>
      <c r="T23" s="113" t="s">
        <v>53</v>
      </c>
      <c r="U23" s="122">
        <f>SUM(Start:Stop!U23)</f>
        <v>1</v>
      </c>
      <c r="V23" s="131" t="s">
        <v>54</v>
      </c>
      <c r="W23" s="113">
        <f>SUM(Start:Stop!W23)</f>
        <v>33</v>
      </c>
      <c r="X23" s="122" t="s">
        <v>52</v>
      </c>
      <c r="Y23" s="131">
        <f>SUM(Start:Stop!Y23)</f>
        <v>88</v>
      </c>
      <c r="Z23" s="113" t="s">
        <v>53</v>
      </c>
      <c r="AA23" s="122">
        <f>SUM(Start:Stop!AA23)</f>
        <v>28</v>
      </c>
      <c r="AB23" s="131" t="s">
        <v>54</v>
      </c>
      <c r="AC23" s="330">
        <f>SUM(Start:Stop!AC23)</f>
        <v>17.05</v>
      </c>
      <c r="AD23" s="122" t="s">
        <v>52</v>
      </c>
      <c r="AE23" s="295">
        <f>SUM(Start:Stop!AE23)</f>
        <v>22</v>
      </c>
      <c r="AF23" s="143"/>
      <c r="AG23" s="130">
        <f>SUM(Start:Stop!AG23)</f>
        <v>68</v>
      </c>
      <c r="AH23" s="113" t="s">
        <v>52</v>
      </c>
      <c r="AI23" s="131">
        <f>SUM(Start:Stop!AI23)</f>
        <v>150</v>
      </c>
      <c r="AJ23" s="113" t="s">
        <v>53</v>
      </c>
      <c r="AK23" s="122">
        <f>SUM(Start:Stop!AK23)</f>
        <v>43</v>
      </c>
      <c r="AL23" s="131" t="s">
        <v>54</v>
      </c>
      <c r="AM23" s="113">
        <f>SUM(Start:Stop!AM23)</f>
        <v>33</v>
      </c>
      <c r="AN23" s="113" t="s">
        <v>52</v>
      </c>
      <c r="AO23" s="131">
        <f>SUM(Start:Stop!AO23)</f>
        <v>53</v>
      </c>
      <c r="AP23" s="113" t="s">
        <v>53</v>
      </c>
      <c r="AQ23" s="122">
        <f>SUM(Start:Stop!AQ23)</f>
        <v>19</v>
      </c>
      <c r="AR23" s="132" t="s">
        <v>54</v>
      </c>
      <c r="AS23" s="113">
        <f>SUM(Start:Stop!AS23)</f>
        <v>10</v>
      </c>
      <c r="AT23" s="113" t="s">
        <v>52</v>
      </c>
      <c r="AU23" s="131">
        <f>SUM(Start:Stop!AU23)</f>
        <v>24</v>
      </c>
      <c r="AV23" s="113" t="s">
        <v>53</v>
      </c>
      <c r="AW23" s="122">
        <f>SUM(Start:Stop!AW23)</f>
        <v>1</v>
      </c>
      <c r="AX23" s="132" t="s">
        <v>54</v>
      </c>
      <c r="AY23" s="113">
        <f>SUM(Start:Stop!AY23)</f>
        <v>25</v>
      </c>
      <c r="AZ23" s="113" t="s">
        <v>52</v>
      </c>
      <c r="BA23" s="131">
        <f>SUM(Start:Stop!BA23)</f>
        <v>73</v>
      </c>
      <c r="BB23" s="113" t="s">
        <v>53</v>
      </c>
      <c r="BC23" s="122">
        <f>SUM(Start:Stop!BC23)</f>
        <v>23</v>
      </c>
      <c r="BD23" s="132" t="s">
        <v>54</v>
      </c>
      <c r="BE23" s="113">
        <f>SUM(Start:Stop!BE23)</f>
        <v>0</v>
      </c>
      <c r="BF23" s="113" t="s">
        <v>52</v>
      </c>
      <c r="BG23" s="133">
        <f>SUM(Start:Stop!BG23)</f>
        <v>0</v>
      </c>
      <c r="BH23" s="143"/>
      <c r="BI23" s="130">
        <f>SUM(Start:Stop!BI23)</f>
        <v>17</v>
      </c>
      <c r="BJ23" s="113" t="s">
        <v>52</v>
      </c>
      <c r="BK23" s="131">
        <f>SUM(Start:Stop!BK23)</f>
        <v>33</v>
      </c>
      <c r="BL23" s="113" t="s">
        <v>53</v>
      </c>
      <c r="BM23" s="122">
        <f>SUM(Start:Stop!BM23)</f>
        <v>10</v>
      </c>
      <c r="BN23" s="131" t="s">
        <v>54</v>
      </c>
      <c r="BO23" s="113">
        <f>SUM(Start:Stop!BO23)</f>
        <v>9</v>
      </c>
      <c r="BP23" s="113" t="s">
        <v>52</v>
      </c>
      <c r="BQ23" s="131">
        <f>SUM(Start:Stop!BQ23)</f>
        <v>17</v>
      </c>
      <c r="BR23" s="113" t="s">
        <v>53</v>
      </c>
      <c r="BS23" s="122">
        <f>SUM(Start:Stop!BS23)</f>
        <v>5</v>
      </c>
      <c r="BT23" s="132" t="s">
        <v>54</v>
      </c>
      <c r="BU23" s="113">
        <f>SUM(Start:Stop!BU23)</f>
        <v>0</v>
      </c>
      <c r="BV23" s="113" t="s">
        <v>52</v>
      </c>
      <c r="BW23" s="131">
        <f>SUM(Start:Stop!BW23)</f>
        <v>1</v>
      </c>
      <c r="BX23" s="113" t="s">
        <v>53</v>
      </c>
      <c r="BY23" s="122">
        <f>SUM(Start:Stop!BY23)</f>
        <v>0</v>
      </c>
      <c r="BZ23" s="132" t="s">
        <v>54</v>
      </c>
      <c r="CA23" s="113">
        <f>SUM(Start:Stop!CA23)</f>
        <v>8</v>
      </c>
      <c r="CB23" s="113" t="s">
        <v>52</v>
      </c>
      <c r="CC23" s="131">
        <f>SUM(Start:Stop!CC23)</f>
        <v>15</v>
      </c>
      <c r="CD23" s="113" t="s">
        <v>53</v>
      </c>
      <c r="CE23" s="122">
        <f>SUM(Start:Stop!CE23)</f>
        <v>5</v>
      </c>
      <c r="CF23" s="131" t="s">
        <v>54</v>
      </c>
      <c r="CG23" s="113">
        <f>SUM(Start:Stop!CG23)</f>
        <v>0</v>
      </c>
      <c r="CH23" s="113" t="s">
        <v>52</v>
      </c>
      <c r="CI23" s="133">
        <f>SUM(Start:Stop!CI23)</f>
        <v>0</v>
      </c>
      <c r="CJ23" s="140">
        <f>SUM(Start:Stop!CJ23)</f>
        <v>19</v>
      </c>
      <c r="CK23" s="148">
        <f>SUM(Start:Stop!CK23)</f>
        <v>60</v>
      </c>
      <c r="CL23" s="148">
        <f>SUM(Start:Stop!CL23)</f>
        <v>0</v>
      </c>
      <c r="CM23" s="148">
        <f>SUM(Start:Stop!CM23)</f>
        <v>0</v>
      </c>
      <c r="CN23" s="148">
        <f>SUM(Start:Stop!CN23)</f>
        <v>79</v>
      </c>
      <c r="CO23" s="175">
        <f>SUM(Start:Stop!CO23)</f>
        <v>53</v>
      </c>
      <c r="CP23" s="140">
        <f>SUM(Start:Stop!CP23)</f>
        <v>61</v>
      </c>
      <c r="CQ23" s="140">
        <f>SUM(Start:Stop!CQ23)</f>
        <v>21</v>
      </c>
      <c r="CR23" s="148">
        <f>SUM(Start:Stop!CR23)</f>
        <v>22</v>
      </c>
      <c r="CS23" s="148">
        <f>SUM(Start:Stop!CS23)</f>
        <v>26</v>
      </c>
      <c r="CT23" s="140">
        <f>SUM(Start:Stop!CT23)</f>
        <v>28</v>
      </c>
      <c r="CU23" s="140">
        <f>SUM(Start:Stop!CU23)</f>
        <v>8</v>
      </c>
      <c r="CV23" s="148">
        <f>SUM(Start:Stop!CV23)</f>
        <v>220.05</v>
      </c>
      <c r="CW23" s="118"/>
      <c r="CX23" s="136">
        <f>DG23</f>
        <v>0.55464480874316935</v>
      </c>
      <c r="CY23" s="137">
        <f>DN23</f>
        <v>0.14149997420522373</v>
      </c>
      <c r="CZ23" s="137">
        <f>DH23</f>
        <v>0.19387755102040816</v>
      </c>
      <c r="DA23" s="138">
        <f>FA23</f>
        <v>0.12021857923497267</v>
      </c>
      <c r="DB23" s="232" t="s">
        <v>84</v>
      </c>
      <c r="DC23" s="116"/>
      <c r="DG23" s="37">
        <f>IFERROR(((E23-W23)+1.5*W23)/G23,"0")</f>
        <v>0.55464480874316935</v>
      </c>
      <c r="DH23" s="37">
        <f>IFERROR(CJ23/(CJ23+CK22),"0")</f>
        <v>0.19387755102040816</v>
      </c>
      <c r="DN23" s="37">
        <f>IFERROR(CT23/EG23,"0")</f>
        <v>0.14149997420522373</v>
      </c>
      <c r="DS23" s="10"/>
      <c r="DT23" s="10"/>
      <c r="ED23" s="497">
        <f>1-ED22</f>
        <v>0.53947265944448075</v>
      </c>
      <c r="EE23" s="28">
        <f>SUM(Start:Stop!EG23)</f>
        <v>193.49402621290903</v>
      </c>
      <c r="EF23" s="233" t="s">
        <v>89</v>
      </c>
      <c r="EG23" s="37">
        <f>EG21*ED23</f>
        <v>197.87989472980647</v>
      </c>
      <c r="EL23" s="24"/>
      <c r="EM23" s="24"/>
      <c r="EN23" s="24"/>
      <c r="EO23" s="24"/>
      <c r="EP23" s="24"/>
      <c r="EQ23" s="24"/>
      <c r="ER23" s="24"/>
      <c r="ES23" s="24"/>
      <c r="ET23" s="24"/>
      <c r="EW23" s="231" t="s">
        <v>84</v>
      </c>
      <c r="EX23" s="6">
        <f>SUM(Start:Stop!EX23)</f>
        <v>17.05</v>
      </c>
      <c r="EY23" s="6">
        <f>SUM(Start:Stop!EY23)</f>
        <v>22</v>
      </c>
      <c r="EZ23" s="6">
        <f>SUM(Start:Stop!EZ23)</f>
        <v>91.335833333333341</v>
      </c>
      <c r="FA23" s="6">
        <f>IFERROR(EY23/G23,"0")</f>
        <v>0.12021857923497267</v>
      </c>
      <c r="FC23" s="139"/>
      <c r="FD23" s="139"/>
      <c r="FE23" s="116" t="s">
        <v>89</v>
      </c>
      <c r="FF23" s="119">
        <f t="shared" si="105"/>
        <v>355.87666666666667</v>
      </c>
      <c r="FG23" s="169">
        <f t="shared" si="105"/>
        <v>85</v>
      </c>
      <c r="FH23" s="166" t="s">
        <v>52</v>
      </c>
      <c r="FI23" s="170">
        <f t="shared" si="72"/>
        <v>183</v>
      </c>
      <c r="FJ23" s="195">
        <f t="shared" si="73"/>
        <v>0.46448087431693991</v>
      </c>
      <c r="FK23" s="171">
        <f>W23</f>
        <v>33</v>
      </c>
      <c r="FL23" s="166" t="s">
        <v>52</v>
      </c>
      <c r="FM23" s="172">
        <f>Y23</f>
        <v>88</v>
      </c>
      <c r="FN23" s="195">
        <f t="shared" si="19"/>
        <v>0.375</v>
      </c>
      <c r="FO23" s="264">
        <f>SUM(Start:Stop!FO23)</f>
        <v>0</v>
      </c>
      <c r="FP23" s="166" t="s">
        <v>52</v>
      </c>
      <c r="FQ23" s="167">
        <f>SUM(Start:Stop!FQ23)</f>
        <v>0</v>
      </c>
      <c r="FR23" s="198" t="str">
        <f t="shared" si="76"/>
        <v>0</v>
      </c>
      <c r="FS23" s="118">
        <f t="shared" si="20"/>
        <v>19</v>
      </c>
      <c r="FT23" s="118">
        <f t="shared" si="21"/>
        <v>60</v>
      </c>
      <c r="FU23" s="118">
        <f t="shared" si="103"/>
        <v>79</v>
      </c>
      <c r="FV23" s="175">
        <f t="shared" si="106"/>
        <v>53</v>
      </c>
      <c r="FW23" s="118">
        <f t="shared" si="106"/>
        <v>61</v>
      </c>
      <c r="FX23" s="118">
        <f t="shared" si="106"/>
        <v>21</v>
      </c>
      <c r="FY23" s="118">
        <f t="shared" si="106"/>
        <v>22</v>
      </c>
      <c r="FZ23" s="118">
        <f t="shared" si="106"/>
        <v>26</v>
      </c>
      <c r="GA23" s="118">
        <f t="shared" si="104"/>
        <v>28</v>
      </c>
      <c r="GB23" s="118">
        <f t="shared" si="104"/>
        <v>8</v>
      </c>
      <c r="GC23" s="192">
        <f t="shared" si="77"/>
        <v>203</v>
      </c>
      <c r="GD23" s="136">
        <f>CX23</f>
        <v>0.55464480874316935</v>
      </c>
      <c r="GE23" s="137">
        <f t="shared" si="107"/>
        <v>0.14149997420522373</v>
      </c>
      <c r="GF23" s="137">
        <f t="shared" si="107"/>
        <v>0.19387755102040816</v>
      </c>
      <c r="GG23" s="138">
        <f t="shared" si="107"/>
        <v>0.12021857923497267</v>
      </c>
      <c r="GH23" s="115"/>
      <c r="GI23" s="139"/>
      <c r="GL23" s="33"/>
      <c r="GM23" s="33"/>
      <c r="GN23" s="33"/>
      <c r="GO23" s="33"/>
      <c r="GP23" s="33"/>
      <c r="GQ23" s="33"/>
      <c r="GR23" s="325"/>
      <c r="GS23" s="143"/>
      <c r="GT23" s="140"/>
      <c r="GU23" s="139"/>
      <c r="GV23" s="139"/>
      <c r="GW23" s="139"/>
      <c r="GX23" s="139"/>
      <c r="GY23" s="139"/>
      <c r="GZ23" s="139"/>
      <c r="HA23" s="190"/>
      <c r="HB23" s="139"/>
      <c r="HC23" s="110"/>
      <c r="HD23" s="110"/>
      <c r="HE23" s="110"/>
      <c r="HF23" s="110"/>
      <c r="HG23" s="24"/>
      <c r="HH23" s="24"/>
      <c r="HI23" s="24"/>
      <c r="HJ23" s="24"/>
      <c r="HK23" s="24"/>
      <c r="HL23" s="24"/>
      <c r="HM23" s="24"/>
      <c r="HO23" s="24"/>
      <c r="HZ23" s="315"/>
    </row>
    <row r="24" spans="1:257" ht="20" thickBot="1" x14ac:dyDescent="0.3">
      <c r="A24" s="139"/>
      <c r="B24" s="139"/>
      <c r="C24" s="143"/>
      <c r="D24" s="308"/>
      <c r="E24" s="130"/>
      <c r="F24" s="113"/>
      <c r="G24" s="131"/>
      <c r="H24" s="113"/>
      <c r="I24" s="122"/>
      <c r="J24" s="131"/>
      <c r="K24" s="113"/>
      <c r="L24" s="113"/>
      <c r="M24" s="131"/>
      <c r="N24" s="113"/>
      <c r="O24" s="310">
        <f>K21/M21</f>
        <v>0.61403508771929827</v>
      </c>
      <c r="P24" s="131"/>
      <c r="Q24" s="113"/>
      <c r="R24" s="113"/>
      <c r="S24" s="131"/>
      <c r="T24" s="113"/>
      <c r="U24" s="310">
        <f>Q21/S21</f>
        <v>0.32653061224489793</v>
      </c>
      <c r="V24" s="131"/>
      <c r="W24" s="113"/>
      <c r="X24" s="113"/>
      <c r="Y24" s="131"/>
      <c r="Z24" s="113"/>
      <c r="AA24" s="310">
        <f>(W21/Y21)*1.5</f>
        <v>0.58280254777070062</v>
      </c>
      <c r="AB24" s="132"/>
      <c r="AC24" s="330"/>
      <c r="AD24" s="113"/>
      <c r="AE24" s="295"/>
      <c r="AF24" s="143"/>
      <c r="AG24" s="130"/>
      <c r="AH24" s="113"/>
      <c r="AI24" s="131"/>
      <c r="AJ24" s="113"/>
      <c r="AK24" s="392">
        <f>AG21/AI21</f>
        <v>0.44905660377358492</v>
      </c>
      <c r="AL24" s="131"/>
      <c r="AM24" s="113"/>
      <c r="AN24" s="113"/>
      <c r="AO24" s="131"/>
      <c r="AP24" s="113"/>
      <c r="AQ24" s="122"/>
      <c r="AR24" s="132"/>
      <c r="AS24" s="113"/>
      <c r="AT24" s="113"/>
      <c r="AU24" s="131"/>
      <c r="AV24" s="113"/>
      <c r="AW24" s="122"/>
      <c r="AX24" s="132"/>
      <c r="AY24" s="113"/>
      <c r="AZ24" s="113"/>
      <c r="BA24" s="131"/>
      <c r="BB24" s="113"/>
      <c r="BC24" s="122"/>
      <c r="BD24" s="132"/>
      <c r="BE24" s="113"/>
      <c r="BF24" s="113"/>
      <c r="BG24" s="133"/>
      <c r="BH24" s="145"/>
      <c r="BI24" s="130"/>
      <c r="BJ24" s="113"/>
      <c r="BK24" s="131"/>
      <c r="BL24" s="113"/>
      <c r="BM24" s="392">
        <f>BI21/BK21</f>
        <v>0.50909090909090904</v>
      </c>
      <c r="BN24" s="131"/>
      <c r="BO24" s="113"/>
      <c r="BP24" s="113"/>
      <c r="BQ24" s="131"/>
      <c r="BR24" s="113"/>
      <c r="BS24" s="122"/>
      <c r="BT24" s="132"/>
      <c r="BU24" s="113"/>
      <c r="BV24" s="113"/>
      <c r="BW24" s="131"/>
      <c r="BX24" s="113"/>
      <c r="BY24" s="122"/>
      <c r="BZ24" s="132"/>
      <c r="CA24" s="113"/>
      <c r="CB24" s="113"/>
      <c r="CC24" s="131"/>
      <c r="CD24" s="113"/>
      <c r="CE24" s="122"/>
      <c r="CF24" s="131"/>
      <c r="CG24" s="113"/>
      <c r="CH24" s="113"/>
      <c r="CI24" s="133"/>
      <c r="CJ24" s="140"/>
      <c r="CK24" s="148"/>
      <c r="CL24" s="148"/>
      <c r="CM24" s="148"/>
      <c r="CN24" s="148"/>
      <c r="CO24" s="140"/>
      <c r="CP24" s="140"/>
      <c r="CQ24" s="140"/>
      <c r="CR24" s="148"/>
      <c r="CS24" s="148"/>
      <c r="CT24" s="140"/>
      <c r="CU24" s="140"/>
      <c r="CV24" s="554" t="s">
        <v>182</v>
      </c>
      <c r="CW24" s="555"/>
      <c r="CX24" s="373">
        <v>0.53</v>
      </c>
      <c r="CY24" s="374">
        <v>0.17</v>
      </c>
      <c r="CZ24" s="374">
        <v>0.27</v>
      </c>
      <c r="DA24" s="375">
        <v>0.33</v>
      </c>
      <c r="DB24" s="147"/>
      <c r="DC24" s="147"/>
      <c r="DH24" s="8"/>
      <c r="DS24" s="10"/>
      <c r="DT24" s="10"/>
      <c r="EG24" s="37"/>
      <c r="EX24" s="6"/>
      <c r="EY24" s="6"/>
      <c r="EZ24" s="6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388" t="s">
        <v>185</v>
      </c>
      <c r="GD24" s="373">
        <v>0.53</v>
      </c>
      <c r="GE24" s="374">
        <v>0.17</v>
      </c>
      <c r="GF24" s="374">
        <v>0.28000000000000003</v>
      </c>
      <c r="GG24" s="375">
        <v>0.33</v>
      </c>
      <c r="GH24" s="139"/>
      <c r="GI24" s="139"/>
      <c r="GL24" s="33"/>
      <c r="GM24" s="33"/>
      <c r="GN24" s="362"/>
      <c r="GO24" s="362"/>
      <c r="GP24" s="362"/>
      <c r="GQ24" s="33"/>
      <c r="GR24" s="325"/>
      <c r="GS24" s="12"/>
      <c r="HZ24" s="315"/>
    </row>
    <row r="25" spans="1:257" x14ac:dyDescent="0.2">
      <c r="C25" s="12" t="s">
        <v>73</v>
      </c>
      <c r="D25" s="308">
        <f>SUM(Start:Stop!D25)</f>
        <v>355.87666666666667</v>
      </c>
      <c r="E25" s="249">
        <f>SUM(Start:Stop!E25)</f>
        <v>70</v>
      </c>
      <c r="F25" s="228" t="s">
        <v>52</v>
      </c>
      <c r="G25" s="251">
        <f>SUM(Start:Stop!G25)</f>
        <v>170</v>
      </c>
      <c r="H25" s="228" t="s">
        <v>53</v>
      </c>
      <c r="I25" s="250">
        <f>SUM(Start:Stop!I25)</f>
        <v>46</v>
      </c>
      <c r="J25" s="251" t="s">
        <v>54</v>
      </c>
      <c r="K25" s="228">
        <f>SUM(Start:Stop!K25)</f>
        <v>31</v>
      </c>
      <c r="L25" s="250" t="s">
        <v>52</v>
      </c>
      <c r="M25" s="251">
        <f>SUM(Start:Stop!M25)</f>
        <v>59</v>
      </c>
      <c r="N25" s="228" t="s">
        <v>53</v>
      </c>
      <c r="O25" s="250">
        <f>SUM(Start:Stop!O25)</f>
        <v>16</v>
      </c>
      <c r="P25" s="251" t="s">
        <v>54</v>
      </c>
      <c r="Q25" s="228">
        <f>SUM(Start:Stop!Q25)</f>
        <v>6</v>
      </c>
      <c r="R25" s="250" t="s">
        <v>52</v>
      </c>
      <c r="S25" s="251">
        <f>SUM(Start:Stop!S25)</f>
        <v>23</v>
      </c>
      <c r="T25" s="228" t="s">
        <v>53</v>
      </c>
      <c r="U25" s="250">
        <f>SUM(Start:Stop!U25)</f>
        <v>1</v>
      </c>
      <c r="V25" s="251" t="s">
        <v>54</v>
      </c>
      <c r="W25" s="228">
        <f>SUM(Start:Stop!W25)</f>
        <v>33</v>
      </c>
      <c r="X25" s="228" t="s">
        <v>52</v>
      </c>
      <c r="Y25" s="251">
        <f>SUM(Start:Stop!Y25)</f>
        <v>88</v>
      </c>
      <c r="Z25" s="228" t="s">
        <v>53</v>
      </c>
      <c r="AA25" s="250">
        <f>SUM(Start:Stop!AA25)</f>
        <v>29</v>
      </c>
      <c r="AB25" s="251" t="s">
        <v>54</v>
      </c>
      <c r="AC25" s="331">
        <f>SUM(Start:Stop!AC25)</f>
        <v>20.55</v>
      </c>
      <c r="AD25" s="250" t="s">
        <v>52</v>
      </c>
      <c r="AE25" s="252">
        <f>SUM(Start:Stop!AE25)</f>
        <v>27</v>
      </c>
      <c r="AF25" s="228"/>
      <c r="AG25" s="249">
        <f>SUM(Start:Stop!AG25)</f>
        <v>56</v>
      </c>
      <c r="AH25" s="228" t="s">
        <v>52</v>
      </c>
      <c r="AI25" s="251">
        <f>SUM(Start:Stop!AI25)</f>
        <v>137</v>
      </c>
      <c r="AJ25" s="228" t="s">
        <v>53</v>
      </c>
      <c r="AK25" s="250">
        <f>SUM(Start:Stop!AK25)</f>
        <v>38</v>
      </c>
      <c r="AL25" s="251" t="s">
        <v>54</v>
      </c>
      <c r="AM25" s="228">
        <f>SUM(Start:Stop!AM25)</f>
        <v>23</v>
      </c>
      <c r="AN25" s="228" t="s">
        <v>52</v>
      </c>
      <c r="AO25" s="251">
        <f>SUM(Start:Stop!AO25)</f>
        <v>42</v>
      </c>
      <c r="AP25" s="228" t="s">
        <v>53</v>
      </c>
      <c r="AQ25" s="250">
        <f>SUM(Start:Stop!AQ25)</f>
        <v>12</v>
      </c>
      <c r="AR25" s="251" t="s">
        <v>54</v>
      </c>
      <c r="AS25" s="228">
        <f>SUM(Start:Stop!AS25)</f>
        <v>6</v>
      </c>
      <c r="AT25" s="228" t="s">
        <v>52</v>
      </c>
      <c r="AU25" s="251">
        <f>SUM(Start:Stop!AU25)</f>
        <v>22</v>
      </c>
      <c r="AV25" s="228" t="s">
        <v>53</v>
      </c>
      <c r="AW25" s="250">
        <f>SUM(Start:Stop!AW25)</f>
        <v>1</v>
      </c>
      <c r="AX25" s="251" t="s">
        <v>54</v>
      </c>
      <c r="AY25" s="228">
        <f>SUM(Start:Stop!AY25)</f>
        <v>27</v>
      </c>
      <c r="AZ25" s="228" t="s">
        <v>52</v>
      </c>
      <c r="BA25" s="251">
        <f>SUM(Start:Stop!BA25)</f>
        <v>73</v>
      </c>
      <c r="BB25" s="228" t="s">
        <v>53</v>
      </c>
      <c r="BC25" s="250">
        <f>SUM(Start:Stop!BC25)</f>
        <v>25</v>
      </c>
      <c r="BD25" s="251" t="s">
        <v>54</v>
      </c>
      <c r="BE25" s="228">
        <f>SUM(Start:Stop!BE25)</f>
        <v>0</v>
      </c>
      <c r="BF25" s="228" t="s">
        <v>52</v>
      </c>
      <c r="BG25" s="252">
        <f>SUM(Start:Stop!BG25)</f>
        <v>0</v>
      </c>
      <c r="BH25" s="228"/>
      <c r="BI25" s="249">
        <f>SUM(Start:Stop!BI25)</f>
        <v>14</v>
      </c>
      <c r="BJ25" s="250" t="s">
        <v>52</v>
      </c>
      <c r="BK25" s="251">
        <f>SUM(Start:Stop!BK25)</f>
        <v>33</v>
      </c>
      <c r="BL25" s="228" t="s">
        <v>53</v>
      </c>
      <c r="BM25" s="250">
        <f>SUM(Start:Stop!BM25)</f>
        <v>8</v>
      </c>
      <c r="BN25" s="251" t="s">
        <v>54</v>
      </c>
      <c r="BO25" s="228">
        <f>SUM(Start:Stop!BO25)</f>
        <v>8</v>
      </c>
      <c r="BP25" s="250" t="s">
        <v>52</v>
      </c>
      <c r="BQ25" s="251">
        <f>SUM(Start:Stop!BQ25)</f>
        <v>17</v>
      </c>
      <c r="BR25" s="228" t="s">
        <v>53</v>
      </c>
      <c r="BS25" s="250">
        <f>SUM(Start:Stop!BS25)</f>
        <v>4</v>
      </c>
      <c r="BT25" s="251" t="s">
        <v>54</v>
      </c>
      <c r="BU25" s="228">
        <f>SUM(Start:Stop!BU25)</f>
        <v>0</v>
      </c>
      <c r="BV25" s="250" t="s">
        <v>52</v>
      </c>
      <c r="BW25" s="251">
        <f>SUM(Start:Stop!BW25)</f>
        <v>1</v>
      </c>
      <c r="BX25" s="228" t="s">
        <v>53</v>
      </c>
      <c r="BY25" s="250">
        <f>SUM(Start:Stop!BY25)</f>
        <v>0</v>
      </c>
      <c r="BZ25" s="251" t="s">
        <v>54</v>
      </c>
      <c r="CA25" s="228">
        <f>SUM(Start:Stop!CA25)</f>
        <v>6</v>
      </c>
      <c r="CB25" s="250" t="s">
        <v>52</v>
      </c>
      <c r="CC25" s="251">
        <f>SUM(Start:Stop!CC25)</f>
        <v>15</v>
      </c>
      <c r="CD25" s="228" t="s">
        <v>53</v>
      </c>
      <c r="CE25" s="250">
        <f>SUM(Start:Stop!CE25)</f>
        <v>4</v>
      </c>
      <c r="CF25" s="251" t="s">
        <v>54</v>
      </c>
      <c r="CG25" s="228">
        <f>SUM(Start:Stop!CG25)</f>
        <v>0</v>
      </c>
      <c r="CH25" s="250" t="s">
        <v>52</v>
      </c>
      <c r="CI25" s="252">
        <f>SUM(Start:Stop!CI25)</f>
        <v>0</v>
      </c>
      <c r="CJ25" s="250">
        <f>SUM(Start:Stop!CJ25)</f>
        <v>22</v>
      </c>
      <c r="CK25" s="250">
        <f>SUM(Start:Stop!CK25)</f>
        <v>61</v>
      </c>
      <c r="CL25" s="250">
        <f>SUM(Start:Stop!CL25)</f>
        <v>0</v>
      </c>
      <c r="CM25" s="250">
        <f>SUM(Start:Stop!CM25)</f>
        <v>0</v>
      </c>
      <c r="CN25" s="250">
        <f>SUM(Start:Stop!CN25)</f>
        <v>83</v>
      </c>
      <c r="CO25" s="250">
        <f>SUM(Start:Stop!CO25)</f>
        <v>46</v>
      </c>
      <c r="CP25" s="250">
        <f>SUM(Start:Stop!CP25)</f>
        <v>62</v>
      </c>
      <c r="CQ25" s="250">
        <f>SUM(Start:Stop!CQ25)</f>
        <v>16</v>
      </c>
      <c r="CR25" s="250">
        <f>SUM(Start:Stop!CR25)</f>
        <v>27</v>
      </c>
      <c r="CS25" s="250">
        <f>SUM(Start:Stop!CS25)</f>
        <v>26</v>
      </c>
      <c r="CT25" s="250">
        <f>SUM(Start:Stop!CT25)</f>
        <v>27</v>
      </c>
      <c r="CU25" s="250">
        <f>SUM(Start:Stop!CU25)</f>
        <v>8</v>
      </c>
      <c r="CV25" s="360">
        <f>SUM(Start:Stop!CV25)</f>
        <v>193.55</v>
      </c>
      <c r="CW25" s="33"/>
      <c r="CX25" s="4"/>
      <c r="CY25" s="4"/>
      <c r="CZ25" s="4"/>
      <c r="DA25" s="4"/>
      <c r="DB25" s="8"/>
      <c r="DC25" s="8"/>
      <c r="DE25" s="23"/>
      <c r="DH25" s="8"/>
      <c r="DS25" s="10"/>
      <c r="DT25" s="10"/>
      <c r="EF25" s="12" t="s">
        <v>73</v>
      </c>
      <c r="EG25" s="37">
        <f>SUM(Start:Stop!EG25)</f>
        <v>175.94012418592976</v>
      </c>
      <c r="EW25" s="12" t="s">
        <v>73</v>
      </c>
      <c r="EX25" s="6">
        <f>SUM(Start:Stop!EX25)</f>
        <v>20.55</v>
      </c>
      <c r="EY25" s="6">
        <f>SUM(Start:Stop!EY25)</f>
        <v>27</v>
      </c>
      <c r="EZ25" s="6">
        <f>SUM(Start:Stop!EZ25)</f>
        <v>78.159666666666666</v>
      </c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40"/>
      <c r="GG25" s="139"/>
      <c r="GH25" s="139"/>
      <c r="GL25" s="33"/>
      <c r="GM25" s="42"/>
      <c r="GN25" s="363"/>
      <c r="GO25" s="363"/>
      <c r="GP25" s="363"/>
      <c r="GQ25" s="33"/>
      <c r="GR25" s="325"/>
      <c r="GS25" s="12"/>
      <c r="HZ25" s="315"/>
    </row>
    <row r="26" spans="1:257" x14ac:dyDescent="0.2">
      <c r="C26" s="228" t="s">
        <v>74</v>
      </c>
      <c r="D26" s="308">
        <f>SUM(Start:Stop!D26)</f>
        <v>355.87666666666667</v>
      </c>
      <c r="E26" s="249">
        <f>SUM(Start:Stop!E26)</f>
        <v>82</v>
      </c>
      <c r="F26" s="228" t="s">
        <v>52</v>
      </c>
      <c r="G26" s="251">
        <f>SUM(Start:Stop!G26)</f>
        <v>168</v>
      </c>
      <c r="H26" s="228" t="s">
        <v>53</v>
      </c>
      <c r="I26" s="250">
        <f>SUM(Start:Stop!I26)</f>
        <v>46</v>
      </c>
      <c r="J26" s="251" t="s">
        <v>54</v>
      </c>
      <c r="K26" s="228">
        <f>SUM(Start:Stop!K26)</f>
        <v>39</v>
      </c>
      <c r="L26" s="250" t="s">
        <v>52</v>
      </c>
      <c r="M26" s="251">
        <f>SUM(Start:Stop!M26)</f>
        <v>60</v>
      </c>
      <c r="N26" s="228" t="s">
        <v>53</v>
      </c>
      <c r="O26" s="250">
        <f>SUM(Start:Stop!O26)</f>
        <v>18</v>
      </c>
      <c r="P26" s="251" t="s">
        <v>54</v>
      </c>
      <c r="Q26" s="228">
        <f>SUM(Start:Stop!Q26)</f>
        <v>11</v>
      </c>
      <c r="R26" s="250" t="s">
        <v>52</v>
      </c>
      <c r="S26" s="251">
        <f>SUM(Start:Stop!S26)</f>
        <v>28</v>
      </c>
      <c r="T26" s="228" t="s">
        <v>53</v>
      </c>
      <c r="U26" s="250">
        <f>SUM(Start:Stop!U26)</f>
        <v>1</v>
      </c>
      <c r="V26" s="251" t="s">
        <v>54</v>
      </c>
      <c r="W26" s="228">
        <f>SUM(Start:Stop!W26)</f>
        <v>32</v>
      </c>
      <c r="X26" s="228" t="s">
        <v>52</v>
      </c>
      <c r="Y26" s="251">
        <f>SUM(Start:Stop!Y26)</f>
        <v>80</v>
      </c>
      <c r="Z26" s="228" t="s">
        <v>53</v>
      </c>
      <c r="AA26" s="250">
        <f>SUM(Start:Stop!AA26)</f>
        <v>27</v>
      </c>
      <c r="AB26" s="251" t="s">
        <v>54</v>
      </c>
      <c r="AC26" s="331">
        <f>SUM(Start:Stop!AC26)</f>
        <v>17.600000000000001</v>
      </c>
      <c r="AD26" s="250" t="s">
        <v>52</v>
      </c>
      <c r="AE26" s="252">
        <f>SUM(Start:Stop!AE26)</f>
        <v>23</v>
      </c>
      <c r="AF26" s="228"/>
      <c r="AG26" s="249">
        <f>SUM(Start:Stop!AG26)</f>
        <v>70</v>
      </c>
      <c r="AH26" s="228" t="s">
        <v>52</v>
      </c>
      <c r="AI26" s="251">
        <f>SUM(Start:Stop!AI26)</f>
        <v>142</v>
      </c>
      <c r="AJ26" s="228" t="s">
        <v>53</v>
      </c>
      <c r="AK26" s="250">
        <f>SUM(Start:Stop!AK26)</f>
        <v>41</v>
      </c>
      <c r="AL26" s="251" t="s">
        <v>54</v>
      </c>
      <c r="AM26" s="228">
        <f>SUM(Start:Stop!AM26)</f>
        <v>33</v>
      </c>
      <c r="AN26" s="228" t="s">
        <v>52</v>
      </c>
      <c r="AO26" s="251">
        <f>SUM(Start:Stop!AO26)</f>
        <v>51</v>
      </c>
      <c r="AP26" s="228" t="s">
        <v>53</v>
      </c>
      <c r="AQ26" s="250">
        <f>SUM(Start:Stop!AQ26)</f>
        <v>16</v>
      </c>
      <c r="AR26" s="251" t="s">
        <v>54</v>
      </c>
      <c r="AS26" s="228">
        <f>SUM(Start:Stop!AS26)</f>
        <v>11</v>
      </c>
      <c r="AT26" s="228" t="s">
        <v>52</v>
      </c>
      <c r="AU26" s="251">
        <f>SUM(Start:Stop!AU26)</f>
        <v>27</v>
      </c>
      <c r="AV26" s="228" t="s">
        <v>53</v>
      </c>
      <c r="AW26" s="250">
        <f>SUM(Start:Stop!AW26)</f>
        <v>1</v>
      </c>
      <c r="AX26" s="251" t="s">
        <v>54</v>
      </c>
      <c r="AY26" s="228">
        <f>SUM(Start:Stop!AY26)</f>
        <v>26</v>
      </c>
      <c r="AZ26" s="228" t="s">
        <v>52</v>
      </c>
      <c r="BA26" s="251">
        <f>SUM(Start:Stop!BA26)</f>
        <v>64</v>
      </c>
      <c r="BB26" s="228" t="s">
        <v>53</v>
      </c>
      <c r="BC26" s="250">
        <f>SUM(Start:Stop!BC26)</f>
        <v>24</v>
      </c>
      <c r="BD26" s="251" t="s">
        <v>54</v>
      </c>
      <c r="BE26" s="228">
        <f>SUM(Start:Stop!BE26)</f>
        <v>0</v>
      </c>
      <c r="BF26" s="228" t="s">
        <v>52</v>
      </c>
      <c r="BG26" s="252">
        <f>SUM(Start:Stop!BG26)</f>
        <v>0</v>
      </c>
      <c r="BH26" s="228"/>
      <c r="BI26" s="249">
        <f>SUM(Start:Stop!BI26)</f>
        <v>12</v>
      </c>
      <c r="BJ26" s="250" t="s">
        <v>52</v>
      </c>
      <c r="BK26" s="251">
        <f>SUM(Start:Stop!BK26)</f>
        <v>26</v>
      </c>
      <c r="BL26" s="228" t="s">
        <v>53</v>
      </c>
      <c r="BM26" s="250">
        <f>SUM(Start:Stop!BM26)</f>
        <v>5</v>
      </c>
      <c r="BN26" s="251" t="s">
        <v>54</v>
      </c>
      <c r="BO26" s="228">
        <f>SUM(Start:Stop!BO26)</f>
        <v>6</v>
      </c>
      <c r="BP26" s="250" t="s">
        <v>52</v>
      </c>
      <c r="BQ26" s="251">
        <f>SUM(Start:Stop!BQ26)</f>
        <v>9</v>
      </c>
      <c r="BR26" s="228" t="s">
        <v>53</v>
      </c>
      <c r="BS26" s="250">
        <f>SUM(Start:Stop!BS26)</f>
        <v>2</v>
      </c>
      <c r="BT26" s="251" t="s">
        <v>54</v>
      </c>
      <c r="BU26" s="228">
        <f>SUM(Start:Stop!BU26)</f>
        <v>0</v>
      </c>
      <c r="BV26" s="250" t="s">
        <v>52</v>
      </c>
      <c r="BW26" s="251">
        <f>SUM(Start:Stop!BW26)</f>
        <v>1</v>
      </c>
      <c r="BX26" s="228" t="s">
        <v>53</v>
      </c>
      <c r="BY26" s="250">
        <f>SUM(Start:Stop!BY26)</f>
        <v>0</v>
      </c>
      <c r="BZ26" s="251" t="s">
        <v>54</v>
      </c>
      <c r="CA26" s="228">
        <f>SUM(Start:Stop!CA26)</f>
        <v>6</v>
      </c>
      <c r="CB26" s="250" t="s">
        <v>52</v>
      </c>
      <c r="CC26" s="251">
        <f>SUM(Start:Stop!CC26)</f>
        <v>16</v>
      </c>
      <c r="CD26" s="228" t="s">
        <v>53</v>
      </c>
      <c r="CE26" s="250">
        <f>SUM(Start:Stop!CE26)</f>
        <v>3</v>
      </c>
      <c r="CF26" s="251" t="s">
        <v>54</v>
      </c>
      <c r="CG26" s="228">
        <f>SUM(Start:Stop!CG26)</f>
        <v>0</v>
      </c>
      <c r="CH26" s="250" t="s">
        <v>52</v>
      </c>
      <c r="CI26" s="252">
        <f>SUM(Start:Stop!CI26)</f>
        <v>0</v>
      </c>
      <c r="CJ26" s="250">
        <f>SUM(Start:Stop!CJ26)</f>
        <v>12</v>
      </c>
      <c r="CK26" s="250">
        <f>SUM(Start:Stop!CK26)</f>
        <v>63</v>
      </c>
      <c r="CL26" s="250">
        <f>SUM(Start:Stop!CL26)</f>
        <v>0</v>
      </c>
      <c r="CM26" s="250">
        <f>SUM(Start:Stop!CM26)</f>
        <v>0</v>
      </c>
      <c r="CN26" s="250">
        <f>SUM(Start:Stop!CN26)</f>
        <v>75</v>
      </c>
      <c r="CO26" s="250">
        <f>SUM(Start:Stop!CO26)</f>
        <v>46</v>
      </c>
      <c r="CP26" s="250">
        <f>SUM(Start:Stop!CP26)</f>
        <v>53</v>
      </c>
      <c r="CQ26" s="250">
        <f>SUM(Start:Stop!CQ26)</f>
        <v>20</v>
      </c>
      <c r="CR26" s="250">
        <f>SUM(Start:Stop!CR26)</f>
        <v>23</v>
      </c>
      <c r="CS26" s="250">
        <f>SUM(Start:Stop!CS26)</f>
        <v>21</v>
      </c>
      <c r="CT26" s="250">
        <f>SUM(Start:Stop!CT26)</f>
        <v>30</v>
      </c>
      <c r="CU26" s="250">
        <f>SUM(Start:Stop!CU26)</f>
        <v>6</v>
      </c>
      <c r="CV26" s="360">
        <f>SUM(Start:Stop!CV26)</f>
        <v>213.60000000000002</v>
      </c>
      <c r="CW26" s="33"/>
      <c r="CX26" s="4" t="s">
        <v>158</v>
      </c>
      <c r="CY26" s="4" t="s">
        <v>159</v>
      </c>
      <c r="CZ26" s="4" t="s">
        <v>160</v>
      </c>
      <c r="DA26" s="4" t="s">
        <v>161</v>
      </c>
      <c r="DB26" s="8" t="s">
        <v>162</v>
      </c>
      <c r="DC26" s="8"/>
      <c r="DE26" s="23"/>
      <c r="DH26" s="8"/>
      <c r="DS26" s="10"/>
      <c r="DT26" s="10"/>
      <c r="EF26" s="228" t="s">
        <v>74</v>
      </c>
      <c r="EG26" s="37">
        <f>SUM(Start:Stop!EG26)</f>
        <v>189.36848857630838</v>
      </c>
      <c r="EW26" s="228" t="s">
        <v>74</v>
      </c>
      <c r="EX26" s="6">
        <f>SUM(Start:Stop!EX26)</f>
        <v>17.600000000000001</v>
      </c>
      <c r="EY26" s="6">
        <f>SUM(Start:Stop!EY26)</f>
        <v>23</v>
      </c>
      <c r="EZ26" s="6">
        <f>SUM(Start:Stop!EZ26)</f>
        <v>88.679583333333341</v>
      </c>
      <c r="GL26" s="33"/>
      <c r="GM26" s="42"/>
      <c r="GN26" s="363"/>
      <c r="GO26" s="363"/>
      <c r="GP26" s="363"/>
      <c r="GQ26" s="33"/>
      <c r="GR26" s="325"/>
      <c r="GS26" s="12"/>
    </row>
    <row r="27" spans="1:257" x14ac:dyDescent="0.2">
      <c r="C27" s="228" t="s">
        <v>75</v>
      </c>
      <c r="D27" s="308">
        <f>SUM(Start:Stop!D27)</f>
        <v>355.87666666666667</v>
      </c>
      <c r="E27" s="249">
        <f>SUM(Start:Stop!E27)</f>
        <v>71</v>
      </c>
      <c r="F27" s="228" t="s">
        <v>52</v>
      </c>
      <c r="G27" s="251">
        <f>SUM(Start:Stop!G27)</f>
        <v>158</v>
      </c>
      <c r="H27" s="228" t="s">
        <v>53</v>
      </c>
      <c r="I27" s="250">
        <f>SUM(Start:Stop!I27)</f>
        <v>47</v>
      </c>
      <c r="J27" s="251" t="s">
        <v>54</v>
      </c>
      <c r="K27" s="228">
        <f>SUM(Start:Stop!K27)</f>
        <v>31</v>
      </c>
      <c r="L27" s="250" t="s">
        <v>52</v>
      </c>
      <c r="M27" s="251">
        <f>SUM(Start:Stop!M27)</f>
        <v>47</v>
      </c>
      <c r="N27" s="228" t="s">
        <v>53</v>
      </c>
      <c r="O27" s="250">
        <f>SUM(Start:Stop!O27)</f>
        <v>17</v>
      </c>
      <c r="P27" s="251" t="s">
        <v>54</v>
      </c>
      <c r="Q27" s="228">
        <f>SUM(Start:Stop!Q27)</f>
        <v>9</v>
      </c>
      <c r="R27" s="250" t="s">
        <v>52</v>
      </c>
      <c r="S27" s="251">
        <f>SUM(Start:Stop!S27)</f>
        <v>27</v>
      </c>
      <c r="T27" s="228" t="s">
        <v>53</v>
      </c>
      <c r="U27" s="250">
        <f>SUM(Start:Stop!U27)</f>
        <v>1</v>
      </c>
      <c r="V27" s="251" t="s">
        <v>54</v>
      </c>
      <c r="W27" s="228">
        <f>SUM(Start:Stop!W27)</f>
        <v>31</v>
      </c>
      <c r="X27" s="228" t="s">
        <v>52</v>
      </c>
      <c r="Y27" s="251">
        <f>SUM(Start:Stop!Y27)</f>
        <v>84</v>
      </c>
      <c r="Z27" s="228" t="s">
        <v>53</v>
      </c>
      <c r="AA27" s="250">
        <f>SUM(Start:Stop!AA27)</f>
        <v>29</v>
      </c>
      <c r="AB27" s="251" t="s">
        <v>54</v>
      </c>
      <c r="AC27" s="331">
        <f>SUM(Start:Stop!AC27)</f>
        <v>16.2</v>
      </c>
      <c r="AD27" s="250" t="s">
        <v>52</v>
      </c>
      <c r="AE27" s="252">
        <f>SUM(Start:Stop!AE27)</f>
        <v>21</v>
      </c>
      <c r="AF27" s="228"/>
      <c r="AG27" s="249">
        <f>SUM(Start:Stop!AG27)</f>
        <v>59</v>
      </c>
      <c r="AH27" s="228" t="s">
        <v>52</v>
      </c>
      <c r="AI27" s="251">
        <f>SUM(Start:Stop!AI27)</f>
        <v>135</v>
      </c>
      <c r="AJ27" s="228" t="s">
        <v>53</v>
      </c>
      <c r="AK27" s="250">
        <f>SUM(Start:Stop!AK27)</f>
        <v>40</v>
      </c>
      <c r="AL27" s="251" t="s">
        <v>54</v>
      </c>
      <c r="AM27" s="228">
        <f>SUM(Start:Stop!AM27)</f>
        <v>24</v>
      </c>
      <c r="AN27" s="228" t="s">
        <v>52</v>
      </c>
      <c r="AO27" s="251">
        <f>SUM(Start:Stop!AO27)</f>
        <v>37</v>
      </c>
      <c r="AP27" s="228" t="s">
        <v>53</v>
      </c>
      <c r="AQ27" s="250">
        <f>SUM(Start:Stop!AQ27)</f>
        <v>14</v>
      </c>
      <c r="AR27" s="251" t="s">
        <v>54</v>
      </c>
      <c r="AS27" s="228">
        <f>SUM(Start:Stop!AS27)</f>
        <v>9</v>
      </c>
      <c r="AT27" s="228" t="s">
        <v>52</v>
      </c>
      <c r="AU27" s="251">
        <f>SUM(Start:Stop!AU27)</f>
        <v>27</v>
      </c>
      <c r="AV27" s="228" t="s">
        <v>53</v>
      </c>
      <c r="AW27" s="250">
        <f>SUM(Start:Stop!AW27)</f>
        <v>1</v>
      </c>
      <c r="AX27" s="251" t="s">
        <v>54</v>
      </c>
      <c r="AY27" s="228">
        <f>SUM(Start:Stop!AY27)</f>
        <v>26</v>
      </c>
      <c r="AZ27" s="228" t="s">
        <v>52</v>
      </c>
      <c r="BA27" s="251">
        <f>SUM(Start:Stop!BA27)</f>
        <v>71</v>
      </c>
      <c r="BB27" s="228" t="s">
        <v>53</v>
      </c>
      <c r="BC27" s="250">
        <f>SUM(Start:Stop!BC27)</f>
        <v>25</v>
      </c>
      <c r="BD27" s="251" t="s">
        <v>54</v>
      </c>
      <c r="BE27" s="228">
        <f>SUM(Start:Stop!BE27)</f>
        <v>0</v>
      </c>
      <c r="BF27" s="228" t="s">
        <v>52</v>
      </c>
      <c r="BG27" s="252">
        <f>SUM(Start:Stop!BG27)</f>
        <v>0</v>
      </c>
      <c r="BH27" s="228"/>
      <c r="BI27" s="249">
        <f>SUM(Start:Stop!BI27)</f>
        <v>12</v>
      </c>
      <c r="BJ27" s="250" t="s">
        <v>52</v>
      </c>
      <c r="BK27" s="251">
        <f>SUM(Start:Stop!BK27)</f>
        <v>23</v>
      </c>
      <c r="BL27" s="228" t="s">
        <v>53</v>
      </c>
      <c r="BM27" s="250">
        <f>SUM(Start:Stop!BM27)</f>
        <v>7</v>
      </c>
      <c r="BN27" s="251" t="s">
        <v>54</v>
      </c>
      <c r="BO27" s="228">
        <f>SUM(Start:Stop!BO27)</f>
        <v>7</v>
      </c>
      <c r="BP27" s="250" t="s">
        <v>52</v>
      </c>
      <c r="BQ27" s="251">
        <f>SUM(Start:Stop!BQ27)</f>
        <v>10</v>
      </c>
      <c r="BR27" s="228" t="s">
        <v>53</v>
      </c>
      <c r="BS27" s="250">
        <f>SUM(Start:Stop!BS27)</f>
        <v>3</v>
      </c>
      <c r="BT27" s="251" t="s">
        <v>54</v>
      </c>
      <c r="BU27" s="228">
        <f>SUM(Start:Stop!BU27)</f>
        <v>0</v>
      </c>
      <c r="BV27" s="250" t="s">
        <v>52</v>
      </c>
      <c r="BW27" s="251">
        <f>SUM(Start:Stop!BW27)</f>
        <v>0</v>
      </c>
      <c r="BX27" s="228" t="s">
        <v>53</v>
      </c>
      <c r="BY27" s="250">
        <f>SUM(Start:Stop!BY27)</f>
        <v>0</v>
      </c>
      <c r="BZ27" s="251" t="s">
        <v>54</v>
      </c>
      <c r="CA27" s="228">
        <f>SUM(Start:Stop!CA27)</f>
        <v>5</v>
      </c>
      <c r="CB27" s="250" t="s">
        <v>52</v>
      </c>
      <c r="CC27" s="251">
        <f>SUM(Start:Stop!CC27)</f>
        <v>13</v>
      </c>
      <c r="CD27" s="228" t="s">
        <v>53</v>
      </c>
      <c r="CE27" s="250">
        <f>SUM(Start:Stop!CE27)</f>
        <v>4</v>
      </c>
      <c r="CF27" s="251" t="s">
        <v>54</v>
      </c>
      <c r="CG27" s="228">
        <f>SUM(Start:Stop!CG27)</f>
        <v>0</v>
      </c>
      <c r="CH27" s="250" t="s">
        <v>52</v>
      </c>
      <c r="CI27" s="252">
        <f>SUM(Start:Stop!CI27)</f>
        <v>0</v>
      </c>
      <c r="CJ27" s="250">
        <f>SUM(Start:Stop!CJ27)</f>
        <v>13</v>
      </c>
      <c r="CK27" s="250">
        <f>SUM(Start:Stop!CK27)</f>
        <v>67</v>
      </c>
      <c r="CL27" s="250">
        <f>SUM(Start:Stop!CL27)</f>
        <v>0</v>
      </c>
      <c r="CM27" s="250">
        <f>SUM(Start:Stop!CM27)</f>
        <v>0</v>
      </c>
      <c r="CN27" s="250">
        <f>SUM(Start:Stop!CN27)</f>
        <v>80</v>
      </c>
      <c r="CO27" s="250">
        <f>SUM(Start:Stop!CO27)</f>
        <v>47</v>
      </c>
      <c r="CP27" s="250">
        <f>SUM(Start:Stop!CP27)</f>
        <v>54</v>
      </c>
      <c r="CQ27" s="250">
        <f>SUM(Start:Stop!CQ27)</f>
        <v>24</v>
      </c>
      <c r="CR27" s="250">
        <f>SUM(Start:Stop!CR27)</f>
        <v>21</v>
      </c>
      <c r="CS27" s="250">
        <f>SUM(Start:Stop!CS27)</f>
        <v>20</v>
      </c>
      <c r="CT27" s="250">
        <f>SUM(Start:Stop!CT27)</f>
        <v>35</v>
      </c>
      <c r="CU27" s="250">
        <f>SUM(Start:Stop!CU27)</f>
        <v>8</v>
      </c>
      <c r="CV27" s="360">
        <f>SUM(Start:Stop!CV27)</f>
        <v>189.2</v>
      </c>
      <c r="CW27" s="33"/>
      <c r="CX27" s="320">
        <f>Y21/G21</f>
        <v>0.49062499999999998</v>
      </c>
      <c r="CY27" s="320">
        <f>1-(S21/G21)</f>
        <v>0.84687500000000004</v>
      </c>
      <c r="CZ27" s="320">
        <f>CU21/(G21-Y21)</f>
        <v>7.9754601226993863E-2</v>
      </c>
      <c r="DA27" s="320">
        <f>CS21/EG21</f>
        <v>0.10359799860860942</v>
      </c>
      <c r="DB27" s="320">
        <f>CO21/E21</f>
        <v>0.60544217687074831</v>
      </c>
      <c r="DC27" s="8"/>
      <c r="DE27" s="23"/>
      <c r="DH27" s="8"/>
      <c r="DS27" s="10"/>
      <c r="DT27" s="10"/>
      <c r="EF27" s="228" t="s">
        <v>75</v>
      </c>
      <c r="EG27" s="37">
        <f>SUM(Start:Stop!EG27)</f>
        <v>181.92067643195631</v>
      </c>
      <c r="EW27" s="228" t="s">
        <v>75</v>
      </c>
      <c r="EX27" s="6">
        <f>SUM(Start:Stop!EX27)</f>
        <v>16.2</v>
      </c>
      <c r="EY27" s="6">
        <f>SUM(Start:Stop!EY27)</f>
        <v>21</v>
      </c>
      <c r="EZ27" s="6">
        <f>SUM(Start:Stop!EZ27)</f>
        <v>75.951333333333324</v>
      </c>
      <c r="FM27" s="312"/>
      <c r="GL27" s="33"/>
      <c r="GM27" s="42"/>
      <c r="GN27" s="363"/>
      <c r="GO27" s="363"/>
      <c r="GP27" s="363"/>
      <c r="GQ27" s="33"/>
      <c r="GR27" s="325"/>
      <c r="GS27" s="12"/>
    </row>
    <row r="28" spans="1:257" ht="17" thickBot="1" x14ac:dyDescent="0.25">
      <c r="C28" s="228" t="s">
        <v>76</v>
      </c>
      <c r="D28" s="308">
        <f>SUM(Start:Stop!D28)</f>
        <v>355.87666666666667</v>
      </c>
      <c r="E28" s="249">
        <f>SUM(Start:Stop!E28)</f>
        <v>62</v>
      </c>
      <c r="F28" s="228" t="s">
        <v>52</v>
      </c>
      <c r="G28" s="251">
        <f>SUM(Start:Stop!G28)</f>
        <v>155</v>
      </c>
      <c r="H28" s="228" t="s">
        <v>53</v>
      </c>
      <c r="I28" s="250">
        <f>SUM(Start:Stop!I28)</f>
        <v>42</v>
      </c>
      <c r="J28" s="251" t="s">
        <v>54</v>
      </c>
      <c r="K28" s="228">
        <f>SUM(Start:Stop!K28)</f>
        <v>23</v>
      </c>
      <c r="L28" s="250" t="s">
        <v>52</v>
      </c>
      <c r="M28" s="251">
        <f>SUM(Start:Stop!M28)</f>
        <v>42</v>
      </c>
      <c r="N28" s="228" t="s">
        <v>53</v>
      </c>
      <c r="O28" s="250">
        <f>SUM(Start:Stop!O28)</f>
        <v>11</v>
      </c>
      <c r="P28" s="251" t="s">
        <v>54</v>
      </c>
      <c r="Q28" s="228">
        <f>SUM(Start:Stop!Q28)</f>
        <v>6</v>
      </c>
      <c r="R28" s="250" t="s">
        <v>52</v>
      </c>
      <c r="S28" s="251">
        <f>SUM(Start:Stop!S28)</f>
        <v>25</v>
      </c>
      <c r="T28" s="228" t="s">
        <v>53</v>
      </c>
      <c r="U28" s="250">
        <f>SUM(Start:Stop!U28)</f>
        <v>1</v>
      </c>
      <c r="V28" s="251" t="s">
        <v>54</v>
      </c>
      <c r="W28" s="228">
        <f>SUM(Start:Stop!W28)</f>
        <v>33</v>
      </c>
      <c r="X28" s="228" t="s">
        <v>52</v>
      </c>
      <c r="Y28" s="251">
        <f>SUM(Start:Stop!Y28)</f>
        <v>88</v>
      </c>
      <c r="Z28" s="228" t="s">
        <v>53</v>
      </c>
      <c r="AA28" s="250">
        <f>SUM(Start:Stop!AA28)</f>
        <v>30</v>
      </c>
      <c r="AB28" s="251" t="s">
        <v>54</v>
      </c>
      <c r="AC28" s="331">
        <f>SUM(Start:Stop!AC28)</f>
        <v>20.65</v>
      </c>
      <c r="AD28" s="250" t="s">
        <v>52</v>
      </c>
      <c r="AE28" s="252">
        <f>SUM(Start:Stop!AE28)</f>
        <v>27</v>
      </c>
      <c r="AF28" s="228"/>
      <c r="AG28" s="249">
        <f>SUM(Start:Stop!AG28)</f>
        <v>52</v>
      </c>
      <c r="AH28" s="228" t="s">
        <v>52</v>
      </c>
      <c r="AI28" s="251">
        <f>SUM(Start:Stop!AI28)</f>
        <v>128</v>
      </c>
      <c r="AJ28" s="228" t="s">
        <v>53</v>
      </c>
      <c r="AK28" s="250">
        <f>SUM(Start:Stop!AK28)</f>
        <v>37</v>
      </c>
      <c r="AL28" s="251" t="s">
        <v>54</v>
      </c>
      <c r="AM28" s="228">
        <f>SUM(Start:Stop!AM28)</f>
        <v>18</v>
      </c>
      <c r="AN28" s="228" t="s">
        <v>52</v>
      </c>
      <c r="AO28" s="251">
        <f>SUM(Start:Stop!AO28)</f>
        <v>33</v>
      </c>
      <c r="AP28" s="228" t="s">
        <v>53</v>
      </c>
      <c r="AQ28" s="250">
        <f>SUM(Start:Stop!AQ28)</f>
        <v>9</v>
      </c>
      <c r="AR28" s="251" t="s">
        <v>54</v>
      </c>
      <c r="AS28" s="228">
        <f>SUM(Start:Stop!AS28)</f>
        <v>6</v>
      </c>
      <c r="AT28" s="228" t="s">
        <v>52</v>
      </c>
      <c r="AU28" s="251">
        <f>SUM(Start:Stop!AU28)</f>
        <v>24</v>
      </c>
      <c r="AV28" s="228" t="s">
        <v>53</v>
      </c>
      <c r="AW28" s="250">
        <f>SUM(Start:Stop!AW28)</f>
        <v>1</v>
      </c>
      <c r="AX28" s="251" t="s">
        <v>54</v>
      </c>
      <c r="AY28" s="228">
        <f>SUM(Start:Stop!AY28)</f>
        <v>28</v>
      </c>
      <c r="AZ28" s="228" t="s">
        <v>52</v>
      </c>
      <c r="BA28" s="251">
        <f>SUM(Start:Stop!BA28)</f>
        <v>71</v>
      </c>
      <c r="BB28" s="228" t="s">
        <v>53</v>
      </c>
      <c r="BC28" s="250">
        <f>SUM(Start:Stop!BC28)</f>
        <v>27</v>
      </c>
      <c r="BD28" s="251" t="s">
        <v>54</v>
      </c>
      <c r="BE28" s="228">
        <f>SUM(Start:Stop!BE28)</f>
        <v>0</v>
      </c>
      <c r="BF28" s="228" t="s">
        <v>52</v>
      </c>
      <c r="BG28" s="252">
        <f>SUM(Start:Stop!BG28)</f>
        <v>0</v>
      </c>
      <c r="BH28" s="228"/>
      <c r="BI28" s="249">
        <f>SUM(Start:Stop!BI28)</f>
        <v>10</v>
      </c>
      <c r="BJ28" s="250" t="s">
        <v>52</v>
      </c>
      <c r="BK28" s="251">
        <f>SUM(Start:Stop!BK28)</f>
        <v>27</v>
      </c>
      <c r="BL28" s="228" t="s">
        <v>53</v>
      </c>
      <c r="BM28" s="250">
        <f>SUM(Start:Stop!BM28)</f>
        <v>5</v>
      </c>
      <c r="BN28" s="251" t="s">
        <v>54</v>
      </c>
      <c r="BO28" s="228">
        <f>SUM(Start:Stop!BO28)</f>
        <v>5</v>
      </c>
      <c r="BP28" s="250" t="s">
        <v>52</v>
      </c>
      <c r="BQ28" s="251">
        <f>SUM(Start:Stop!BQ28)</f>
        <v>9</v>
      </c>
      <c r="BR28" s="228" t="s">
        <v>53</v>
      </c>
      <c r="BS28" s="250">
        <f>SUM(Start:Stop!BS28)</f>
        <v>2</v>
      </c>
      <c r="BT28" s="251" t="s">
        <v>54</v>
      </c>
      <c r="BU28" s="228">
        <f>SUM(Start:Stop!BU28)</f>
        <v>0</v>
      </c>
      <c r="BV28" s="250" t="s">
        <v>52</v>
      </c>
      <c r="BW28" s="251">
        <f>SUM(Start:Stop!BW28)</f>
        <v>1</v>
      </c>
      <c r="BX28" s="228" t="s">
        <v>53</v>
      </c>
      <c r="BY28" s="250">
        <f>SUM(Start:Stop!BY28)</f>
        <v>0</v>
      </c>
      <c r="BZ28" s="251" t="s">
        <v>54</v>
      </c>
      <c r="CA28" s="228">
        <f>SUM(Start:Stop!CA28)</f>
        <v>5</v>
      </c>
      <c r="CB28" s="250" t="s">
        <v>52</v>
      </c>
      <c r="CC28" s="251">
        <f>SUM(Start:Stop!CC28)</f>
        <v>17</v>
      </c>
      <c r="CD28" s="228" t="s">
        <v>53</v>
      </c>
      <c r="CE28" s="250">
        <f>SUM(Start:Stop!CE28)</f>
        <v>3</v>
      </c>
      <c r="CF28" s="251" t="s">
        <v>54</v>
      </c>
      <c r="CG28" s="228">
        <f>SUM(Start:Stop!CG28)</f>
        <v>0</v>
      </c>
      <c r="CH28" s="250" t="s">
        <v>52</v>
      </c>
      <c r="CI28" s="252">
        <f>SUM(Start:Stop!CI28)</f>
        <v>0</v>
      </c>
      <c r="CJ28" s="250">
        <f>SUM(Start:Stop!CJ28)</f>
        <v>15</v>
      </c>
      <c r="CK28" s="250">
        <f>SUM(Start:Stop!CK28)</f>
        <v>61</v>
      </c>
      <c r="CL28" s="250">
        <f>SUM(Start:Stop!CL28)</f>
        <v>0</v>
      </c>
      <c r="CM28" s="250">
        <f>SUM(Start:Stop!CM28)</f>
        <v>0</v>
      </c>
      <c r="CN28" s="250">
        <f>SUM(Start:Stop!CN28)</f>
        <v>76</v>
      </c>
      <c r="CO28" s="250">
        <f>SUM(Start:Stop!CO28)</f>
        <v>42</v>
      </c>
      <c r="CP28" s="250">
        <f>SUM(Start:Stop!CP28)</f>
        <v>58</v>
      </c>
      <c r="CQ28" s="250">
        <f>SUM(Start:Stop!CQ28)</f>
        <v>16</v>
      </c>
      <c r="CR28" s="250">
        <f>SUM(Start:Stop!CR28)</f>
        <v>27</v>
      </c>
      <c r="CS28" s="250">
        <f>SUM(Start:Stop!CS28)</f>
        <v>24</v>
      </c>
      <c r="CT28" s="250">
        <f>SUM(Start:Stop!CT28)</f>
        <v>29</v>
      </c>
      <c r="CU28" s="250">
        <f>SUM(Start:Stop!CU28)</f>
        <v>8</v>
      </c>
      <c r="CV28" s="360">
        <f>SUM(Start:Stop!CV28)</f>
        <v>177.65</v>
      </c>
      <c r="CW28" s="33"/>
      <c r="CX28" s="4"/>
      <c r="CY28" s="4"/>
      <c r="CZ28" s="4"/>
      <c r="DA28" s="4"/>
      <c r="DB28" s="59"/>
      <c r="DC28" s="8"/>
      <c r="DE28" s="66"/>
      <c r="DF28" s="24"/>
      <c r="DG28" s="24"/>
      <c r="DH28" s="28"/>
      <c r="DI28" s="24"/>
      <c r="DS28" s="10"/>
      <c r="DT28" s="10"/>
      <c r="EF28" s="228" t="s">
        <v>76</v>
      </c>
      <c r="EG28" s="37">
        <f>SUM(Start:Stop!EG28)</f>
        <v>170.09714990403447</v>
      </c>
      <c r="EW28" s="228" t="s">
        <v>76</v>
      </c>
      <c r="EX28" s="6">
        <f>SUM(Start:Stop!EX28)</f>
        <v>20.65</v>
      </c>
      <c r="EY28" s="6">
        <f>SUM(Start:Stop!EY28)</f>
        <v>27</v>
      </c>
      <c r="EZ28" s="6">
        <f>SUM(Start:Stop!EZ28)</f>
        <v>70.187666666666672</v>
      </c>
      <c r="GL28" s="33"/>
      <c r="GM28" s="42"/>
      <c r="GN28" s="363"/>
      <c r="GO28" s="363"/>
      <c r="GP28" s="363"/>
      <c r="GQ28" s="33"/>
      <c r="GR28" s="325"/>
      <c r="GS28" s="12"/>
    </row>
    <row r="29" spans="1:257" x14ac:dyDescent="0.2">
      <c r="C29" s="228" t="s">
        <v>222</v>
      </c>
      <c r="D29" s="308">
        <f>SUM(Start:Stop!D29)</f>
        <v>355.87666666666667</v>
      </c>
      <c r="E29" s="249">
        <f>SUM(Start:Stop!E29)</f>
        <v>62</v>
      </c>
      <c r="F29" s="228" t="s">
        <v>52</v>
      </c>
      <c r="G29" s="251">
        <f>SUM(Start:Stop!G29)</f>
        <v>152</v>
      </c>
      <c r="H29" s="228" t="s">
        <v>53</v>
      </c>
      <c r="I29" s="250">
        <f>SUM(Start:Stop!I29)</f>
        <v>39</v>
      </c>
      <c r="J29" s="251" t="s">
        <v>54</v>
      </c>
      <c r="K29" s="228">
        <f>SUM(Start:Stop!K29)</f>
        <v>33</v>
      </c>
      <c r="L29" s="250" t="s">
        <v>52</v>
      </c>
      <c r="M29" s="251">
        <f>SUM(Start:Stop!M29)</f>
        <v>57</v>
      </c>
      <c r="N29" s="228" t="s">
        <v>53</v>
      </c>
      <c r="O29" s="250">
        <f>SUM(Start:Stop!O29)</f>
        <v>18</v>
      </c>
      <c r="P29" s="251" t="s">
        <v>54</v>
      </c>
      <c r="Q29" s="228">
        <f>SUM(Start:Stop!Q29)</f>
        <v>5</v>
      </c>
      <c r="R29" s="250" t="s">
        <v>52</v>
      </c>
      <c r="S29" s="251">
        <f>SUM(Start:Stop!S29)</f>
        <v>21</v>
      </c>
      <c r="T29" s="228" t="s">
        <v>53</v>
      </c>
      <c r="U29" s="250">
        <f>SUM(Start:Stop!U29)</f>
        <v>0</v>
      </c>
      <c r="V29" s="251" t="s">
        <v>54</v>
      </c>
      <c r="W29" s="228">
        <f>SUM(Start:Stop!W29)</f>
        <v>24</v>
      </c>
      <c r="X29" s="228" t="s">
        <v>52</v>
      </c>
      <c r="Y29" s="251">
        <f>SUM(Start:Stop!Y29)</f>
        <v>74</v>
      </c>
      <c r="Z29" s="228" t="s">
        <v>53</v>
      </c>
      <c r="AA29" s="250">
        <f>SUM(Start:Stop!AA29)</f>
        <v>21</v>
      </c>
      <c r="AB29" s="251" t="s">
        <v>54</v>
      </c>
      <c r="AC29" s="331">
        <f>SUM(Start:Stop!AC29)</f>
        <v>9.5500000000000007</v>
      </c>
      <c r="AD29" s="250" t="s">
        <v>52</v>
      </c>
      <c r="AE29" s="252">
        <f>SUM(Start:Stop!AE29)</f>
        <v>13</v>
      </c>
      <c r="AF29" s="228"/>
      <c r="AG29" s="249">
        <f>SUM(Start:Stop!AG29)</f>
        <v>44</v>
      </c>
      <c r="AH29" s="228" t="s">
        <v>52</v>
      </c>
      <c r="AI29" s="251">
        <f>SUM(Start:Stop!AI29)</f>
        <v>123</v>
      </c>
      <c r="AJ29" s="228" t="s">
        <v>53</v>
      </c>
      <c r="AK29" s="250">
        <f>SUM(Start:Stop!AK29)</f>
        <v>27</v>
      </c>
      <c r="AL29" s="251" t="s">
        <v>54</v>
      </c>
      <c r="AM29" s="228">
        <f>SUM(Start:Stop!AM29)</f>
        <v>22</v>
      </c>
      <c r="AN29" s="228" t="s">
        <v>52</v>
      </c>
      <c r="AO29" s="251">
        <f>SUM(Start:Stop!AO29)</f>
        <v>40</v>
      </c>
      <c r="AP29" s="228" t="s">
        <v>53</v>
      </c>
      <c r="AQ29" s="250">
        <f>SUM(Start:Stop!AQ29)</f>
        <v>12</v>
      </c>
      <c r="AR29" s="251" t="s">
        <v>54</v>
      </c>
      <c r="AS29" s="228">
        <f>SUM(Start:Stop!AS29)</f>
        <v>5</v>
      </c>
      <c r="AT29" s="228" t="s">
        <v>52</v>
      </c>
      <c r="AU29" s="251">
        <f>SUM(Start:Stop!AU29)</f>
        <v>21</v>
      </c>
      <c r="AV29" s="228" t="s">
        <v>53</v>
      </c>
      <c r="AW29" s="250">
        <f>SUM(Start:Stop!AW29)</f>
        <v>0</v>
      </c>
      <c r="AX29" s="251" t="s">
        <v>54</v>
      </c>
      <c r="AY29" s="228">
        <f>SUM(Start:Stop!AY29)</f>
        <v>17</v>
      </c>
      <c r="AZ29" s="228" t="s">
        <v>52</v>
      </c>
      <c r="BA29" s="251">
        <f>SUM(Start:Stop!BA29)</f>
        <v>62</v>
      </c>
      <c r="BB29" s="228" t="s">
        <v>53</v>
      </c>
      <c r="BC29" s="250">
        <f>SUM(Start:Stop!BC29)</f>
        <v>15</v>
      </c>
      <c r="BD29" s="251" t="s">
        <v>54</v>
      </c>
      <c r="BE29" s="228">
        <f>SUM(Start:Stop!BE29)</f>
        <v>0</v>
      </c>
      <c r="BF29" s="228" t="s">
        <v>52</v>
      </c>
      <c r="BG29" s="252">
        <f>SUM(Start:Stop!BG29)</f>
        <v>0</v>
      </c>
      <c r="BH29" s="228"/>
      <c r="BI29" s="249">
        <f>SUM(Start:Stop!BI29)</f>
        <v>18</v>
      </c>
      <c r="BJ29" s="250" t="s">
        <v>52</v>
      </c>
      <c r="BK29" s="251">
        <f>SUM(Start:Stop!BK29)</f>
        <v>29</v>
      </c>
      <c r="BL29" s="228" t="s">
        <v>53</v>
      </c>
      <c r="BM29" s="250">
        <f>SUM(Start:Stop!BM29)</f>
        <v>12</v>
      </c>
      <c r="BN29" s="251" t="s">
        <v>54</v>
      </c>
      <c r="BO29" s="228">
        <f>SUM(Start:Stop!BO29)</f>
        <v>11</v>
      </c>
      <c r="BP29" s="250" t="s">
        <v>52</v>
      </c>
      <c r="BQ29" s="251">
        <f>SUM(Start:Stop!BQ29)</f>
        <v>17</v>
      </c>
      <c r="BR29" s="228" t="s">
        <v>53</v>
      </c>
      <c r="BS29" s="250">
        <f>SUM(Start:Stop!BS29)</f>
        <v>6</v>
      </c>
      <c r="BT29" s="251" t="s">
        <v>54</v>
      </c>
      <c r="BU29" s="228">
        <f>SUM(Start:Stop!BU29)</f>
        <v>0</v>
      </c>
      <c r="BV29" s="250" t="s">
        <v>52</v>
      </c>
      <c r="BW29" s="251">
        <f>SUM(Start:Stop!BW29)</f>
        <v>0</v>
      </c>
      <c r="BX29" s="228" t="s">
        <v>53</v>
      </c>
      <c r="BY29" s="250">
        <f>SUM(Start:Stop!BY29)</f>
        <v>0</v>
      </c>
      <c r="BZ29" s="251" t="s">
        <v>54</v>
      </c>
      <c r="CA29" s="228">
        <f>SUM(Start:Stop!CA29)</f>
        <v>7</v>
      </c>
      <c r="CB29" s="250" t="s">
        <v>52</v>
      </c>
      <c r="CC29" s="251">
        <f>SUM(Start:Stop!CC29)</f>
        <v>12</v>
      </c>
      <c r="CD29" s="228" t="s">
        <v>53</v>
      </c>
      <c r="CE29" s="250">
        <f>SUM(Start:Stop!CE29)</f>
        <v>6</v>
      </c>
      <c r="CF29" s="251" t="s">
        <v>54</v>
      </c>
      <c r="CG29" s="228">
        <f>SUM(Start:Stop!CG29)</f>
        <v>0</v>
      </c>
      <c r="CH29" s="250" t="s">
        <v>52</v>
      </c>
      <c r="CI29" s="252">
        <f>SUM(Start:Stop!CI29)</f>
        <v>0</v>
      </c>
      <c r="CJ29" s="250">
        <f>SUM(Start:Stop!CJ29)</f>
        <v>21</v>
      </c>
      <c r="CK29" s="250">
        <f>SUM(Start:Stop!CK29)</f>
        <v>72</v>
      </c>
      <c r="CL29" s="250">
        <f>SUM(Start:Stop!CL29)</f>
        <v>0</v>
      </c>
      <c r="CM29" s="250">
        <f>SUM(Start:Stop!CM29)</f>
        <v>0</v>
      </c>
      <c r="CN29" s="250">
        <f>SUM(Start:Stop!CN29)</f>
        <v>93</v>
      </c>
      <c r="CO29" s="250">
        <f>SUM(Start:Stop!CO29)</f>
        <v>40</v>
      </c>
      <c r="CP29" s="250">
        <f>SUM(Start:Stop!CP29)</f>
        <v>44</v>
      </c>
      <c r="CQ29" s="250">
        <f>SUM(Start:Stop!CQ29)</f>
        <v>32</v>
      </c>
      <c r="CR29" s="250">
        <f>SUM(Start:Stop!CR29)</f>
        <v>13</v>
      </c>
      <c r="CS29" s="250">
        <f>SUM(Start:Stop!CS29)</f>
        <v>18</v>
      </c>
      <c r="CT29" s="250">
        <f>SUM(Start:Stop!CT29)</f>
        <v>39</v>
      </c>
      <c r="CU29" s="250">
        <f>SUM(Start:Stop!CU29)</f>
        <v>6</v>
      </c>
      <c r="CV29" s="360">
        <f>SUM(Start:Stop!CV29)</f>
        <v>157.55000000000001</v>
      </c>
      <c r="CW29" s="33"/>
      <c r="CX29" s="4"/>
      <c r="CY29" s="4"/>
      <c r="CZ29" s="4"/>
      <c r="DA29" s="33"/>
      <c r="DB29" s="28"/>
      <c r="DC29" s="28"/>
      <c r="DD29" s="24"/>
      <c r="DE29" s="507"/>
      <c r="DF29" s="107" t="s">
        <v>220</v>
      </c>
      <c r="DG29" s="508" t="s">
        <v>257</v>
      </c>
      <c r="DH29" s="509" t="s">
        <v>251</v>
      </c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36"/>
      <c r="DT29" s="36"/>
      <c r="DU29" s="24"/>
      <c r="DV29" s="24"/>
      <c r="DW29" s="24"/>
      <c r="DX29" s="24"/>
      <c r="DY29" s="24"/>
      <c r="DZ29" s="24"/>
      <c r="EA29" s="24"/>
      <c r="EF29" s="228" t="s">
        <v>222</v>
      </c>
      <c r="EG29" s="37">
        <f>SUM(Start:Stop!EG29)</f>
        <v>167.78711143653371</v>
      </c>
      <c r="EW29" s="228" t="s">
        <v>222</v>
      </c>
      <c r="EX29" s="6">
        <f>SUM(Start:Stop!EX29)</f>
        <v>9.5500000000000007</v>
      </c>
      <c r="EY29" s="6">
        <f>SUM(Start:Stop!EY29)</f>
        <v>13</v>
      </c>
      <c r="EZ29" s="6">
        <f>SUM(Start:Stop!EZ29)</f>
        <v>63.820166666666665</v>
      </c>
      <c r="GL29" s="33"/>
      <c r="GM29" s="42"/>
      <c r="GN29" s="363"/>
      <c r="GO29" s="363"/>
      <c r="GP29" s="363"/>
      <c r="GQ29" s="33"/>
      <c r="GR29" s="325"/>
      <c r="GS29" s="12"/>
    </row>
    <row r="30" spans="1:257" x14ac:dyDescent="0.2">
      <c r="C30" s="228" t="s">
        <v>77</v>
      </c>
      <c r="D30" s="308">
        <f>SUM(Start:Stop!D30)</f>
        <v>355.87666666666667</v>
      </c>
      <c r="E30" s="249">
        <f>SUM(Start:Stop!E30)</f>
        <v>77</v>
      </c>
      <c r="F30" s="228" t="s">
        <v>52</v>
      </c>
      <c r="G30" s="251">
        <f>SUM(Start:Stop!G30)</f>
        <v>150</v>
      </c>
      <c r="H30" s="228" t="s">
        <v>53</v>
      </c>
      <c r="I30" s="250">
        <f>SUM(Start:Stop!I30)</f>
        <v>42</v>
      </c>
      <c r="J30" s="251" t="s">
        <v>54</v>
      </c>
      <c r="K30" s="228">
        <f>SUM(Start:Stop!K30)</f>
        <v>39</v>
      </c>
      <c r="L30" s="250" t="s">
        <v>52</v>
      </c>
      <c r="M30" s="251">
        <f>SUM(Start:Stop!M30)</f>
        <v>55</v>
      </c>
      <c r="N30" s="228" t="s">
        <v>53</v>
      </c>
      <c r="O30" s="250">
        <f>SUM(Start:Stop!O30)</f>
        <v>17</v>
      </c>
      <c r="P30" s="251" t="s">
        <v>54</v>
      </c>
      <c r="Q30" s="228">
        <f>SUM(Start:Stop!Q30)</f>
        <v>10</v>
      </c>
      <c r="R30" s="250" t="s">
        <v>52</v>
      </c>
      <c r="S30" s="251">
        <f>SUM(Start:Stop!S30)</f>
        <v>26</v>
      </c>
      <c r="T30" s="228" t="s">
        <v>53</v>
      </c>
      <c r="U30" s="250">
        <f>SUM(Start:Stop!U30)</f>
        <v>1</v>
      </c>
      <c r="V30" s="251" t="s">
        <v>54</v>
      </c>
      <c r="W30" s="228">
        <f>SUM(Start:Stop!W30)</f>
        <v>28</v>
      </c>
      <c r="X30" s="228" t="s">
        <v>52</v>
      </c>
      <c r="Y30" s="251">
        <f>SUM(Start:Stop!Y30)</f>
        <v>69</v>
      </c>
      <c r="Z30" s="228" t="s">
        <v>53</v>
      </c>
      <c r="AA30" s="250">
        <f>SUM(Start:Stop!AA30)</f>
        <v>24</v>
      </c>
      <c r="AB30" s="251" t="s">
        <v>54</v>
      </c>
      <c r="AC30" s="331">
        <f>SUM(Start:Stop!AC30)</f>
        <v>12.5</v>
      </c>
      <c r="AD30" s="250" t="s">
        <v>52</v>
      </c>
      <c r="AE30" s="252">
        <f>SUM(Start:Stop!AE30)</f>
        <v>17</v>
      </c>
      <c r="AF30" s="228"/>
      <c r="AG30" s="249">
        <f>SUM(Start:Stop!AG30)</f>
        <v>63</v>
      </c>
      <c r="AH30" s="228" t="s">
        <v>52</v>
      </c>
      <c r="AI30" s="251">
        <f>SUM(Start:Stop!AI30)</f>
        <v>128</v>
      </c>
      <c r="AJ30" s="228" t="s">
        <v>53</v>
      </c>
      <c r="AK30" s="250">
        <f>SUM(Start:Stop!AK30)</f>
        <v>35</v>
      </c>
      <c r="AL30" s="251" t="s">
        <v>54</v>
      </c>
      <c r="AM30" s="228">
        <f>SUM(Start:Stop!AM30)</f>
        <v>31</v>
      </c>
      <c r="AN30" s="228" t="s">
        <v>52</v>
      </c>
      <c r="AO30" s="251">
        <f>SUM(Start:Stop!AO30)</f>
        <v>46</v>
      </c>
      <c r="AP30" s="228" t="s">
        <v>53</v>
      </c>
      <c r="AQ30" s="250">
        <f>SUM(Start:Stop!AQ30)</f>
        <v>14</v>
      </c>
      <c r="AR30" s="251" t="s">
        <v>54</v>
      </c>
      <c r="AS30" s="228">
        <f>SUM(Start:Stop!AS30)</f>
        <v>10</v>
      </c>
      <c r="AT30" s="228" t="s">
        <v>52</v>
      </c>
      <c r="AU30" s="251">
        <f>SUM(Start:Stop!AU30)</f>
        <v>26</v>
      </c>
      <c r="AV30" s="228" t="s">
        <v>53</v>
      </c>
      <c r="AW30" s="250">
        <f>SUM(Start:Stop!AW30)</f>
        <v>1</v>
      </c>
      <c r="AX30" s="251" t="s">
        <v>54</v>
      </c>
      <c r="AY30" s="228">
        <f>SUM(Start:Stop!AY30)</f>
        <v>22</v>
      </c>
      <c r="AZ30" s="228" t="s">
        <v>52</v>
      </c>
      <c r="BA30" s="251">
        <f>SUM(Start:Stop!BA30)</f>
        <v>56</v>
      </c>
      <c r="BB30" s="228" t="s">
        <v>53</v>
      </c>
      <c r="BC30" s="250">
        <f>SUM(Start:Stop!BC30)</f>
        <v>20</v>
      </c>
      <c r="BD30" s="251" t="s">
        <v>54</v>
      </c>
      <c r="BE30" s="228">
        <f>SUM(Start:Stop!BE30)</f>
        <v>0</v>
      </c>
      <c r="BF30" s="228" t="s">
        <v>52</v>
      </c>
      <c r="BG30" s="252">
        <f>SUM(Start:Stop!BG30)</f>
        <v>0</v>
      </c>
      <c r="BH30" s="228"/>
      <c r="BI30" s="249">
        <f>SUM(Start:Stop!BI30)</f>
        <v>14</v>
      </c>
      <c r="BJ30" s="250" t="s">
        <v>52</v>
      </c>
      <c r="BK30" s="251">
        <f>SUM(Start:Stop!BK30)</f>
        <v>22</v>
      </c>
      <c r="BL30" s="228" t="s">
        <v>53</v>
      </c>
      <c r="BM30" s="250">
        <f>SUM(Start:Stop!BM30)</f>
        <v>7</v>
      </c>
      <c r="BN30" s="251" t="s">
        <v>54</v>
      </c>
      <c r="BO30" s="228">
        <f>SUM(Start:Stop!BO30)</f>
        <v>8</v>
      </c>
      <c r="BP30" s="250" t="s">
        <v>52</v>
      </c>
      <c r="BQ30" s="251">
        <f>SUM(Start:Stop!BQ30)</f>
        <v>9</v>
      </c>
      <c r="BR30" s="228" t="s">
        <v>53</v>
      </c>
      <c r="BS30" s="250">
        <f>SUM(Start:Stop!BS30)</f>
        <v>3</v>
      </c>
      <c r="BT30" s="251" t="s">
        <v>54</v>
      </c>
      <c r="BU30" s="228">
        <f>SUM(Start:Stop!BU30)</f>
        <v>0</v>
      </c>
      <c r="BV30" s="250" t="s">
        <v>52</v>
      </c>
      <c r="BW30" s="251">
        <f>SUM(Start:Stop!BW30)</f>
        <v>0</v>
      </c>
      <c r="BX30" s="228" t="s">
        <v>53</v>
      </c>
      <c r="BY30" s="250">
        <f>SUM(Start:Stop!BY30)</f>
        <v>0</v>
      </c>
      <c r="BZ30" s="251" t="s">
        <v>54</v>
      </c>
      <c r="CA30" s="228">
        <f>SUM(Start:Stop!CA30)</f>
        <v>6</v>
      </c>
      <c r="CB30" s="250" t="s">
        <v>52</v>
      </c>
      <c r="CC30" s="251">
        <f>SUM(Start:Stop!CC30)</f>
        <v>13</v>
      </c>
      <c r="CD30" s="228" t="s">
        <v>53</v>
      </c>
      <c r="CE30" s="250">
        <f>SUM(Start:Stop!CE30)</f>
        <v>4</v>
      </c>
      <c r="CF30" s="251" t="s">
        <v>54</v>
      </c>
      <c r="CG30" s="228">
        <f>SUM(Start:Stop!CG30)</f>
        <v>0</v>
      </c>
      <c r="CH30" s="250" t="s">
        <v>52</v>
      </c>
      <c r="CI30" s="252">
        <f>SUM(Start:Stop!CI30)</f>
        <v>0</v>
      </c>
      <c r="CJ30" s="250">
        <f>SUM(Start:Stop!CJ30)</f>
        <v>12</v>
      </c>
      <c r="CK30" s="250">
        <f>SUM(Start:Stop!CK30)</f>
        <v>78</v>
      </c>
      <c r="CL30" s="250">
        <f>SUM(Start:Stop!CL30)</f>
        <v>0</v>
      </c>
      <c r="CM30" s="250">
        <f>SUM(Start:Stop!CM30)</f>
        <v>0</v>
      </c>
      <c r="CN30" s="250">
        <f>SUM(Start:Stop!CN30)</f>
        <v>90</v>
      </c>
      <c r="CO30" s="250">
        <f>SUM(Start:Stop!CO30)</f>
        <v>43</v>
      </c>
      <c r="CP30" s="250">
        <f>SUM(Start:Stop!CP30)</f>
        <v>41</v>
      </c>
      <c r="CQ30" s="250">
        <f>SUM(Start:Stop!CQ30)</f>
        <v>28</v>
      </c>
      <c r="CR30" s="250">
        <f>SUM(Start:Stop!CR30)</f>
        <v>17</v>
      </c>
      <c r="CS30" s="250">
        <f>SUM(Start:Stop!CS30)</f>
        <v>12</v>
      </c>
      <c r="CT30" s="250">
        <f>SUM(Start:Stop!CT30)</f>
        <v>43</v>
      </c>
      <c r="CU30" s="250">
        <f>SUM(Start:Stop!CU30)</f>
        <v>5</v>
      </c>
      <c r="CV30" s="360">
        <f>SUM(Start:Stop!CV30)</f>
        <v>194.5</v>
      </c>
      <c r="CW30" s="33"/>
      <c r="CX30" s="4" t="s">
        <v>163</v>
      </c>
      <c r="CY30" s="4" t="s">
        <v>164</v>
      </c>
      <c r="CZ30" s="4" t="s">
        <v>165</v>
      </c>
      <c r="DA30" s="33"/>
      <c r="DB30" s="28"/>
      <c r="DC30" s="28"/>
      <c r="DD30" s="24"/>
      <c r="DE30" s="514" t="s">
        <v>105</v>
      </c>
      <c r="DF30" s="523">
        <f>(CV21/EG21)*100</f>
        <v>105.7926404212392</v>
      </c>
      <c r="DG30" s="515">
        <v>114.2</v>
      </c>
      <c r="DH30" s="516">
        <v>101.9</v>
      </c>
      <c r="DI30" s="377"/>
      <c r="DJ30" s="377"/>
      <c r="DK30" s="376"/>
      <c r="DL30" s="377"/>
      <c r="DM30" s="24"/>
      <c r="DN30" s="24"/>
      <c r="DO30" s="24"/>
      <c r="DP30" s="24"/>
      <c r="DQ30" s="24"/>
      <c r="DR30" s="24"/>
      <c r="DS30" s="36"/>
      <c r="DT30" s="66"/>
      <c r="DU30" s="24"/>
      <c r="DV30" s="24"/>
      <c r="DW30" s="24"/>
      <c r="DX30" s="24"/>
      <c r="DY30" s="24"/>
      <c r="DZ30" s="24"/>
      <c r="EA30" s="24"/>
      <c r="EF30" s="228" t="s">
        <v>77</v>
      </c>
      <c r="EG30" s="37">
        <f>SUM(Start:Stop!EG30)</f>
        <v>182.73241060417152</v>
      </c>
      <c r="EW30" s="228" t="s">
        <v>77</v>
      </c>
      <c r="EX30" s="6">
        <f>SUM(Start:Stop!EX30)</f>
        <v>12.5</v>
      </c>
      <c r="EY30" s="6">
        <f>SUM(Start:Stop!EY30)</f>
        <v>17</v>
      </c>
      <c r="EZ30" s="6">
        <f>SUM(Start:Stop!EZ30)</f>
        <v>80.320083333333343</v>
      </c>
      <c r="GL30" s="33"/>
      <c r="GM30" s="42"/>
      <c r="GN30" s="90"/>
      <c r="GO30" s="90"/>
      <c r="GP30" s="90"/>
      <c r="GQ30" s="33"/>
      <c r="GR30" s="325"/>
      <c r="GS30" s="12"/>
    </row>
    <row r="31" spans="1:257" x14ac:dyDescent="0.2">
      <c r="C31" s="228" t="s">
        <v>78</v>
      </c>
      <c r="D31" s="308">
        <f>SUM(Start:Stop!D31)</f>
        <v>355.87666666666667</v>
      </c>
      <c r="E31" s="249">
        <f>SUM(Start:Stop!E31)</f>
        <v>64</v>
      </c>
      <c r="F31" s="228" t="s">
        <v>52</v>
      </c>
      <c r="G31" s="251">
        <f>SUM(Start:Stop!G31)</f>
        <v>160</v>
      </c>
      <c r="H31" s="228" t="s">
        <v>53</v>
      </c>
      <c r="I31" s="250">
        <f>SUM(Start:Stop!I31)</f>
        <v>44</v>
      </c>
      <c r="J31" s="251" t="s">
        <v>54</v>
      </c>
      <c r="K31" s="228">
        <f>SUM(Start:Stop!K31)</f>
        <v>28</v>
      </c>
      <c r="L31" s="250" t="s">
        <v>52</v>
      </c>
      <c r="M31" s="251">
        <f>SUM(Start:Stop!M31)</f>
        <v>53</v>
      </c>
      <c r="N31" s="228" t="s">
        <v>53</v>
      </c>
      <c r="O31" s="250">
        <f>SUM(Start:Stop!O31)</f>
        <v>14</v>
      </c>
      <c r="P31" s="251" t="s">
        <v>54</v>
      </c>
      <c r="Q31" s="228">
        <f>SUM(Start:Stop!Q31)</f>
        <v>5</v>
      </c>
      <c r="R31" s="250" t="s">
        <v>52</v>
      </c>
      <c r="S31" s="251">
        <f>SUM(Start:Stop!S31)</f>
        <v>23</v>
      </c>
      <c r="T31" s="228" t="s">
        <v>53</v>
      </c>
      <c r="U31" s="250">
        <f>SUM(Start:Stop!U31)</f>
        <v>1</v>
      </c>
      <c r="V31" s="251" t="s">
        <v>54</v>
      </c>
      <c r="W31" s="228">
        <f>SUM(Start:Stop!W31)</f>
        <v>31</v>
      </c>
      <c r="X31" s="228" t="s">
        <v>52</v>
      </c>
      <c r="Y31" s="251">
        <f>SUM(Start:Stop!Y31)</f>
        <v>84</v>
      </c>
      <c r="Z31" s="228" t="s">
        <v>53</v>
      </c>
      <c r="AA31" s="250">
        <f>SUM(Start:Stop!AA31)</f>
        <v>29</v>
      </c>
      <c r="AB31" s="251" t="s">
        <v>54</v>
      </c>
      <c r="AC31" s="331">
        <f>SUM(Start:Stop!AC31)</f>
        <v>19.600000000000001</v>
      </c>
      <c r="AD31" s="250" t="s">
        <v>52</v>
      </c>
      <c r="AE31" s="252">
        <f>SUM(Start:Stop!AE31)</f>
        <v>26</v>
      </c>
      <c r="AF31" s="228"/>
      <c r="AG31" s="249">
        <f>SUM(Start:Stop!AG31)</f>
        <v>51</v>
      </c>
      <c r="AH31" s="228" t="s">
        <v>52</v>
      </c>
      <c r="AI31" s="251">
        <f>SUM(Start:Stop!AI31)</f>
        <v>131</v>
      </c>
      <c r="AJ31" s="228" t="s">
        <v>53</v>
      </c>
      <c r="AK31" s="250">
        <f>SUM(Start:Stop!AK31)</f>
        <v>36</v>
      </c>
      <c r="AL31" s="251" t="s">
        <v>54</v>
      </c>
      <c r="AM31" s="228">
        <f>SUM(Start:Stop!AM31)</f>
        <v>19</v>
      </c>
      <c r="AN31" s="228" t="s">
        <v>52</v>
      </c>
      <c r="AO31" s="251">
        <f>SUM(Start:Stop!AO31)</f>
        <v>35</v>
      </c>
      <c r="AP31" s="228" t="s">
        <v>53</v>
      </c>
      <c r="AQ31" s="250">
        <f>SUM(Start:Stop!AQ31)</f>
        <v>10</v>
      </c>
      <c r="AR31" s="251" t="s">
        <v>54</v>
      </c>
      <c r="AS31" s="228">
        <f>SUM(Start:Stop!AS31)</f>
        <v>5</v>
      </c>
      <c r="AT31" s="228" t="s">
        <v>52</v>
      </c>
      <c r="AU31" s="251">
        <f>SUM(Start:Stop!AU31)</f>
        <v>23</v>
      </c>
      <c r="AV31" s="228" t="s">
        <v>53</v>
      </c>
      <c r="AW31" s="250">
        <f>SUM(Start:Stop!AW31)</f>
        <v>1</v>
      </c>
      <c r="AX31" s="251" t="s">
        <v>54</v>
      </c>
      <c r="AY31" s="228">
        <f>SUM(Start:Stop!AY31)</f>
        <v>27</v>
      </c>
      <c r="AZ31" s="228" t="s">
        <v>52</v>
      </c>
      <c r="BA31" s="251">
        <f>SUM(Start:Stop!BA31)</f>
        <v>73</v>
      </c>
      <c r="BB31" s="228" t="s">
        <v>53</v>
      </c>
      <c r="BC31" s="250">
        <f>SUM(Start:Stop!BC31)</f>
        <v>25</v>
      </c>
      <c r="BD31" s="251" t="s">
        <v>54</v>
      </c>
      <c r="BE31" s="228">
        <f>SUM(Start:Stop!BE31)</f>
        <v>0</v>
      </c>
      <c r="BF31" s="228" t="s">
        <v>52</v>
      </c>
      <c r="BG31" s="252">
        <f>SUM(Start:Stop!BG31)</f>
        <v>0</v>
      </c>
      <c r="BH31" s="228"/>
      <c r="BI31" s="249">
        <f>SUM(Start:Stop!BI31)</f>
        <v>13</v>
      </c>
      <c r="BJ31" s="250" t="s">
        <v>52</v>
      </c>
      <c r="BK31" s="251">
        <f>SUM(Start:Stop!BK31)</f>
        <v>29</v>
      </c>
      <c r="BL31" s="228" t="s">
        <v>53</v>
      </c>
      <c r="BM31" s="250">
        <f>SUM(Start:Stop!BM31)</f>
        <v>8</v>
      </c>
      <c r="BN31" s="251" t="s">
        <v>54</v>
      </c>
      <c r="BO31" s="228">
        <f>SUM(Start:Stop!BO31)</f>
        <v>9</v>
      </c>
      <c r="BP31" s="250" t="s">
        <v>52</v>
      </c>
      <c r="BQ31" s="251">
        <f>SUM(Start:Stop!BQ31)</f>
        <v>18</v>
      </c>
      <c r="BR31" s="228" t="s">
        <v>53</v>
      </c>
      <c r="BS31" s="250">
        <f>SUM(Start:Stop!BS31)</f>
        <v>4</v>
      </c>
      <c r="BT31" s="251" t="s">
        <v>54</v>
      </c>
      <c r="BU31" s="228">
        <f>SUM(Start:Stop!BU31)</f>
        <v>0</v>
      </c>
      <c r="BV31" s="250" t="s">
        <v>52</v>
      </c>
      <c r="BW31" s="251">
        <f>SUM(Start:Stop!BW31)</f>
        <v>0</v>
      </c>
      <c r="BX31" s="228" t="s">
        <v>53</v>
      </c>
      <c r="BY31" s="250">
        <f>SUM(Start:Stop!BY31)</f>
        <v>0</v>
      </c>
      <c r="BZ31" s="251" t="s">
        <v>54</v>
      </c>
      <c r="CA31" s="228">
        <f>SUM(Start:Stop!CA31)</f>
        <v>4</v>
      </c>
      <c r="CB31" s="250" t="s">
        <v>52</v>
      </c>
      <c r="CC31" s="251">
        <f>SUM(Start:Stop!CC31)</f>
        <v>11</v>
      </c>
      <c r="CD31" s="228" t="s">
        <v>53</v>
      </c>
      <c r="CE31" s="250">
        <f>SUM(Start:Stop!CE31)</f>
        <v>4</v>
      </c>
      <c r="CF31" s="251" t="s">
        <v>54</v>
      </c>
      <c r="CG31" s="228">
        <f>SUM(Start:Stop!CG31)</f>
        <v>0</v>
      </c>
      <c r="CH31" s="250" t="s">
        <v>52</v>
      </c>
      <c r="CI31" s="252">
        <f>SUM(Start:Stop!CI31)</f>
        <v>0</v>
      </c>
      <c r="CJ31" s="250">
        <f>SUM(Start:Stop!CJ31)</f>
        <v>23</v>
      </c>
      <c r="CK31" s="250">
        <f>SUM(Start:Stop!CK31)</f>
        <v>68</v>
      </c>
      <c r="CL31" s="250">
        <f>SUM(Start:Stop!CL31)</f>
        <v>0</v>
      </c>
      <c r="CM31" s="250">
        <f>SUM(Start:Stop!CM31)</f>
        <v>0</v>
      </c>
      <c r="CN31" s="250">
        <f>SUM(Start:Stop!CN31)</f>
        <v>91</v>
      </c>
      <c r="CO31" s="250">
        <f>SUM(Start:Stop!CO31)</f>
        <v>44</v>
      </c>
      <c r="CP31" s="250">
        <f>SUM(Start:Stop!CP31)</f>
        <v>59</v>
      </c>
      <c r="CQ31" s="250">
        <f>SUM(Start:Stop!CQ31)</f>
        <v>19</v>
      </c>
      <c r="CR31" s="250">
        <f>SUM(Start:Stop!CR31)</f>
        <v>26</v>
      </c>
      <c r="CS31" s="250">
        <f>SUM(Start:Stop!CS31)</f>
        <v>22</v>
      </c>
      <c r="CT31" s="250">
        <f>SUM(Start:Stop!CT31)</f>
        <v>32</v>
      </c>
      <c r="CU31" s="250">
        <f>SUM(Start:Stop!CU31)</f>
        <v>8</v>
      </c>
      <c r="CV31" s="360">
        <f>SUM(Start:Stop!CV31)</f>
        <v>178.6</v>
      </c>
      <c r="CW31" s="33"/>
      <c r="CX31" s="320">
        <f>(W21*3)/CV21</f>
        <v>0.47158871279474285</v>
      </c>
      <c r="CY31" s="320">
        <f>((K21+Q21)*2)/CV21</f>
        <v>0.44324185027702606</v>
      </c>
      <c r="CZ31" s="320">
        <f>1-(CX31+CY31)</f>
        <v>8.516943692823109E-2</v>
      </c>
      <c r="DA31" s="33"/>
      <c r="DB31" s="28"/>
      <c r="DC31" s="28"/>
      <c r="DD31" s="24"/>
      <c r="DE31" s="512" t="s">
        <v>14</v>
      </c>
      <c r="DF31" s="524">
        <f>DG21*100</f>
        <v>55.46875</v>
      </c>
      <c r="DG31" s="499">
        <v>55.6</v>
      </c>
      <c r="DH31" s="501">
        <v>50</v>
      </c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36"/>
      <c r="DT31" s="36"/>
      <c r="DU31" s="24"/>
      <c r="DV31" s="24"/>
      <c r="DW31" s="24"/>
      <c r="DX31" s="24"/>
      <c r="DY31" s="24"/>
      <c r="DZ31" s="24"/>
      <c r="EA31" s="24"/>
      <c r="EF31" s="228" t="s">
        <v>78</v>
      </c>
      <c r="EG31" s="37">
        <f>SUM(Start:Stop!EG31)</f>
        <v>170.20974868687233</v>
      </c>
      <c r="EW31" s="228" t="s">
        <v>78</v>
      </c>
      <c r="EX31" s="6">
        <f>SUM(Start:Stop!EX31)</f>
        <v>19.600000000000001</v>
      </c>
      <c r="EY31" s="6">
        <f>SUM(Start:Stop!EY31)</f>
        <v>26</v>
      </c>
      <c r="EZ31" s="6">
        <f>SUM(Start:Stop!EZ31)</f>
        <v>70.747166666666658</v>
      </c>
      <c r="GL31" s="33"/>
      <c r="GM31" s="42"/>
      <c r="GN31" s="363"/>
      <c r="GO31" s="363"/>
      <c r="GP31" s="363"/>
      <c r="GQ31" s="33"/>
      <c r="GR31" s="325"/>
      <c r="GS31" s="12"/>
    </row>
    <row r="32" spans="1:257" x14ac:dyDescent="0.2">
      <c r="C32" s="228" t="s">
        <v>79</v>
      </c>
      <c r="D32" s="308">
        <f>SUM(Start:Stop!D32)</f>
        <v>355.87666666666667</v>
      </c>
      <c r="E32" s="249">
        <f>SUM(Start:Stop!E32)</f>
        <v>83</v>
      </c>
      <c r="F32" s="228" t="s">
        <v>52</v>
      </c>
      <c r="G32" s="251">
        <f>SUM(Start:Stop!G32)</f>
        <v>160</v>
      </c>
      <c r="H32" s="228" t="s">
        <v>53</v>
      </c>
      <c r="I32" s="250">
        <f>SUM(Start:Stop!I32)</f>
        <v>44</v>
      </c>
      <c r="J32" s="251" t="s">
        <v>54</v>
      </c>
      <c r="K32" s="228">
        <f>SUM(Start:Stop!K32)</f>
        <v>42</v>
      </c>
      <c r="L32" s="250" t="s">
        <v>52</v>
      </c>
      <c r="M32" s="251">
        <f>SUM(Start:Stop!M32)</f>
        <v>61</v>
      </c>
      <c r="N32" s="228" t="s">
        <v>53</v>
      </c>
      <c r="O32" s="250">
        <f>SUM(Start:Stop!O32)</f>
        <v>19</v>
      </c>
      <c r="P32" s="251" t="s">
        <v>54</v>
      </c>
      <c r="Q32" s="228">
        <f>SUM(Start:Stop!Q32)</f>
        <v>11</v>
      </c>
      <c r="R32" s="250" t="s">
        <v>52</v>
      </c>
      <c r="S32" s="251">
        <f>SUM(Start:Stop!S32)</f>
        <v>26</v>
      </c>
      <c r="T32" s="228" t="s">
        <v>53</v>
      </c>
      <c r="U32" s="250">
        <f>SUM(Start:Stop!U32)</f>
        <v>1</v>
      </c>
      <c r="V32" s="251" t="s">
        <v>54</v>
      </c>
      <c r="W32" s="228">
        <f>SUM(Start:Stop!W32)</f>
        <v>30</v>
      </c>
      <c r="X32" s="228" t="s">
        <v>52</v>
      </c>
      <c r="Y32" s="251">
        <f>SUM(Start:Stop!Y32)</f>
        <v>73</v>
      </c>
      <c r="Z32" s="228" t="s">
        <v>53</v>
      </c>
      <c r="AA32" s="250">
        <f>SUM(Start:Stop!AA32)</f>
        <v>24</v>
      </c>
      <c r="AB32" s="251" t="s">
        <v>54</v>
      </c>
      <c r="AC32" s="331">
        <f>SUM(Start:Stop!AC32)</f>
        <v>13.450000000000001</v>
      </c>
      <c r="AD32" s="250" t="s">
        <v>52</v>
      </c>
      <c r="AE32" s="252">
        <f>SUM(Start:Stop!AE32)</f>
        <v>18</v>
      </c>
      <c r="AF32" s="228"/>
      <c r="AG32" s="249">
        <f>SUM(Start:Stop!AG32)</f>
        <v>68</v>
      </c>
      <c r="AH32" s="228" t="s">
        <v>52</v>
      </c>
      <c r="AI32" s="251">
        <f>SUM(Start:Stop!AI32)</f>
        <v>134</v>
      </c>
      <c r="AJ32" s="228" t="s">
        <v>53</v>
      </c>
      <c r="AK32" s="250">
        <f>SUM(Start:Stop!AK32)</f>
        <v>37</v>
      </c>
      <c r="AL32" s="251" t="s">
        <v>54</v>
      </c>
      <c r="AM32" s="228">
        <f>SUM(Start:Stop!AM32)</f>
        <v>35</v>
      </c>
      <c r="AN32" s="228" t="s">
        <v>52</v>
      </c>
      <c r="AO32" s="251">
        <f>SUM(Start:Stop!AO32)</f>
        <v>53</v>
      </c>
      <c r="AP32" s="228" t="s">
        <v>53</v>
      </c>
      <c r="AQ32" s="250">
        <f>SUM(Start:Stop!AQ32)</f>
        <v>16</v>
      </c>
      <c r="AR32" s="251" t="s">
        <v>54</v>
      </c>
      <c r="AS32" s="228">
        <f>SUM(Start:Stop!AS32)</f>
        <v>11</v>
      </c>
      <c r="AT32" s="228" t="s">
        <v>52</v>
      </c>
      <c r="AU32" s="251">
        <f>SUM(Start:Stop!AU32)</f>
        <v>25</v>
      </c>
      <c r="AV32" s="228" t="s">
        <v>53</v>
      </c>
      <c r="AW32" s="250">
        <f>SUM(Start:Stop!AW32)</f>
        <v>1</v>
      </c>
      <c r="AX32" s="251" t="s">
        <v>54</v>
      </c>
      <c r="AY32" s="228">
        <f>SUM(Start:Stop!AY32)</f>
        <v>22</v>
      </c>
      <c r="AZ32" s="228" t="s">
        <v>52</v>
      </c>
      <c r="BA32" s="251">
        <f>SUM(Start:Stop!BA32)</f>
        <v>56</v>
      </c>
      <c r="BB32" s="228" t="s">
        <v>53</v>
      </c>
      <c r="BC32" s="250">
        <f>SUM(Start:Stop!BC32)</f>
        <v>20</v>
      </c>
      <c r="BD32" s="251" t="s">
        <v>54</v>
      </c>
      <c r="BE32" s="228">
        <f>SUM(Start:Stop!BE32)</f>
        <v>0</v>
      </c>
      <c r="BF32" s="228" t="s">
        <v>52</v>
      </c>
      <c r="BG32" s="252">
        <f>SUM(Start:Stop!BG32)</f>
        <v>0</v>
      </c>
      <c r="BH32" s="228"/>
      <c r="BI32" s="249">
        <f>SUM(Start:Stop!BI32)</f>
        <v>15</v>
      </c>
      <c r="BJ32" s="250" t="s">
        <v>52</v>
      </c>
      <c r="BK32" s="251">
        <f>SUM(Start:Stop!BK32)</f>
        <v>26</v>
      </c>
      <c r="BL32" s="228" t="s">
        <v>53</v>
      </c>
      <c r="BM32" s="250">
        <f>SUM(Start:Stop!BM32)</f>
        <v>7</v>
      </c>
      <c r="BN32" s="251" t="s">
        <v>54</v>
      </c>
      <c r="BO32" s="228">
        <f>SUM(Start:Stop!BO32)</f>
        <v>7</v>
      </c>
      <c r="BP32" s="250" t="s">
        <v>52</v>
      </c>
      <c r="BQ32" s="251">
        <f>SUM(Start:Stop!BQ32)</f>
        <v>8</v>
      </c>
      <c r="BR32" s="228" t="s">
        <v>53</v>
      </c>
      <c r="BS32" s="250">
        <f>SUM(Start:Stop!BS32)</f>
        <v>3</v>
      </c>
      <c r="BT32" s="251" t="s">
        <v>54</v>
      </c>
      <c r="BU32" s="228">
        <f>SUM(Start:Stop!BU32)</f>
        <v>0</v>
      </c>
      <c r="BV32" s="250" t="s">
        <v>52</v>
      </c>
      <c r="BW32" s="251">
        <f>SUM(Start:Stop!BW32)</f>
        <v>1</v>
      </c>
      <c r="BX32" s="228" t="s">
        <v>53</v>
      </c>
      <c r="BY32" s="250">
        <f>SUM(Start:Stop!BY32)</f>
        <v>0</v>
      </c>
      <c r="BZ32" s="251" t="s">
        <v>54</v>
      </c>
      <c r="CA32" s="228">
        <f>SUM(Start:Stop!CA32)</f>
        <v>8</v>
      </c>
      <c r="CB32" s="250" t="s">
        <v>52</v>
      </c>
      <c r="CC32" s="251">
        <f>SUM(Start:Stop!CC32)</f>
        <v>17</v>
      </c>
      <c r="CD32" s="228" t="s">
        <v>53</v>
      </c>
      <c r="CE32" s="250">
        <f>SUM(Start:Stop!CE32)</f>
        <v>4</v>
      </c>
      <c r="CF32" s="251" t="s">
        <v>54</v>
      </c>
      <c r="CG32" s="228">
        <f>SUM(Start:Stop!CG32)</f>
        <v>0</v>
      </c>
      <c r="CH32" s="250" t="s">
        <v>52</v>
      </c>
      <c r="CI32" s="252">
        <f>SUM(Start:Stop!CI32)</f>
        <v>0</v>
      </c>
      <c r="CJ32" s="250">
        <f>SUM(Start:Stop!CJ32)</f>
        <v>11</v>
      </c>
      <c r="CK32" s="250">
        <f>SUM(Start:Stop!CK32)</f>
        <v>71</v>
      </c>
      <c r="CL32" s="250">
        <f>SUM(Start:Stop!CL32)</f>
        <v>0</v>
      </c>
      <c r="CM32" s="250">
        <f>SUM(Start:Stop!CM32)</f>
        <v>0</v>
      </c>
      <c r="CN32" s="250">
        <f>SUM(Start:Stop!CN32)</f>
        <v>82</v>
      </c>
      <c r="CO32" s="250">
        <f>SUM(Start:Stop!CO32)</f>
        <v>45</v>
      </c>
      <c r="CP32" s="250">
        <f>SUM(Start:Stop!CP32)</f>
        <v>44</v>
      </c>
      <c r="CQ32" s="250">
        <f>SUM(Start:Stop!CQ32)</f>
        <v>25</v>
      </c>
      <c r="CR32" s="250">
        <f>SUM(Start:Stop!CR32)</f>
        <v>18</v>
      </c>
      <c r="CS32" s="250">
        <f>SUM(Start:Stop!CS32)</f>
        <v>16</v>
      </c>
      <c r="CT32" s="250">
        <f>SUM(Start:Stop!CT32)</f>
        <v>38</v>
      </c>
      <c r="CU32" s="250">
        <f>SUM(Start:Stop!CU32)</f>
        <v>5</v>
      </c>
      <c r="CV32" s="360">
        <f>SUM(Start:Stop!CV32)</f>
        <v>209.45000000000002</v>
      </c>
      <c r="CW32" s="33"/>
      <c r="CX32" s="4"/>
      <c r="CY32" s="4"/>
      <c r="CZ32" s="4"/>
      <c r="DA32" s="33"/>
      <c r="DB32" s="28"/>
      <c r="DC32" s="28"/>
      <c r="DD32" s="378"/>
      <c r="DE32" s="514" t="s">
        <v>97</v>
      </c>
      <c r="DF32" s="523">
        <f>CY21*100</f>
        <v>19.083841848954368</v>
      </c>
      <c r="DG32" s="515">
        <v>15.7</v>
      </c>
      <c r="DH32" s="516">
        <v>18.399999999999999</v>
      </c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36"/>
      <c r="DT32" s="36"/>
      <c r="DU32" s="24"/>
      <c r="DV32" s="24"/>
      <c r="DW32" s="24"/>
      <c r="DX32" s="24"/>
      <c r="DY32" s="24"/>
      <c r="DZ32" s="24"/>
      <c r="EA32" s="24"/>
      <c r="EF32" s="228" t="s">
        <v>79</v>
      </c>
      <c r="EG32" s="37">
        <f>SUM(Start:Stop!EG32)</f>
        <v>188.46278610322895</v>
      </c>
      <c r="EW32" s="228" t="s">
        <v>79</v>
      </c>
      <c r="EX32" s="6">
        <f>SUM(Start:Stop!EX32)</f>
        <v>13.450000000000001</v>
      </c>
      <c r="EY32" s="6">
        <f>SUM(Start:Stop!EY32)</f>
        <v>18</v>
      </c>
      <c r="EZ32" s="6">
        <f>SUM(Start:Stop!EZ32)</f>
        <v>87.732583333333338</v>
      </c>
      <c r="GL32" s="33"/>
      <c r="GM32" s="42"/>
      <c r="GN32" s="363"/>
      <c r="GO32" s="363"/>
      <c r="GP32" s="363"/>
      <c r="GQ32" s="33"/>
      <c r="GR32" s="325"/>
      <c r="GS32" s="12"/>
    </row>
    <row r="33" spans="3:201" x14ac:dyDescent="0.2">
      <c r="C33" s="228" t="s">
        <v>114</v>
      </c>
      <c r="D33" s="308">
        <f>SUM(Start:Stop!D33)</f>
        <v>355.87666666666667</v>
      </c>
      <c r="E33" s="249">
        <f>SUM(Start:Stop!E33)</f>
        <v>75</v>
      </c>
      <c r="F33" s="228" t="s">
        <v>52</v>
      </c>
      <c r="G33" s="251">
        <f>SUM(Start:Stop!G33)</f>
        <v>170</v>
      </c>
      <c r="H33" s="228" t="s">
        <v>53</v>
      </c>
      <c r="I33" s="250">
        <f>SUM(Start:Stop!I33)</f>
        <v>43</v>
      </c>
      <c r="J33" s="251" t="s">
        <v>54</v>
      </c>
      <c r="K33" s="228">
        <f>SUM(Start:Stop!K33)</f>
        <v>36</v>
      </c>
      <c r="L33" s="250" t="s">
        <v>52</v>
      </c>
      <c r="M33" s="251">
        <f>SUM(Start:Stop!M33)</f>
        <v>66</v>
      </c>
      <c r="N33" s="228" t="s">
        <v>53</v>
      </c>
      <c r="O33" s="250">
        <f>SUM(Start:Stop!O33)</f>
        <v>15</v>
      </c>
      <c r="P33" s="251" t="s">
        <v>54</v>
      </c>
      <c r="Q33" s="228">
        <f>SUM(Start:Stop!Q33)</f>
        <v>7</v>
      </c>
      <c r="R33" s="250" t="s">
        <v>52</v>
      </c>
      <c r="S33" s="251">
        <f>SUM(Start:Stop!S33)</f>
        <v>24</v>
      </c>
      <c r="T33" s="228" t="s">
        <v>53</v>
      </c>
      <c r="U33" s="250">
        <f>SUM(Start:Stop!U33)</f>
        <v>1</v>
      </c>
      <c r="V33" s="251" t="s">
        <v>54</v>
      </c>
      <c r="W33" s="228">
        <f>SUM(Start:Stop!W33)</f>
        <v>32</v>
      </c>
      <c r="X33" s="228" t="s">
        <v>52</v>
      </c>
      <c r="Y33" s="251">
        <f>SUM(Start:Stop!Y33)</f>
        <v>80</v>
      </c>
      <c r="Z33" s="228" t="s">
        <v>53</v>
      </c>
      <c r="AA33" s="250">
        <f>SUM(Start:Stop!AA33)</f>
        <v>27</v>
      </c>
      <c r="AB33" s="251" t="s">
        <v>54</v>
      </c>
      <c r="AC33" s="331">
        <f>SUM(Start:Stop!AC33)</f>
        <v>21</v>
      </c>
      <c r="AD33" s="250" t="s">
        <v>52</v>
      </c>
      <c r="AE33" s="252">
        <f>SUM(Start:Stop!AE33)</f>
        <v>28</v>
      </c>
      <c r="AF33" s="228"/>
      <c r="AG33" s="249">
        <f>SUM(Start:Stop!AG33)</f>
        <v>62</v>
      </c>
      <c r="AH33" s="228" t="s">
        <v>52</v>
      </c>
      <c r="AI33" s="251">
        <f>SUM(Start:Stop!AI33)</f>
        <v>138</v>
      </c>
      <c r="AJ33" s="228" t="s">
        <v>53</v>
      </c>
      <c r="AK33" s="250">
        <f>SUM(Start:Stop!AK33)</f>
        <v>37</v>
      </c>
      <c r="AL33" s="251" t="s">
        <v>54</v>
      </c>
      <c r="AM33" s="228">
        <f>SUM(Start:Stop!AM33)</f>
        <v>28</v>
      </c>
      <c r="AN33" s="228" t="s">
        <v>52</v>
      </c>
      <c r="AO33" s="251">
        <f>SUM(Start:Stop!AO33)</f>
        <v>49</v>
      </c>
      <c r="AP33" s="228" t="s">
        <v>53</v>
      </c>
      <c r="AQ33" s="250">
        <f>SUM(Start:Stop!AQ33)</f>
        <v>12</v>
      </c>
      <c r="AR33" s="251" t="s">
        <v>54</v>
      </c>
      <c r="AS33" s="228">
        <f>SUM(Start:Stop!AS33)</f>
        <v>7</v>
      </c>
      <c r="AT33" s="228" t="s">
        <v>52</v>
      </c>
      <c r="AU33" s="251">
        <f>SUM(Start:Stop!AU33)</f>
        <v>23</v>
      </c>
      <c r="AV33" s="228" t="s">
        <v>53</v>
      </c>
      <c r="AW33" s="250">
        <f>SUM(Start:Stop!AW33)</f>
        <v>1</v>
      </c>
      <c r="AX33" s="251" t="s">
        <v>54</v>
      </c>
      <c r="AY33" s="228">
        <f>SUM(Start:Stop!AY33)</f>
        <v>27</v>
      </c>
      <c r="AZ33" s="228" t="s">
        <v>52</v>
      </c>
      <c r="BA33" s="251">
        <f>SUM(Start:Stop!BA33)</f>
        <v>66</v>
      </c>
      <c r="BB33" s="228" t="s">
        <v>53</v>
      </c>
      <c r="BC33" s="250">
        <f>SUM(Start:Stop!BC33)</f>
        <v>24</v>
      </c>
      <c r="BD33" s="251" t="s">
        <v>54</v>
      </c>
      <c r="BE33" s="228">
        <f>SUM(Start:Stop!BE33)</f>
        <v>0</v>
      </c>
      <c r="BF33" s="228" t="s">
        <v>52</v>
      </c>
      <c r="BG33" s="252">
        <f>SUM(Start:Stop!BG33)</f>
        <v>0</v>
      </c>
      <c r="BH33" s="228"/>
      <c r="BI33" s="249">
        <f>SUM(Start:Stop!BI33)</f>
        <v>13</v>
      </c>
      <c r="BJ33" s="250" t="s">
        <v>52</v>
      </c>
      <c r="BK33" s="251">
        <f>SUM(Start:Stop!BK33)</f>
        <v>32</v>
      </c>
      <c r="BL33" s="228" t="s">
        <v>53</v>
      </c>
      <c r="BM33" s="250">
        <f>SUM(Start:Stop!BM33)</f>
        <v>6</v>
      </c>
      <c r="BN33" s="251" t="s">
        <v>54</v>
      </c>
      <c r="BO33" s="228">
        <f>SUM(Start:Stop!BO33)</f>
        <v>8</v>
      </c>
      <c r="BP33" s="250" t="s">
        <v>52</v>
      </c>
      <c r="BQ33" s="251">
        <f>SUM(Start:Stop!BQ33)</f>
        <v>17</v>
      </c>
      <c r="BR33" s="228" t="s">
        <v>53</v>
      </c>
      <c r="BS33" s="250">
        <f>SUM(Start:Stop!BS33)</f>
        <v>3</v>
      </c>
      <c r="BT33" s="251" t="s">
        <v>54</v>
      </c>
      <c r="BU33" s="228">
        <f>SUM(Start:Stop!BU33)</f>
        <v>0</v>
      </c>
      <c r="BV33" s="250" t="s">
        <v>52</v>
      </c>
      <c r="BW33" s="251">
        <f>SUM(Start:Stop!BW33)</f>
        <v>1</v>
      </c>
      <c r="BX33" s="228" t="s">
        <v>53</v>
      </c>
      <c r="BY33" s="250">
        <f>SUM(Start:Stop!BY33)</f>
        <v>0</v>
      </c>
      <c r="BZ33" s="251" t="s">
        <v>54</v>
      </c>
      <c r="CA33" s="228">
        <f>SUM(Start:Stop!CA33)</f>
        <v>5</v>
      </c>
      <c r="CB33" s="250" t="s">
        <v>52</v>
      </c>
      <c r="CC33" s="251">
        <f>SUM(Start:Stop!CC33)</f>
        <v>14</v>
      </c>
      <c r="CD33" s="228" t="s">
        <v>53</v>
      </c>
      <c r="CE33" s="250">
        <f>SUM(Start:Stop!CE33)</f>
        <v>3</v>
      </c>
      <c r="CF33" s="251" t="s">
        <v>54</v>
      </c>
      <c r="CG33" s="228">
        <f>SUM(Start:Stop!CG33)</f>
        <v>0</v>
      </c>
      <c r="CH33" s="250" t="s">
        <v>52</v>
      </c>
      <c r="CI33" s="252">
        <f>SUM(Start:Stop!CI33)</f>
        <v>0</v>
      </c>
      <c r="CJ33" s="250">
        <f>SUM(Start:Stop!CJ33)</f>
        <v>22</v>
      </c>
      <c r="CK33" s="250">
        <f>SUM(Start:Stop!CK33)</f>
        <v>64</v>
      </c>
      <c r="CL33" s="250">
        <f>SUM(Start:Stop!CL33)</f>
        <v>0</v>
      </c>
      <c r="CM33" s="250">
        <f>SUM(Start:Stop!CM33)</f>
        <v>0</v>
      </c>
      <c r="CN33" s="250">
        <f>SUM(Start:Stop!CN33)</f>
        <v>86</v>
      </c>
      <c r="CO33" s="250">
        <f>SUM(Start:Stop!CO33)</f>
        <v>43</v>
      </c>
      <c r="CP33" s="250">
        <f>SUM(Start:Stop!CP33)</f>
        <v>58</v>
      </c>
      <c r="CQ33" s="250">
        <f>SUM(Start:Stop!CQ33)</f>
        <v>15</v>
      </c>
      <c r="CR33" s="250">
        <f>SUM(Start:Stop!CR33)</f>
        <v>28</v>
      </c>
      <c r="CS33" s="250">
        <f>SUM(Start:Stop!CS33)</f>
        <v>23</v>
      </c>
      <c r="CT33" s="250">
        <f>SUM(Start:Stop!CT33)</f>
        <v>27</v>
      </c>
      <c r="CU33" s="250">
        <f>SUM(Start:Stop!CU33)</f>
        <v>6</v>
      </c>
      <c r="CV33" s="360">
        <f>SUM(Start:Stop!CV33)</f>
        <v>203.00000000000003</v>
      </c>
      <c r="CW33" s="33"/>
      <c r="CX33" s="4"/>
      <c r="CY33" s="4"/>
      <c r="CZ33" s="4"/>
      <c r="DA33" s="33"/>
      <c r="DB33" s="28"/>
      <c r="DC33" s="28"/>
      <c r="DD33" s="24"/>
      <c r="DE33" s="512" t="s">
        <v>104</v>
      </c>
      <c r="DF33" s="524">
        <f>CZ21*100</f>
        <v>19.653179190751445</v>
      </c>
      <c r="DG33" s="499">
        <v>32.700000000000003</v>
      </c>
      <c r="DH33" s="501">
        <v>28.1</v>
      </c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36"/>
      <c r="DT33" s="36"/>
      <c r="DU33" s="24"/>
      <c r="DV33" s="24"/>
      <c r="DW33" s="24"/>
      <c r="DX33" s="24"/>
      <c r="DY33" s="24"/>
      <c r="DZ33" s="24"/>
      <c r="EA33" s="24"/>
      <c r="EF33" s="228" t="s">
        <v>114</v>
      </c>
      <c r="EG33" s="37">
        <f>SUM(Start:Stop!EG33)</f>
        <v>177.6575608312244</v>
      </c>
      <c r="EW33" s="228" t="s">
        <v>114</v>
      </c>
      <c r="EX33" s="6">
        <f>SUM(Start:Stop!EX33)</f>
        <v>21</v>
      </c>
      <c r="EY33" s="6">
        <f>SUM(Start:Stop!EY33)</f>
        <v>28</v>
      </c>
      <c r="EZ33" s="6">
        <f>SUM(Start:Stop!EZ33)</f>
        <v>83.475416666666675</v>
      </c>
      <c r="GL33" s="33"/>
      <c r="GM33" s="42"/>
      <c r="GN33" s="363"/>
      <c r="GO33" s="363"/>
      <c r="GP33" s="363"/>
      <c r="GQ33" s="33"/>
      <c r="GR33" s="325"/>
      <c r="GS33" s="12"/>
    </row>
    <row r="34" spans="3:201" x14ac:dyDescent="0.2">
      <c r="C34" s="228" t="s">
        <v>223</v>
      </c>
      <c r="D34" s="308">
        <f>SUM(Start:Stop!D34)</f>
        <v>355.87666666666667</v>
      </c>
      <c r="E34" s="249">
        <f>SUM(Start:Stop!E34)</f>
        <v>67</v>
      </c>
      <c r="F34" s="228" t="s">
        <v>52</v>
      </c>
      <c r="G34" s="251">
        <f>SUM(Start:Stop!G34)</f>
        <v>155</v>
      </c>
      <c r="H34" s="228" t="s">
        <v>53</v>
      </c>
      <c r="I34" s="250">
        <f>SUM(Start:Stop!I34)</f>
        <v>39</v>
      </c>
      <c r="J34" s="251" t="s">
        <v>54</v>
      </c>
      <c r="K34" s="228">
        <f>SUM(Start:Stop!K34)</f>
        <v>28</v>
      </c>
      <c r="L34" s="250" t="s">
        <v>52</v>
      </c>
      <c r="M34" s="251">
        <f>SUM(Start:Stop!M34)</f>
        <v>49</v>
      </c>
      <c r="N34" s="228" t="s">
        <v>53</v>
      </c>
      <c r="O34" s="250">
        <f>SUM(Start:Stop!O34)</f>
        <v>10</v>
      </c>
      <c r="P34" s="251" t="s">
        <v>54</v>
      </c>
      <c r="Q34" s="228">
        <f>SUM(Start:Stop!Q34)</f>
        <v>7</v>
      </c>
      <c r="R34" s="250" t="s">
        <v>52</v>
      </c>
      <c r="S34" s="251">
        <f>SUM(Start:Stop!S34)</f>
        <v>26</v>
      </c>
      <c r="T34" s="228" t="s">
        <v>53</v>
      </c>
      <c r="U34" s="250">
        <f>SUM(Start:Stop!U34)</f>
        <v>1</v>
      </c>
      <c r="V34" s="251" t="s">
        <v>54</v>
      </c>
      <c r="W34" s="228">
        <f>SUM(Start:Stop!W34)</f>
        <v>32</v>
      </c>
      <c r="X34" s="228" t="s">
        <v>52</v>
      </c>
      <c r="Y34" s="251">
        <f>SUM(Start:Stop!Y34)</f>
        <v>80</v>
      </c>
      <c r="Z34" s="228" t="s">
        <v>53</v>
      </c>
      <c r="AA34" s="250">
        <f>SUM(Start:Stop!AA34)</f>
        <v>28</v>
      </c>
      <c r="AB34" s="251" t="s">
        <v>54</v>
      </c>
      <c r="AC34" s="331">
        <f>SUM(Start:Stop!AC34)</f>
        <v>21.1</v>
      </c>
      <c r="AD34" s="250" t="s">
        <v>52</v>
      </c>
      <c r="AE34" s="252">
        <f>SUM(Start:Stop!AE34)</f>
        <v>28</v>
      </c>
      <c r="AF34" s="228"/>
      <c r="AG34" s="249">
        <f>SUM(Start:Stop!AG34)</f>
        <v>58</v>
      </c>
      <c r="AH34" s="228" t="s">
        <v>52</v>
      </c>
      <c r="AI34" s="251">
        <f>SUM(Start:Stop!AI34)</f>
        <v>129</v>
      </c>
      <c r="AJ34" s="228" t="s">
        <v>53</v>
      </c>
      <c r="AK34" s="250">
        <f>SUM(Start:Stop!AK34)</f>
        <v>36</v>
      </c>
      <c r="AL34" s="251" t="s">
        <v>54</v>
      </c>
      <c r="AM34" s="228">
        <f>SUM(Start:Stop!AM34)</f>
        <v>23</v>
      </c>
      <c r="AN34" s="228" t="s">
        <v>52</v>
      </c>
      <c r="AO34" s="251">
        <f>SUM(Start:Stop!AO34)</f>
        <v>40</v>
      </c>
      <c r="AP34" s="228" t="s">
        <v>53</v>
      </c>
      <c r="AQ34" s="250">
        <f>SUM(Start:Stop!AQ34)</f>
        <v>9</v>
      </c>
      <c r="AR34" s="251" t="s">
        <v>54</v>
      </c>
      <c r="AS34" s="228">
        <f>SUM(Start:Stop!AS34)</f>
        <v>7</v>
      </c>
      <c r="AT34" s="228" t="s">
        <v>52</v>
      </c>
      <c r="AU34" s="251">
        <f>SUM(Start:Stop!AU34)</f>
        <v>25</v>
      </c>
      <c r="AV34" s="228" t="s">
        <v>53</v>
      </c>
      <c r="AW34" s="250">
        <f>SUM(Start:Stop!AW34)</f>
        <v>1</v>
      </c>
      <c r="AX34" s="251" t="s">
        <v>54</v>
      </c>
      <c r="AY34" s="228">
        <f>SUM(Start:Stop!AY34)</f>
        <v>28</v>
      </c>
      <c r="AZ34" s="228" t="s">
        <v>52</v>
      </c>
      <c r="BA34" s="251">
        <f>SUM(Start:Stop!BA34)</f>
        <v>64</v>
      </c>
      <c r="BB34" s="228" t="s">
        <v>53</v>
      </c>
      <c r="BC34" s="250">
        <f>SUM(Start:Stop!BC34)</f>
        <v>26</v>
      </c>
      <c r="BD34" s="251" t="s">
        <v>54</v>
      </c>
      <c r="BE34" s="228">
        <f>SUM(Start:Stop!BE34)</f>
        <v>0</v>
      </c>
      <c r="BF34" s="228" t="s">
        <v>52</v>
      </c>
      <c r="BG34" s="252">
        <f>SUM(Start:Stop!BG34)</f>
        <v>0</v>
      </c>
      <c r="BH34" s="228"/>
      <c r="BI34" s="249">
        <f>SUM(Start:Stop!BI34)</f>
        <v>9</v>
      </c>
      <c r="BJ34" s="250" t="s">
        <v>52</v>
      </c>
      <c r="BK34" s="251">
        <f>SUM(Start:Stop!BK34)</f>
        <v>26</v>
      </c>
      <c r="BL34" s="228" t="s">
        <v>53</v>
      </c>
      <c r="BM34" s="250">
        <f>SUM(Start:Stop!BM34)</f>
        <v>3</v>
      </c>
      <c r="BN34" s="251" t="s">
        <v>54</v>
      </c>
      <c r="BO34" s="228">
        <f>SUM(Start:Stop!BO34)</f>
        <v>5</v>
      </c>
      <c r="BP34" s="250" t="s">
        <v>52</v>
      </c>
      <c r="BQ34" s="251">
        <f>SUM(Start:Stop!BQ34)</f>
        <v>9</v>
      </c>
      <c r="BR34" s="228" t="s">
        <v>53</v>
      </c>
      <c r="BS34" s="250">
        <f>SUM(Start:Stop!BS34)</f>
        <v>1</v>
      </c>
      <c r="BT34" s="251" t="s">
        <v>54</v>
      </c>
      <c r="BU34" s="228">
        <f>SUM(Start:Stop!BU34)</f>
        <v>0</v>
      </c>
      <c r="BV34" s="250" t="s">
        <v>52</v>
      </c>
      <c r="BW34" s="251">
        <f>SUM(Start:Stop!BW34)</f>
        <v>1</v>
      </c>
      <c r="BX34" s="228" t="s">
        <v>53</v>
      </c>
      <c r="BY34" s="250">
        <f>SUM(Start:Stop!BY34)</f>
        <v>0</v>
      </c>
      <c r="BZ34" s="251" t="s">
        <v>54</v>
      </c>
      <c r="CA34" s="228">
        <f>SUM(Start:Stop!CA34)</f>
        <v>4</v>
      </c>
      <c r="CB34" s="250" t="s">
        <v>52</v>
      </c>
      <c r="CC34" s="251">
        <f>SUM(Start:Stop!CC34)</f>
        <v>16</v>
      </c>
      <c r="CD34" s="228" t="s">
        <v>53</v>
      </c>
      <c r="CE34" s="250">
        <f>SUM(Start:Stop!CE34)</f>
        <v>2</v>
      </c>
      <c r="CF34" s="251" t="s">
        <v>54</v>
      </c>
      <c r="CG34" s="228">
        <f>SUM(Start:Stop!CG34)</f>
        <v>0</v>
      </c>
      <c r="CH34" s="250" t="s">
        <v>52</v>
      </c>
      <c r="CI34" s="252">
        <f>SUM(Start:Stop!CI34)</f>
        <v>0</v>
      </c>
      <c r="CJ34" s="250">
        <f>SUM(Start:Stop!CJ34)</f>
        <v>15</v>
      </c>
      <c r="CK34" s="250">
        <f>SUM(Start:Stop!CK34)</f>
        <v>64</v>
      </c>
      <c r="CL34" s="250">
        <f>SUM(Start:Stop!CL34)</f>
        <v>0</v>
      </c>
      <c r="CM34" s="250">
        <f>SUM(Start:Stop!CM34)</f>
        <v>0</v>
      </c>
      <c r="CN34" s="250">
        <f>SUM(Start:Stop!CN34)</f>
        <v>79</v>
      </c>
      <c r="CO34" s="250">
        <f>SUM(Start:Stop!CO34)</f>
        <v>39</v>
      </c>
      <c r="CP34" s="250">
        <f>SUM(Start:Stop!CP34)</f>
        <v>54</v>
      </c>
      <c r="CQ34" s="250">
        <f>SUM(Start:Stop!CQ34)</f>
        <v>15</v>
      </c>
      <c r="CR34" s="250">
        <f>SUM(Start:Stop!CR34)</f>
        <v>28</v>
      </c>
      <c r="CS34" s="250">
        <f>SUM(Start:Stop!CS34)</f>
        <v>21</v>
      </c>
      <c r="CT34" s="250">
        <f>SUM(Start:Stop!CT34)</f>
        <v>29</v>
      </c>
      <c r="CU34" s="250">
        <f>SUM(Start:Stop!CU34)</f>
        <v>6</v>
      </c>
      <c r="CV34" s="360">
        <f>SUM(Start:Stop!CV34)</f>
        <v>187.10000000000002</v>
      </c>
      <c r="CW34" s="33"/>
      <c r="CX34" s="4"/>
      <c r="CY34" s="4"/>
      <c r="CZ34" s="4"/>
      <c r="DA34" s="33"/>
      <c r="DB34" s="28"/>
      <c r="DC34" s="28"/>
      <c r="DD34" s="24"/>
      <c r="DE34" s="514" t="s">
        <v>253</v>
      </c>
      <c r="DF34" s="523">
        <f>DA21*100</f>
        <v>13.750000000000002</v>
      </c>
      <c r="DG34" s="515">
        <v>29.4</v>
      </c>
      <c r="DH34" s="516">
        <v>30.3</v>
      </c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36"/>
      <c r="DT34" s="36"/>
      <c r="DU34" s="24"/>
      <c r="DV34" s="24"/>
      <c r="DW34" s="24"/>
      <c r="DX34" s="24"/>
      <c r="DY34" s="24"/>
      <c r="DZ34" s="24"/>
      <c r="EA34" s="24"/>
      <c r="EF34" s="228" t="s">
        <v>223</v>
      </c>
      <c r="EG34" s="37">
        <f>SUM(Start:Stop!EG34)</f>
        <v>171.81458654932911</v>
      </c>
      <c r="EW34" s="228" t="s">
        <v>223</v>
      </c>
      <c r="EX34" s="6">
        <f>SUM(Start:Stop!EX34)</f>
        <v>21.1</v>
      </c>
      <c r="EY34" s="6">
        <f>SUM(Start:Stop!EY34)</f>
        <v>28</v>
      </c>
      <c r="EZ34" s="6">
        <f>SUM(Start:Stop!EZ34)</f>
        <v>75.503416666666666</v>
      </c>
      <c r="GL34" s="33"/>
      <c r="GM34" s="42"/>
      <c r="GN34" s="28"/>
      <c r="GO34" s="28"/>
      <c r="GP34" s="28"/>
      <c r="GQ34" s="33"/>
      <c r="GR34" s="325"/>
      <c r="GS34" s="12"/>
    </row>
    <row r="35" spans="3:201" x14ac:dyDescent="0.2">
      <c r="C35" s="228" t="s">
        <v>80</v>
      </c>
      <c r="D35" s="308">
        <f>SUM(Start:Stop!D35)</f>
        <v>355.87666666666667</v>
      </c>
      <c r="E35" s="249">
        <f>SUM(Start:Stop!E35)</f>
        <v>92</v>
      </c>
      <c r="F35" s="228" t="s">
        <v>52</v>
      </c>
      <c r="G35" s="251">
        <f>SUM(Start:Stop!G35)</f>
        <v>176</v>
      </c>
      <c r="H35" s="228" t="s">
        <v>53</v>
      </c>
      <c r="I35" s="250">
        <f>SUM(Start:Stop!I35)</f>
        <v>49</v>
      </c>
      <c r="J35" s="251" t="s">
        <v>54</v>
      </c>
      <c r="K35" s="228">
        <f>SUM(Start:Stop!K35)</f>
        <v>50</v>
      </c>
      <c r="L35" s="250" t="s">
        <v>52</v>
      </c>
      <c r="M35" s="251">
        <f>SUM(Start:Stop!M35)</f>
        <v>77</v>
      </c>
      <c r="N35" s="228" t="s">
        <v>53</v>
      </c>
      <c r="O35" s="250">
        <f>SUM(Start:Stop!O35)</f>
        <v>24</v>
      </c>
      <c r="P35" s="251" t="s">
        <v>54</v>
      </c>
      <c r="Q35" s="228">
        <f>SUM(Start:Stop!Q35)</f>
        <v>11</v>
      </c>
      <c r="R35" s="250" t="s">
        <v>52</v>
      </c>
      <c r="S35" s="251">
        <f>SUM(Start:Stop!S35)</f>
        <v>23</v>
      </c>
      <c r="T35" s="228" t="s">
        <v>53</v>
      </c>
      <c r="U35" s="250">
        <f>SUM(Start:Stop!U35)</f>
        <v>1</v>
      </c>
      <c r="V35" s="251" t="s">
        <v>54</v>
      </c>
      <c r="W35" s="228">
        <f>SUM(Start:Stop!W35)</f>
        <v>31</v>
      </c>
      <c r="X35" s="228" t="s">
        <v>52</v>
      </c>
      <c r="Y35" s="251">
        <f>SUM(Start:Stop!Y35)</f>
        <v>76</v>
      </c>
      <c r="Z35" s="228" t="s">
        <v>53</v>
      </c>
      <c r="AA35" s="250">
        <f>SUM(Start:Stop!AA35)</f>
        <v>24</v>
      </c>
      <c r="AB35" s="251" t="s">
        <v>54</v>
      </c>
      <c r="AC35" s="331">
        <f>SUM(Start:Stop!AC35)</f>
        <v>13.35</v>
      </c>
      <c r="AD35" s="250" t="s">
        <v>52</v>
      </c>
      <c r="AE35" s="252">
        <f>SUM(Start:Stop!AE35)</f>
        <v>18</v>
      </c>
      <c r="AF35" s="228"/>
      <c r="AG35" s="249">
        <f>SUM(Start:Stop!AG35)</f>
        <v>72</v>
      </c>
      <c r="AH35" s="228" t="s">
        <v>52</v>
      </c>
      <c r="AI35" s="251">
        <f>SUM(Start:Stop!AI35)</f>
        <v>145</v>
      </c>
      <c r="AJ35" s="228" t="s">
        <v>53</v>
      </c>
      <c r="AK35" s="250">
        <f>SUM(Start:Stop!AK35)</f>
        <v>39</v>
      </c>
      <c r="AL35" s="251" t="s">
        <v>54</v>
      </c>
      <c r="AM35" s="228">
        <f>SUM(Start:Stop!AM35)</f>
        <v>39</v>
      </c>
      <c r="AN35" s="228" t="s">
        <v>52</v>
      </c>
      <c r="AO35" s="251">
        <f>SUM(Start:Stop!AO35)</f>
        <v>60</v>
      </c>
      <c r="AP35" s="228" t="s">
        <v>53</v>
      </c>
      <c r="AQ35" s="250">
        <f>SUM(Start:Stop!AQ35)</f>
        <v>19</v>
      </c>
      <c r="AR35" s="251" t="s">
        <v>54</v>
      </c>
      <c r="AS35" s="228">
        <f>SUM(Start:Stop!AS35)</f>
        <v>11</v>
      </c>
      <c r="AT35" s="228" t="s">
        <v>52</v>
      </c>
      <c r="AU35" s="251">
        <f>SUM(Start:Stop!AU35)</f>
        <v>23</v>
      </c>
      <c r="AV35" s="228" t="s">
        <v>53</v>
      </c>
      <c r="AW35" s="250">
        <f>SUM(Start:Stop!AW35)</f>
        <v>1</v>
      </c>
      <c r="AX35" s="251" t="s">
        <v>54</v>
      </c>
      <c r="AY35" s="228">
        <f>SUM(Start:Stop!AY35)</f>
        <v>22</v>
      </c>
      <c r="AZ35" s="228" t="s">
        <v>52</v>
      </c>
      <c r="BA35" s="251">
        <f>SUM(Start:Stop!BA35)</f>
        <v>62</v>
      </c>
      <c r="BB35" s="228" t="s">
        <v>53</v>
      </c>
      <c r="BC35" s="250">
        <f>SUM(Start:Stop!BC35)</f>
        <v>19</v>
      </c>
      <c r="BD35" s="251" t="s">
        <v>54</v>
      </c>
      <c r="BE35" s="228">
        <f>SUM(Start:Stop!BE35)</f>
        <v>0</v>
      </c>
      <c r="BF35" s="228" t="s">
        <v>52</v>
      </c>
      <c r="BG35" s="252">
        <f>SUM(Start:Stop!BG35)</f>
        <v>0</v>
      </c>
      <c r="BH35" s="228"/>
      <c r="BI35" s="249">
        <f>SUM(Start:Stop!BI35)</f>
        <v>20</v>
      </c>
      <c r="BJ35" s="250" t="s">
        <v>52</v>
      </c>
      <c r="BK35" s="251">
        <f>SUM(Start:Stop!BK35)</f>
        <v>31</v>
      </c>
      <c r="BL35" s="228" t="s">
        <v>53</v>
      </c>
      <c r="BM35" s="250">
        <f>SUM(Start:Stop!BM35)</f>
        <v>10</v>
      </c>
      <c r="BN35" s="251" t="s">
        <v>54</v>
      </c>
      <c r="BO35" s="228">
        <f>SUM(Start:Stop!BO35)</f>
        <v>11</v>
      </c>
      <c r="BP35" s="250" t="s">
        <v>52</v>
      </c>
      <c r="BQ35" s="251">
        <f>SUM(Start:Stop!BQ35)</f>
        <v>17</v>
      </c>
      <c r="BR35" s="228" t="s">
        <v>53</v>
      </c>
      <c r="BS35" s="250">
        <f>SUM(Start:Stop!BS35)</f>
        <v>5</v>
      </c>
      <c r="BT35" s="251" t="s">
        <v>54</v>
      </c>
      <c r="BU35" s="228">
        <f>SUM(Start:Stop!BU35)</f>
        <v>0</v>
      </c>
      <c r="BV35" s="250" t="s">
        <v>52</v>
      </c>
      <c r="BW35" s="251">
        <f>SUM(Start:Stop!BW35)</f>
        <v>0</v>
      </c>
      <c r="BX35" s="228" t="s">
        <v>53</v>
      </c>
      <c r="BY35" s="250">
        <f>SUM(Start:Stop!BY35)</f>
        <v>0</v>
      </c>
      <c r="BZ35" s="251" t="s">
        <v>54</v>
      </c>
      <c r="CA35" s="228">
        <f>SUM(Start:Stop!CA35)</f>
        <v>9</v>
      </c>
      <c r="CB35" s="250" t="s">
        <v>52</v>
      </c>
      <c r="CC35" s="251">
        <f>SUM(Start:Stop!CC35)</f>
        <v>14</v>
      </c>
      <c r="CD35" s="228" t="s">
        <v>53</v>
      </c>
      <c r="CE35" s="250">
        <f>SUM(Start:Stop!CE35)</f>
        <v>5</v>
      </c>
      <c r="CF35" s="251" t="s">
        <v>54</v>
      </c>
      <c r="CG35" s="228">
        <f>SUM(Start:Stop!CG35)</f>
        <v>0</v>
      </c>
      <c r="CH35" s="250" t="s">
        <v>52</v>
      </c>
      <c r="CI35" s="252">
        <f>SUM(Start:Stop!CI35)</f>
        <v>0</v>
      </c>
      <c r="CJ35" s="250">
        <f>SUM(Start:Stop!CJ35)</f>
        <v>18</v>
      </c>
      <c r="CK35" s="250">
        <f>SUM(Start:Stop!CK35)</f>
        <v>73</v>
      </c>
      <c r="CL35" s="250">
        <f>SUM(Start:Stop!CL35)</f>
        <v>0</v>
      </c>
      <c r="CM35" s="250">
        <f>SUM(Start:Stop!CM35)</f>
        <v>0</v>
      </c>
      <c r="CN35" s="250">
        <f>SUM(Start:Stop!CN35)</f>
        <v>91</v>
      </c>
      <c r="CO35" s="250">
        <f>SUM(Start:Stop!CO35)</f>
        <v>50</v>
      </c>
      <c r="CP35" s="250">
        <f>SUM(Start:Stop!CP35)</f>
        <v>48</v>
      </c>
      <c r="CQ35" s="250">
        <f>SUM(Start:Stop!CQ35)</f>
        <v>25</v>
      </c>
      <c r="CR35" s="250">
        <f>SUM(Start:Stop!CR35)</f>
        <v>18</v>
      </c>
      <c r="CS35" s="250">
        <f>SUM(Start:Stop!CS35)</f>
        <v>19</v>
      </c>
      <c r="CT35" s="250">
        <f>SUM(Start:Stop!CT35)</f>
        <v>36</v>
      </c>
      <c r="CU35" s="250">
        <f>SUM(Start:Stop!CU35)</f>
        <v>6</v>
      </c>
      <c r="CV35" s="360">
        <f>SUM(Start:Stop!CV35)</f>
        <v>228.35</v>
      </c>
      <c r="CW35" s="33"/>
      <c r="CX35" s="4"/>
      <c r="CY35" s="4"/>
      <c r="CZ35" s="4"/>
      <c r="DA35" s="4"/>
      <c r="DB35" s="8"/>
      <c r="DC35" s="8"/>
      <c r="DE35" s="512" t="s">
        <v>254</v>
      </c>
      <c r="DF35" s="524">
        <f>(W21/Y21)*100</f>
        <v>38.853503184713375</v>
      </c>
      <c r="DG35" s="499">
        <v>37.5</v>
      </c>
      <c r="DH35" s="501">
        <v>33.6</v>
      </c>
      <c r="DS35" s="10"/>
      <c r="DT35" s="10"/>
      <c r="EF35" s="228" t="s">
        <v>80</v>
      </c>
      <c r="EG35" s="37">
        <f>SUM(Start:Stop!EG35)</f>
        <v>194.30576038512424</v>
      </c>
      <c r="EW35" s="228" t="s">
        <v>80</v>
      </c>
      <c r="EX35" s="6">
        <f>SUM(Start:Stop!EX35)</f>
        <v>13.35</v>
      </c>
      <c r="EY35" s="6">
        <f>SUM(Start:Stop!EY35)</f>
        <v>18</v>
      </c>
      <c r="EZ35" s="6">
        <f>SUM(Start:Stop!EZ35)</f>
        <v>95.704583333333332</v>
      </c>
      <c r="GL35" s="33"/>
      <c r="GM35" s="42"/>
      <c r="GN35" s="28"/>
      <c r="GO35" s="28"/>
      <c r="GP35" s="28"/>
      <c r="GQ35" s="33"/>
      <c r="GR35" s="325"/>
      <c r="GS35" s="12"/>
    </row>
    <row r="36" spans="3:201" x14ac:dyDescent="0.2">
      <c r="C36" s="228" t="s">
        <v>224</v>
      </c>
      <c r="D36" s="308">
        <f>SUM(Start:Stop!D36)</f>
        <v>355.87666666666667</v>
      </c>
      <c r="E36" s="249">
        <f>SUM(Start:Stop!E36)</f>
        <v>88</v>
      </c>
      <c r="F36" s="228" t="s">
        <v>52</v>
      </c>
      <c r="G36" s="251">
        <f>SUM(Start:Stop!G36)</f>
        <v>183</v>
      </c>
      <c r="H36" s="228" t="s">
        <v>53</v>
      </c>
      <c r="I36" s="250">
        <f>SUM(Start:Stop!I36)</f>
        <v>56</v>
      </c>
      <c r="J36" s="251" t="s">
        <v>54</v>
      </c>
      <c r="K36" s="228">
        <f>SUM(Start:Stop!K36)</f>
        <v>40</v>
      </c>
      <c r="L36" s="250" t="s">
        <v>52</v>
      </c>
      <c r="M36" s="251">
        <f>SUM(Start:Stop!M36)</f>
        <v>67</v>
      </c>
      <c r="N36" s="228" t="s">
        <v>53</v>
      </c>
      <c r="O36" s="250">
        <f>SUM(Start:Stop!O36)</f>
        <v>21</v>
      </c>
      <c r="P36" s="251" t="s">
        <v>54</v>
      </c>
      <c r="Q36" s="228">
        <f>SUM(Start:Stop!Q36)</f>
        <v>10</v>
      </c>
      <c r="R36" s="250" t="s">
        <v>52</v>
      </c>
      <c r="S36" s="251">
        <f>SUM(Start:Stop!S36)</f>
        <v>25</v>
      </c>
      <c r="T36" s="228" t="s">
        <v>53</v>
      </c>
      <c r="U36" s="250">
        <f>SUM(Start:Stop!U36)</f>
        <v>2</v>
      </c>
      <c r="V36" s="251" t="s">
        <v>54</v>
      </c>
      <c r="W36" s="228">
        <f>SUM(Start:Stop!W36)</f>
        <v>38</v>
      </c>
      <c r="X36" s="228" t="s">
        <v>52</v>
      </c>
      <c r="Y36" s="251">
        <f>SUM(Start:Stop!Y36)</f>
        <v>91</v>
      </c>
      <c r="Z36" s="228" t="s">
        <v>53</v>
      </c>
      <c r="AA36" s="250">
        <f>SUM(Start:Stop!AA36)</f>
        <v>33</v>
      </c>
      <c r="AB36" s="251" t="s">
        <v>54</v>
      </c>
      <c r="AC36" s="331">
        <f>SUM(Start:Stop!AC36)</f>
        <v>22.950000000000003</v>
      </c>
      <c r="AD36" s="250" t="s">
        <v>52</v>
      </c>
      <c r="AE36" s="252">
        <f>SUM(Start:Stop!AE36)</f>
        <v>30</v>
      </c>
      <c r="AF36" s="228"/>
      <c r="AG36" s="249">
        <f>SUM(Start:Stop!AG36)</f>
        <v>73</v>
      </c>
      <c r="AH36" s="228" t="s">
        <v>52</v>
      </c>
      <c r="AI36" s="251">
        <f>SUM(Start:Stop!AI36)</f>
        <v>150</v>
      </c>
      <c r="AJ36" s="228" t="s">
        <v>53</v>
      </c>
      <c r="AK36" s="250">
        <f>SUM(Start:Stop!AK36)</f>
        <v>48</v>
      </c>
      <c r="AL36" s="251" t="s">
        <v>54</v>
      </c>
      <c r="AM36" s="228">
        <f>SUM(Start:Stop!AM36)</f>
        <v>32</v>
      </c>
      <c r="AN36" s="228" t="s">
        <v>52</v>
      </c>
      <c r="AO36" s="251">
        <f>SUM(Start:Stop!AO36)</f>
        <v>50</v>
      </c>
      <c r="AP36" s="228" t="s">
        <v>53</v>
      </c>
      <c r="AQ36" s="250">
        <f>SUM(Start:Stop!AQ36)</f>
        <v>17</v>
      </c>
      <c r="AR36" s="251" t="s">
        <v>54</v>
      </c>
      <c r="AS36" s="228">
        <f>SUM(Start:Stop!AS36)</f>
        <v>10</v>
      </c>
      <c r="AT36" s="228" t="s">
        <v>52</v>
      </c>
      <c r="AU36" s="251">
        <f>SUM(Start:Stop!AU36)</f>
        <v>24</v>
      </c>
      <c r="AV36" s="228" t="s">
        <v>53</v>
      </c>
      <c r="AW36" s="250">
        <f>SUM(Start:Stop!AW36)</f>
        <v>2</v>
      </c>
      <c r="AX36" s="251" t="s">
        <v>54</v>
      </c>
      <c r="AY36" s="228">
        <f>SUM(Start:Stop!AY36)</f>
        <v>31</v>
      </c>
      <c r="AZ36" s="228" t="s">
        <v>52</v>
      </c>
      <c r="BA36" s="251">
        <f>SUM(Start:Stop!BA36)</f>
        <v>76</v>
      </c>
      <c r="BB36" s="228" t="s">
        <v>53</v>
      </c>
      <c r="BC36" s="250">
        <f>SUM(Start:Stop!BC36)</f>
        <v>29</v>
      </c>
      <c r="BD36" s="251" t="s">
        <v>54</v>
      </c>
      <c r="BE36" s="228">
        <f>SUM(Start:Stop!BE36)</f>
        <v>0</v>
      </c>
      <c r="BF36" s="228" t="s">
        <v>52</v>
      </c>
      <c r="BG36" s="252">
        <f>SUM(Start:Stop!BG36)</f>
        <v>0</v>
      </c>
      <c r="BH36" s="228"/>
      <c r="BI36" s="249">
        <f>SUM(Start:Stop!BI36)</f>
        <v>15</v>
      </c>
      <c r="BJ36" s="250" t="s">
        <v>52</v>
      </c>
      <c r="BK36" s="251">
        <f>SUM(Start:Stop!BK36)</f>
        <v>33</v>
      </c>
      <c r="BL36" s="228" t="s">
        <v>53</v>
      </c>
      <c r="BM36" s="250">
        <f>SUM(Start:Stop!BM36)</f>
        <v>8</v>
      </c>
      <c r="BN36" s="251" t="s">
        <v>54</v>
      </c>
      <c r="BO36" s="228">
        <f>SUM(Start:Stop!BO36)</f>
        <v>8</v>
      </c>
      <c r="BP36" s="250" t="s">
        <v>52</v>
      </c>
      <c r="BQ36" s="251">
        <f>SUM(Start:Stop!BQ36)</f>
        <v>17</v>
      </c>
      <c r="BR36" s="228" t="s">
        <v>53</v>
      </c>
      <c r="BS36" s="250">
        <f>SUM(Start:Stop!BS36)</f>
        <v>4</v>
      </c>
      <c r="BT36" s="251" t="s">
        <v>54</v>
      </c>
      <c r="BU36" s="228">
        <f>SUM(Start:Stop!BU36)</f>
        <v>0</v>
      </c>
      <c r="BV36" s="250" t="s">
        <v>52</v>
      </c>
      <c r="BW36" s="251">
        <f>SUM(Start:Stop!BW36)</f>
        <v>1</v>
      </c>
      <c r="BX36" s="228" t="s">
        <v>53</v>
      </c>
      <c r="BY36" s="250">
        <f>SUM(Start:Stop!BY36)</f>
        <v>0</v>
      </c>
      <c r="BZ36" s="251" t="s">
        <v>54</v>
      </c>
      <c r="CA36" s="228">
        <f>SUM(Start:Stop!CA36)</f>
        <v>7</v>
      </c>
      <c r="CB36" s="250" t="s">
        <v>52</v>
      </c>
      <c r="CC36" s="251">
        <f>SUM(Start:Stop!CC36)</f>
        <v>15</v>
      </c>
      <c r="CD36" s="228" t="s">
        <v>53</v>
      </c>
      <c r="CE36" s="250">
        <f>SUM(Start:Stop!CE36)</f>
        <v>4</v>
      </c>
      <c r="CF36" s="251" t="s">
        <v>54</v>
      </c>
      <c r="CG36" s="228">
        <f>SUM(Start:Stop!CG36)</f>
        <v>0</v>
      </c>
      <c r="CH36" s="250" t="s">
        <v>52</v>
      </c>
      <c r="CI36" s="252">
        <f>SUM(Start:Stop!CI36)</f>
        <v>0</v>
      </c>
      <c r="CJ36" s="250">
        <f>SUM(Start:Stop!CJ36)</f>
        <v>20</v>
      </c>
      <c r="CK36" s="250">
        <f>SUM(Start:Stop!CK36)</f>
        <v>64</v>
      </c>
      <c r="CL36" s="250">
        <f>SUM(Start:Stop!CL36)</f>
        <v>0</v>
      </c>
      <c r="CM36" s="250">
        <f>SUM(Start:Stop!CM36)</f>
        <v>0</v>
      </c>
      <c r="CN36" s="250">
        <f>SUM(Start:Stop!CN36)</f>
        <v>84</v>
      </c>
      <c r="CO36" s="250">
        <f>SUM(Start:Stop!CO36)</f>
        <v>56</v>
      </c>
      <c r="CP36" s="250">
        <f>SUM(Start:Stop!CP36)</f>
        <v>67</v>
      </c>
      <c r="CQ36" s="250">
        <f>SUM(Start:Stop!CQ36)</f>
        <v>13</v>
      </c>
      <c r="CR36" s="250">
        <f>SUM(Start:Stop!CR36)</f>
        <v>30</v>
      </c>
      <c r="CS36" s="250">
        <f>SUM(Start:Stop!CS36)</f>
        <v>25</v>
      </c>
      <c r="CT36" s="250">
        <f>SUM(Start:Stop!CT36)</f>
        <v>29</v>
      </c>
      <c r="CU36" s="250">
        <f>SUM(Start:Stop!CU36)</f>
        <v>9</v>
      </c>
      <c r="CV36" s="360">
        <f>SUM(Start:Stop!CV36)</f>
        <v>236.95000000000002</v>
      </c>
      <c r="CW36" s="33"/>
      <c r="CX36" s="4"/>
      <c r="CY36" s="4"/>
      <c r="CZ36" s="4"/>
      <c r="DA36" s="4"/>
      <c r="DB36" s="8"/>
      <c r="DC36" s="8"/>
      <c r="DE36" s="514" t="s">
        <v>255</v>
      </c>
      <c r="DF36" s="523">
        <f>((K21+Q21)/(M21+S21))*100</f>
        <v>52.760736196319016</v>
      </c>
      <c r="DG36" s="515">
        <v>55.5</v>
      </c>
      <c r="DH36" s="516">
        <v>49.7</v>
      </c>
      <c r="DS36" s="10"/>
      <c r="DT36" s="10"/>
      <c r="EF36" s="228" t="s">
        <v>224</v>
      </c>
      <c r="EG36" s="37">
        <f>SUM(Start:Stop!EG36)</f>
        <v>195.01096099016823</v>
      </c>
      <c r="EW36" s="228" t="s">
        <v>224</v>
      </c>
      <c r="EX36" s="6">
        <f>SUM(Start:Stop!EX36)</f>
        <v>22.950000000000003</v>
      </c>
      <c r="EY36" s="6">
        <f>SUM(Start:Stop!EY36)</f>
        <v>30</v>
      </c>
      <c r="EZ36" s="6">
        <f>SUM(Start:Stop!EZ36)</f>
        <v>97.315833333333345</v>
      </c>
      <c r="GL36" s="33"/>
      <c r="GM36" s="42"/>
      <c r="GN36" s="90"/>
      <c r="GO36" s="90"/>
      <c r="GP36" s="90"/>
      <c r="GQ36" s="33"/>
      <c r="GR36" s="325"/>
      <c r="GS36" s="12"/>
    </row>
    <row r="37" spans="3:201" x14ac:dyDescent="0.2">
      <c r="C37" s="228" t="s">
        <v>112</v>
      </c>
      <c r="D37" s="308">
        <f>SUM(Start:Stop!D37)</f>
        <v>355.87666666666667</v>
      </c>
      <c r="E37" s="249">
        <f>SUM(Start:Stop!E37)</f>
        <v>79</v>
      </c>
      <c r="F37" s="228" t="s">
        <v>52</v>
      </c>
      <c r="G37" s="251">
        <f>SUM(Start:Stop!G37)</f>
        <v>164</v>
      </c>
      <c r="H37" s="228" t="s">
        <v>53</v>
      </c>
      <c r="I37" s="250">
        <f>SUM(Start:Stop!I37)</f>
        <v>48</v>
      </c>
      <c r="J37" s="251" t="s">
        <v>54</v>
      </c>
      <c r="K37" s="228">
        <f>SUM(Start:Stop!K37)</f>
        <v>42</v>
      </c>
      <c r="L37" s="250" t="s">
        <v>52</v>
      </c>
      <c r="M37" s="251">
        <f>SUM(Start:Stop!M37)</f>
        <v>66</v>
      </c>
      <c r="N37" s="228" t="s">
        <v>53</v>
      </c>
      <c r="O37" s="250">
        <f>SUM(Start:Stop!O37)</f>
        <v>23</v>
      </c>
      <c r="P37" s="251" t="s">
        <v>54</v>
      </c>
      <c r="Q37" s="228">
        <f>SUM(Start:Stop!Q37)</f>
        <v>9</v>
      </c>
      <c r="R37" s="250" t="s">
        <v>52</v>
      </c>
      <c r="S37" s="251">
        <f>SUM(Start:Stop!S37)</f>
        <v>24</v>
      </c>
      <c r="T37" s="228" t="s">
        <v>53</v>
      </c>
      <c r="U37" s="250">
        <f>SUM(Start:Stop!U37)</f>
        <v>1</v>
      </c>
      <c r="V37" s="251" t="s">
        <v>54</v>
      </c>
      <c r="W37" s="228">
        <f>SUM(Start:Stop!W37)</f>
        <v>28</v>
      </c>
      <c r="X37" s="228" t="s">
        <v>52</v>
      </c>
      <c r="Y37" s="251">
        <f>SUM(Start:Stop!Y37)</f>
        <v>74</v>
      </c>
      <c r="Z37" s="228" t="s">
        <v>53</v>
      </c>
      <c r="AA37" s="250">
        <f>SUM(Start:Stop!AA37)</f>
        <v>24</v>
      </c>
      <c r="AB37" s="251" t="s">
        <v>54</v>
      </c>
      <c r="AC37" s="331">
        <f>SUM(Start:Stop!AC37)</f>
        <v>11.95</v>
      </c>
      <c r="AD37" s="250" t="s">
        <v>52</v>
      </c>
      <c r="AE37" s="252">
        <f>SUM(Start:Stop!AE37)</f>
        <v>16</v>
      </c>
      <c r="AF37" s="228"/>
      <c r="AG37" s="249">
        <f>SUM(Start:Stop!AG37)</f>
        <v>61</v>
      </c>
      <c r="AH37" s="228" t="s">
        <v>52</v>
      </c>
      <c r="AI37" s="251">
        <f>SUM(Start:Stop!AI37)</f>
        <v>134</v>
      </c>
      <c r="AJ37" s="228" t="s">
        <v>53</v>
      </c>
      <c r="AK37" s="250">
        <f>SUM(Start:Stop!AK37)</f>
        <v>36</v>
      </c>
      <c r="AL37" s="251" t="s">
        <v>54</v>
      </c>
      <c r="AM37" s="228">
        <f>SUM(Start:Stop!AM37)</f>
        <v>32</v>
      </c>
      <c r="AN37" s="228" t="s">
        <v>52</v>
      </c>
      <c r="AO37" s="251">
        <f>SUM(Start:Stop!AO37)</f>
        <v>50</v>
      </c>
      <c r="AP37" s="228" t="s">
        <v>53</v>
      </c>
      <c r="AQ37" s="250">
        <f>SUM(Start:Stop!AQ37)</f>
        <v>17</v>
      </c>
      <c r="AR37" s="251" t="s">
        <v>54</v>
      </c>
      <c r="AS37" s="228">
        <f>SUM(Start:Stop!AS37)</f>
        <v>9</v>
      </c>
      <c r="AT37" s="228" t="s">
        <v>52</v>
      </c>
      <c r="AU37" s="251">
        <f>SUM(Start:Stop!AU37)</f>
        <v>23</v>
      </c>
      <c r="AV37" s="228" t="s">
        <v>53</v>
      </c>
      <c r="AW37" s="250">
        <f>SUM(Start:Stop!AW37)</f>
        <v>1</v>
      </c>
      <c r="AX37" s="251" t="s">
        <v>54</v>
      </c>
      <c r="AY37" s="228">
        <f>SUM(Start:Stop!AY37)</f>
        <v>20</v>
      </c>
      <c r="AZ37" s="228" t="s">
        <v>52</v>
      </c>
      <c r="BA37" s="251">
        <f>SUM(Start:Stop!BA37)</f>
        <v>61</v>
      </c>
      <c r="BB37" s="228" t="s">
        <v>53</v>
      </c>
      <c r="BC37" s="250">
        <f>SUM(Start:Stop!BC37)</f>
        <v>18</v>
      </c>
      <c r="BD37" s="251" t="s">
        <v>54</v>
      </c>
      <c r="BE37" s="228">
        <f>SUM(Start:Stop!BE37)</f>
        <v>0</v>
      </c>
      <c r="BF37" s="228" t="s">
        <v>52</v>
      </c>
      <c r="BG37" s="252">
        <f>SUM(Start:Stop!BG37)</f>
        <v>0</v>
      </c>
      <c r="BH37" s="228"/>
      <c r="BI37" s="249">
        <f>SUM(Start:Stop!BI37)</f>
        <v>18</v>
      </c>
      <c r="BJ37" s="250" t="s">
        <v>52</v>
      </c>
      <c r="BK37" s="251">
        <f>SUM(Start:Stop!BK37)</f>
        <v>30</v>
      </c>
      <c r="BL37" s="228" t="s">
        <v>53</v>
      </c>
      <c r="BM37" s="250">
        <f>SUM(Start:Stop!BM37)</f>
        <v>12</v>
      </c>
      <c r="BN37" s="251" t="s">
        <v>54</v>
      </c>
      <c r="BO37" s="228">
        <f>SUM(Start:Stop!BO37)</f>
        <v>10</v>
      </c>
      <c r="BP37" s="250" t="s">
        <v>52</v>
      </c>
      <c r="BQ37" s="251">
        <f>SUM(Start:Stop!BQ37)</f>
        <v>16</v>
      </c>
      <c r="BR37" s="228" t="s">
        <v>53</v>
      </c>
      <c r="BS37" s="250">
        <f>SUM(Start:Stop!BS37)</f>
        <v>6</v>
      </c>
      <c r="BT37" s="251" t="s">
        <v>54</v>
      </c>
      <c r="BU37" s="228">
        <f>SUM(Start:Stop!BU37)</f>
        <v>0</v>
      </c>
      <c r="BV37" s="250" t="s">
        <v>52</v>
      </c>
      <c r="BW37" s="251">
        <f>SUM(Start:Stop!BW37)</f>
        <v>1</v>
      </c>
      <c r="BX37" s="228" t="s">
        <v>53</v>
      </c>
      <c r="BY37" s="250">
        <f>SUM(Start:Stop!BY37)</f>
        <v>0</v>
      </c>
      <c r="BZ37" s="251" t="s">
        <v>54</v>
      </c>
      <c r="CA37" s="228">
        <f>SUM(Start:Stop!CA37)</f>
        <v>8</v>
      </c>
      <c r="CB37" s="250" t="s">
        <v>52</v>
      </c>
      <c r="CC37" s="251">
        <f>SUM(Start:Stop!CC37)</f>
        <v>13</v>
      </c>
      <c r="CD37" s="228" t="s">
        <v>53</v>
      </c>
      <c r="CE37" s="250">
        <f>SUM(Start:Stop!CE37)</f>
        <v>6</v>
      </c>
      <c r="CF37" s="251" t="s">
        <v>54</v>
      </c>
      <c r="CG37" s="228">
        <f>SUM(Start:Stop!CG37)</f>
        <v>0</v>
      </c>
      <c r="CH37" s="250" t="s">
        <v>52</v>
      </c>
      <c r="CI37" s="252">
        <f>SUM(Start:Stop!CI37)</f>
        <v>0</v>
      </c>
      <c r="CJ37" s="250">
        <f>SUM(Start:Stop!CJ37)</f>
        <v>19</v>
      </c>
      <c r="CK37" s="250">
        <f>SUM(Start:Stop!CK37)</f>
        <v>73</v>
      </c>
      <c r="CL37" s="250">
        <f>SUM(Start:Stop!CL37)</f>
        <v>0</v>
      </c>
      <c r="CM37" s="250">
        <f>SUM(Start:Stop!CM37)</f>
        <v>0</v>
      </c>
      <c r="CN37" s="250">
        <f>SUM(Start:Stop!CN37)</f>
        <v>92</v>
      </c>
      <c r="CO37" s="250">
        <f>SUM(Start:Stop!CO37)</f>
        <v>49</v>
      </c>
      <c r="CP37" s="250">
        <f>SUM(Start:Stop!CP37)</f>
        <v>49</v>
      </c>
      <c r="CQ37" s="250">
        <f>SUM(Start:Stop!CQ37)</f>
        <v>29</v>
      </c>
      <c r="CR37" s="250">
        <f>SUM(Start:Stop!CR37)</f>
        <v>16</v>
      </c>
      <c r="CS37" s="250">
        <f>SUM(Start:Stop!CS37)</f>
        <v>16</v>
      </c>
      <c r="CT37" s="250">
        <f>SUM(Start:Stop!CT37)</f>
        <v>41</v>
      </c>
      <c r="CU37" s="250">
        <f>SUM(Start:Stop!CU37)</f>
        <v>6</v>
      </c>
      <c r="CV37" s="360">
        <f>SUM(Start:Stop!CV37)</f>
        <v>197.95</v>
      </c>
      <c r="CW37" s="33"/>
      <c r="CX37" s="4"/>
      <c r="CY37" s="4"/>
      <c r="CZ37" s="4"/>
      <c r="DA37" s="4"/>
      <c r="DB37" s="8"/>
      <c r="DC37" s="8"/>
      <c r="DE37" s="512" t="s">
        <v>256</v>
      </c>
      <c r="DF37" s="524">
        <f>(Y21/G21)*100</f>
        <v>49.0625</v>
      </c>
      <c r="DG37" s="499">
        <v>54.8</v>
      </c>
      <c r="DH37" s="501">
        <v>37.700000000000003</v>
      </c>
      <c r="DS37" s="10"/>
      <c r="DT37" s="10"/>
      <c r="EF37" s="228" t="s">
        <v>112</v>
      </c>
      <c r="EG37" s="37">
        <f>SUM(Start:Stop!EG37)</f>
        <v>186.85794824077217</v>
      </c>
      <c r="EW37" s="228" t="s">
        <v>112</v>
      </c>
      <c r="EX37" s="6">
        <f>SUM(Start:Stop!EX37)</f>
        <v>11.95</v>
      </c>
      <c r="EY37" s="6">
        <f>SUM(Start:Stop!EY37)</f>
        <v>16</v>
      </c>
      <c r="EZ37" s="6">
        <f>SUM(Start:Stop!EZ37)</f>
        <v>82.976333333333343</v>
      </c>
      <c r="GL37" s="33"/>
      <c r="GM37" s="42"/>
      <c r="GN37" s="90"/>
      <c r="GO37" s="90"/>
      <c r="GP37" s="90"/>
      <c r="GQ37" s="33"/>
      <c r="GR37" s="325"/>
      <c r="GS37" s="12"/>
    </row>
    <row r="38" spans="3:201" x14ac:dyDescent="0.2">
      <c r="C38" s="229" t="s">
        <v>81</v>
      </c>
      <c r="D38" s="308">
        <f>SUM(Start:Stop!D38)</f>
        <v>355.87666666666667</v>
      </c>
      <c r="E38" s="249">
        <f>SUM(Start:Stop!E38)</f>
        <v>68</v>
      </c>
      <c r="F38" s="228" t="s">
        <v>52</v>
      </c>
      <c r="G38" s="251">
        <f>SUM(Start:Stop!G38)</f>
        <v>147</v>
      </c>
      <c r="H38" s="228" t="s">
        <v>53</v>
      </c>
      <c r="I38" s="250">
        <f>SUM(Start:Stop!I38)</f>
        <v>37</v>
      </c>
      <c r="J38" s="251" t="s">
        <v>54</v>
      </c>
      <c r="K38" s="228">
        <f>SUM(Start:Stop!K38)</f>
        <v>31</v>
      </c>
      <c r="L38" s="250" t="s">
        <v>52</v>
      </c>
      <c r="M38" s="251">
        <f>SUM(Start:Stop!M38)</f>
        <v>50</v>
      </c>
      <c r="N38" s="228" t="s">
        <v>53</v>
      </c>
      <c r="O38" s="250">
        <f>SUM(Start:Stop!O38)</f>
        <v>11</v>
      </c>
      <c r="P38" s="251" t="s">
        <v>54</v>
      </c>
      <c r="Q38" s="228">
        <f>SUM(Start:Stop!Q38)</f>
        <v>7</v>
      </c>
      <c r="R38" s="250" t="s">
        <v>52</v>
      </c>
      <c r="S38" s="251">
        <f>SUM(Start:Stop!S38)</f>
        <v>24</v>
      </c>
      <c r="T38" s="228" t="s">
        <v>53</v>
      </c>
      <c r="U38" s="250">
        <f>SUM(Start:Stop!U38)</f>
        <v>1</v>
      </c>
      <c r="V38" s="251" t="s">
        <v>54</v>
      </c>
      <c r="W38" s="228">
        <f>SUM(Start:Stop!W38)</f>
        <v>30</v>
      </c>
      <c r="X38" s="228" t="s">
        <v>52</v>
      </c>
      <c r="Y38" s="251">
        <f>SUM(Start:Stop!Y38)</f>
        <v>73</v>
      </c>
      <c r="Z38" s="228" t="s">
        <v>53</v>
      </c>
      <c r="AA38" s="250">
        <f>SUM(Start:Stop!AA38)</f>
        <v>25</v>
      </c>
      <c r="AB38" s="251" t="s">
        <v>54</v>
      </c>
      <c r="AC38" s="331">
        <f>SUM(Start:Stop!AC38)</f>
        <v>16.95</v>
      </c>
      <c r="AD38" s="250" t="s">
        <v>52</v>
      </c>
      <c r="AE38" s="252">
        <f>SUM(Start:Stop!AE38)</f>
        <v>23</v>
      </c>
      <c r="AF38" s="228"/>
      <c r="AG38" s="249">
        <f>SUM(Start:Stop!AG38)</f>
        <v>56</v>
      </c>
      <c r="AH38" s="228" t="s">
        <v>52</v>
      </c>
      <c r="AI38" s="251">
        <f>SUM(Start:Stop!AI38)</f>
        <v>121</v>
      </c>
      <c r="AJ38" s="228" t="s">
        <v>53</v>
      </c>
      <c r="AK38" s="250">
        <f>SUM(Start:Stop!AK38)</f>
        <v>32</v>
      </c>
      <c r="AL38" s="251" t="s">
        <v>54</v>
      </c>
      <c r="AM38" s="228">
        <f>SUM(Start:Stop!AM38)</f>
        <v>25</v>
      </c>
      <c r="AN38" s="228" t="s">
        <v>52</v>
      </c>
      <c r="AO38" s="251">
        <f>SUM(Start:Stop!AO38)</f>
        <v>42</v>
      </c>
      <c r="AP38" s="228" t="s">
        <v>53</v>
      </c>
      <c r="AQ38" s="250">
        <f>SUM(Start:Stop!AQ38)</f>
        <v>9</v>
      </c>
      <c r="AR38" s="251" t="s">
        <v>54</v>
      </c>
      <c r="AS38" s="228">
        <f>SUM(Start:Stop!AS38)</f>
        <v>7</v>
      </c>
      <c r="AT38" s="228" t="s">
        <v>52</v>
      </c>
      <c r="AU38" s="251">
        <f>SUM(Start:Stop!AU38)</f>
        <v>23</v>
      </c>
      <c r="AV38" s="228" t="s">
        <v>53</v>
      </c>
      <c r="AW38" s="250">
        <f>SUM(Start:Stop!AW38)</f>
        <v>1</v>
      </c>
      <c r="AX38" s="251" t="s">
        <v>54</v>
      </c>
      <c r="AY38" s="228">
        <f>SUM(Start:Stop!AY38)</f>
        <v>24</v>
      </c>
      <c r="AZ38" s="228" t="s">
        <v>52</v>
      </c>
      <c r="BA38" s="251">
        <f>SUM(Start:Stop!BA38)</f>
        <v>56</v>
      </c>
      <c r="BB38" s="228" t="s">
        <v>53</v>
      </c>
      <c r="BC38" s="250">
        <f>SUM(Start:Stop!BC38)</f>
        <v>22</v>
      </c>
      <c r="BD38" s="251" t="s">
        <v>54</v>
      </c>
      <c r="BE38" s="228">
        <f>SUM(Start:Stop!BE38)</f>
        <v>0</v>
      </c>
      <c r="BF38" s="228" t="s">
        <v>52</v>
      </c>
      <c r="BG38" s="252">
        <f>SUM(Start:Stop!BG38)</f>
        <v>0</v>
      </c>
      <c r="BH38" s="228"/>
      <c r="BI38" s="249">
        <f>SUM(Start:Stop!BI38)</f>
        <v>12</v>
      </c>
      <c r="BJ38" s="250" t="s">
        <v>52</v>
      </c>
      <c r="BK38" s="251">
        <f>SUM(Start:Stop!BK38)</f>
        <v>26</v>
      </c>
      <c r="BL38" s="228" t="s">
        <v>53</v>
      </c>
      <c r="BM38" s="250">
        <f>SUM(Start:Stop!BM38)</f>
        <v>5</v>
      </c>
      <c r="BN38" s="251" t="s">
        <v>54</v>
      </c>
      <c r="BO38" s="228">
        <f>SUM(Start:Stop!BO38)</f>
        <v>6</v>
      </c>
      <c r="BP38" s="250" t="s">
        <v>52</v>
      </c>
      <c r="BQ38" s="251">
        <f>SUM(Start:Stop!BQ38)</f>
        <v>8</v>
      </c>
      <c r="BR38" s="228" t="s">
        <v>53</v>
      </c>
      <c r="BS38" s="250">
        <f>SUM(Start:Stop!BS38)</f>
        <v>2</v>
      </c>
      <c r="BT38" s="251" t="s">
        <v>54</v>
      </c>
      <c r="BU38" s="228">
        <f>SUM(Start:Stop!BU38)</f>
        <v>0</v>
      </c>
      <c r="BV38" s="250" t="s">
        <v>52</v>
      </c>
      <c r="BW38" s="251">
        <f>SUM(Start:Stop!BW38)</f>
        <v>1</v>
      </c>
      <c r="BX38" s="228" t="s">
        <v>53</v>
      </c>
      <c r="BY38" s="250">
        <f>SUM(Start:Stop!BY38)</f>
        <v>0</v>
      </c>
      <c r="BZ38" s="251" t="s">
        <v>54</v>
      </c>
      <c r="CA38" s="228">
        <f>SUM(Start:Stop!CA38)</f>
        <v>6</v>
      </c>
      <c r="CB38" s="250" t="s">
        <v>52</v>
      </c>
      <c r="CC38" s="251">
        <f>SUM(Start:Stop!CC38)</f>
        <v>17</v>
      </c>
      <c r="CD38" s="228" t="s">
        <v>53</v>
      </c>
      <c r="CE38" s="250">
        <f>SUM(Start:Stop!CE38)</f>
        <v>3</v>
      </c>
      <c r="CF38" s="251" t="s">
        <v>54</v>
      </c>
      <c r="CG38" s="228">
        <f>SUM(Start:Stop!CG38)</f>
        <v>0</v>
      </c>
      <c r="CH38" s="250" t="s">
        <v>52</v>
      </c>
      <c r="CI38" s="252">
        <f>SUM(Start:Stop!CI38)</f>
        <v>0</v>
      </c>
      <c r="CJ38" s="250">
        <f>SUM(Start:Stop!CJ38)</f>
        <v>14</v>
      </c>
      <c r="CK38" s="250">
        <f>SUM(Start:Stop!CK38)</f>
        <v>72</v>
      </c>
      <c r="CL38" s="250">
        <f>SUM(Start:Stop!CL38)</f>
        <v>0</v>
      </c>
      <c r="CM38" s="250">
        <f>SUM(Start:Stop!CM38)</f>
        <v>0</v>
      </c>
      <c r="CN38" s="250">
        <f>SUM(Start:Stop!CN38)</f>
        <v>86</v>
      </c>
      <c r="CO38" s="250">
        <f>SUM(Start:Stop!CO38)</f>
        <v>38</v>
      </c>
      <c r="CP38" s="250">
        <f>SUM(Start:Stop!CP38)</f>
        <v>45</v>
      </c>
      <c r="CQ38" s="250">
        <f>SUM(Start:Stop!CQ38)</f>
        <v>20</v>
      </c>
      <c r="CR38" s="250">
        <f>SUM(Start:Stop!CR38)</f>
        <v>23</v>
      </c>
      <c r="CS38" s="250">
        <f>SUM(Start:Stop!CS38)</f>
        <v>16</v>
      </c>
      <c r="CT38" s="250">
        <f>SUM(Start:Stop!CT38)</f>
        <v>37</v>
      </c>
      <c r="CU38" s="250">
        <f>SUM(Start:Stop!CU38)</f>
        <v>5</v>
      </c>
      <c r="CV38" s="360">
        <f>SUM(Start:Stop!CV38)</f>
        <v>182.95000000000002</v>
      </c>
      <c r="CW38" s="33"/>
      <c r="CX38" s="4"/>
      <c r="CY38" s="4"/>
      <c r="CZ38" s="4"/>
      <c r="DA38" s="4"/>
      <c r="DB38" s="8"/>
      <c r="DC38" s="8"/>
      <c r="DE38" s="514" t="s">
        <v>162</v>
      </c>
      <c r="DF38" s="523">
        <f>DB27*100</f>
        <v>60.544217687074834</v>
      </c>
      <c r="DG38" s="515">
        <v>62</v>
      </c>
      <c r="DH38" s="516">
        <v>50.9</v>
      </c>
      <c r="DS38" s="10"/>
      <c r="DT38" s="10"/>
      <c r="EF38" s="229" t="s">
        <v>81</v>
      </c>
      <c r="EG38" s="37">
        <f>SUM(Start:Stop!EG38)</f>
        <v>170.90888407624968</v>
      </c>
      <c r="EW38" s="229" t="s">
        <v>81</v>
      </c>
      <c r="EX38" s="6">
        <f>SUM(Start:Stop!EX38)</f>
        <v>16.95</v>
      </c>
      <c r="EY38" s="6">
        <f>SUM(Start:Stop!EY38)</f>
        <v>23</v>
      </c>
      <c r="EZ38" s="6">
        <f>SUM(Start:Stop!EZ38)</f>
        <v>74.556416666666664</v>
      </c>
      <c r="GL38" s="33"/>
      <c r="GM38" s="42"/>
      <c r="GN38" s="58"/>
      <c r="GO38" s="58"/>
      <c r="GP38" s="58"/>
      <c r="GQ38" s="33"/>
      <c r="GR38" s="325"/>
      <c r="GS38" s="12"/>
    </row>
    <row r="39" spans="3:201" x14ac:dyDescent="0.2">
      <c r="C39" s="229" t="s">
        <v>225</v>
      </c>
      <c r="D39" s="308">
        <f>SUM(Start:Stop!D39)</f>
        <v>355.87666666666667</v>
      </c>
      <c r="E39" s="249">
        <f>SUM(Start:Stop!E39)</f>
        <v>80</v>
      </c>
      <c r="F39" s="228" t="s">
        <v>52</v>
      </c>
      <c r="G39" s="251">
        <f>SUM(Start:Stop!G39)</f>
        <v>165</v>
      </c>
      <c r="H39" s="228" t="s">
        <v>53</v>
      </c>
      <c r="I39" s="250">
        <f>SUM(Start:Stop!I39)</f>
        <v>49</v>
      </c>
      <c r="J39" s="251" t="s">
        <v>54</v>
      </c>
      <c r="K39" s="228">
        <f>SUM(Start:Stop!K39)</f>
        <v>42</v>
      </c>
      <c r="L39" s="250" t="s">
        <v>52</v>
      </c>
      <c r="M39" s="251">
        <f>SUM(Start:Stop!M39)</f>
        <v>65</v>
      </c>
      <c r="N39" s="228" t="s">
        <v>53</v>
      </c>
      <c r="O39" s="250">
        <f>SUM(Start:Stop!O39)</f>
        <v>23</v>
      </c>
      <c r="P39" s="251" t="s">
        <v>54</v>
      </c>
      <c r="Q39" s="228">
        <f>SUM(Start:Stop!Q39)</f>
        <v>9</v>
      </c>
      <c r="R39" s="250" t="s">
        <v>52</v>
      </c>
      <c r="S39" s="251">
        <f>SUM(Start:Stop!S39)</f>
        <v>23</v>
      </c>
      <c r="T39" s="228" t="s">
        <v>53</v>
      </c>
      <c r="U39" s="250">
        <f>SUM(Start:Stop!U39)</f>
        <v>1</v>
      </c>
      <c r="V39" s="251" t="s">
        <v>54</v>
      </c>
      <c r="W39" s="228">
        <f>SUM(Start:Stop!W39)</f>
        <v>29</v>
      </c>
      <c r="X39" s="228" t="s">
        <v>52</v>
      </c>
      <c r="Y39" s="251">
        <f>SUM(Start:Stop!Y39)</f>
        <v>77</v>
      </c>
      <c r="Z39" s="228" t="s">
        <v>53</v>
      </c>
      <c r="AA39" s="250">
        <f>SUM(Start:Stop!AA39)</f>
        <v>25</v>
      </c>
      <c r="AB39" s="251" t="s">
        <v>54</v>
      </c>
      <c r="AC39" s="331">
        <f>SUM(Start:Stop!AC39)</f>
        <v>11.95</v>
      </c>
      <c r="AD39" s="250" t="s">
        <v>52</v>
      </c>
      <c r="AE39" s="252">
        <f>SUM(Start:Stop!AE39)</f>
        <v>16</v>
      </c>
      <c r="AF39" s="228"/>
      <c r="AG39" s="249">
        <f>SUM(Start:Stop!AG39)</f>
        <v>61</v>
      </c>
      <c r="AH39" s="228" t="s">
        <v>52</v>
      </c>
      <c r="AI39" s="251">
        <f>SUM(Start:Stop!AI39)</f>
        <v>136</v>
      </c>
      <c r="AJ39" s="228" t="s">
        <v>53</v>
      </c>
      <c r="AK39" s="250">
        <f>SUM(Start:Stop!AK39)</f>
        <v>37</v>
      </c>
      <c r="AL39" s="251" t="s">
        <v>54</v>
      </c>
      <c r="AM39" s="228">
        <f>SUM(Start:Stop!AM39)</f>
        <v>31</v>
      </c>
      <c r="AN39" s="228" t="s">
        <v>52</v>
      </c>
      <c r="AO39" s="251">
        <f>SUM(Start:Stop!AO39)</f>
        <v>48</v>
      </c>
      <c r="AP39" s="228" t="s">
        <v>53</v>
      </c>
      <c r="AQ39" s="250">
        <f>SUM(Start:Stop!AQ39)</f>
        <v>17</v>
      </c>
      <c r="AR39" s="251" t="s">
        <v>54</v>
      </c>
      <c r="AS39" s="228">
        <f>SUM(Start:Stop!AS39)</f>
        <v>9</v>
      </c>
      <c r="AT39" s="228" t="s">
        <v>52</v>
      </c>
      <c r="AU39" s="251">
        <f>SUM(Start:Stop!AU39)</f>
        <v>23</v>
      </c>
      <c r="AV39" s="228" t="s">
        <v>53</v>
      </c>
      <c r="AW39" s="250">
        <f>SUM(Start:Stop!AW39)</f>
        <v>1</v>
      </c>
      <c r="AX39" s="251" t="s">
        <v>54</v>
      </c>
      <c r="AY39" s="228">
        <f>SUM(Start:Stop!AY39)</f>
        <v>21</v>
      </c>
      <c r="AZ39" s="228" t="s">
        <v>52</v>
      </c>
      <c r="BA39" s="251">
        <f>SUM(Start:Stop!BA39)</f>
        <v>65</v>
      </c>
      <c r="BB39" s="228" t="s">
        <v>53</v>
      </c>
      <c r="BC39" s="250">
        <f>SUM(Start:Stop!BC39)</f>
        <v>19</v>
      </c>
      <c r="BD39" s="251" t="s">
        <v>54</v>
      </c>
      <c r="BE39" s="228">
        <f>SUM(Start:Stop!BE39)</f>
        <v>0</v>
      </c>
      <c r="BF39" s="228" t="s">
        <v>52</v>
      </c>
      <c r="BG39" s="252">
        <f>SUM(Start:Stop!BG39)</f>
        <v>0</v>
      </c>
      <c r="BH39" s="228"/>
      <c r="BI39" s="249">
        <f>SUM(Start:Stop!BI39)</f>
        <v>19</v>
      </c>
      <c r="BJ39" s="250" t="s">
        <v>52</v>
      </c>
      <c r="BK39" s="251">
        <f>SUM(Start:Stop!BK39)</f>
        <v>29</v>
      </c>
      <c r="BL39" s="228" t="s">
        <v>53</v>
      </c>
      <c r="BM39" s="250">
        <f>SUM(Start:Stop!BM39)</f>
        <v>12</v>
      </c>
      <c r="BN39" s="251" t="s">
        <v>54</v>
      </c>
      <c r="BO39" s="228">
        <f>SUM(Start:Stop!BO39)</f>
        <v>11</v>
      </c>
      <c r="BP39" s="250" t="s">
        <v>52</v>
      </c>
      <c r="BQ39" s="251">
        <f>SUM(Start:Stop!BQ39)</f>
        <v>17</v>
      </c>
      <c r="BR39" s="228" t="s">
        <v>53</v>
      </c>
      <c r="BS39" s="250">
        <f>SUM(Start:Stop!BS39)</f>
        <v>6</v>
      </c>
      <c r="BT39" s="251" t="s">
        <v>54</v>
      </c>
      <c r="BU39" s="228">
        <f>SUM(Start:Stop!BU39)</f>
        <v>0</v>
      </c>
      <c r="BV39" s="250" t="s">
        <v>52</v>
      </c>
      <c r="BW39" s="251">
        <f>SUM(Start:Stop!BW39)</f>
        <v>0</v>
      </c>
      <c r="BX39" s="228" t="s">
        <v>53</v>
      </c>
      <c r="BY39" s="250">
        <f>SUM(Start:Stop!BY39)</f>
        <v>0</v>
      </c>
      <c r="BZ39" s="251" t="s">
        <v>54</v>
      </c>
      <c r="CA39" s="228">
        <f>SUM(Start:Stop!CA39)</f>
        <v>8</v>
      </c>
      <c r="CB39" s="250" t="s">
        <v>52</v>
      </c>
      <c r="CC39" s="251">
        <f>SUM(Start:Stop!CC39)</f>
        <v>12</v>
      </c>
      <c r="CD39" s="228" t="s">
        <v>53</v>
      </c>
      <c r="CE39" s="250">
        <f>SUM(Start:Stop!CE39)</f>
        <v>6</v>
      </c>
      <c r="CF39" s="251" t="s">
        <v>54</v>
      </c>
      <c r="CG39" s="228">
        <f>SUM(Start:Stop!CG39)</f>
        <v>0</v>
      </c>
      <c r="CH39" s="250" t="s">
        <v>52</v>
      </c>
      <c r="CI39" s="252">
        <f>SUM(Start:Stop!CI39)</f>
        <v>0</v>
      </c>
      <c r="CJ39" s="250">
        <f>SUM(Start:Stop!CJ39)</f>
        <v>19</v>
      </c>
      <c r="CK39" s="250">
        <f>SUM(Start:Stop!CK39)</f>
        <v>75</v>
      </c>
      <c r="CL39" s="250">
        <f>SUM(Start:Stop!CL39)</f>
        <v>0</v>
      </c>
      <c r="CM39" s="250">
        <f>SUM(Start:Stop!CM39)</f>
        <v>0</v>
      </c>
      <c r="CN39" s="250">
        <f>SUM(Start:Stop!CN39)</f>
        <v>94</v>
      </c>
      <c r="CO39" s="250">
        <f>SUM(Start:Stop!CO39)</f>
        <v>50</v>
      </c>
      <c r="CP39" s="250">
        <f>SUM(Start:Stop!CP39)</f>
        <v>49</v>
      </c>
      <c r="CQ39" s="250">
        <f>SUM(Start:Stop!CQ39)</f>
        <v>29</v>
      </c>
      <c r="CR39" s="250">
        <f>SUM(Start:Stop!CR39)</f>
        <v>16</v>
      </c>
      <c r="CS39" s="250">
        <f>SUM(Start:Stop!CS39)</f>
        <v>17</v>
      </c>
      <c r="CT39" s="250">
        <f>SUM(Start:Stop!CT39)</f>
        <v>41</v>
      </c>
      <c r="CU39" s="250">
        <f>SUM(Start:Stop!CU39)</f>
        <v>7</v>
      </c>
      <c r="CV39" s="360">
        <f>SUM(Start:Stop!CV39)</f>
        <v>200.95</v>
      </c>
      <c r="CW39" s="33"/>
      <c r="CX39" s="4"/>
      <c r="CY39" s="4"/>
      <c r="CZ39" s="4"/>
      <c r="DA39" s="4"/>
      <c r="DB39" s="8"/>
      <c r="DC39" s="8"/>
      <c r="DE39" s="512" t="s">
        <v>258</v>
      </c>
      <c r="DF39" s="500">
        <f>CY27*100</f>
        <v>84.6875</v>
      </c>
      <c r="DG39" s="498"/>
      <c r="DH39" s="502"/>
      <c r="DS39" s="10"/>
      <c r="DT39" s="10"/>
      <c r="EF39" s="229" t="s">
        <v>225</v>
      </c>
      <c r="EG39" s="37">
        <f>SUM(Start:Stop!EG39)</f>
        <v>186.85794824077217</v>
      </c>
      <c r="EW39" s="229" t="s">
        <v>225</v>
      </c>
      <c r="EX39" s="6">
        <f>SUM(Start:Stop!EX39)</f>
        <v>11.95</v>
      </c>
      <c r="EY39" s="6">
        <f>SUM(Start:Stop!EY39)</f>
        <v>16</v>
      </c>
      <c r="EZ39" s="6">
        <f>SUM(Start:Stop!EZ39)</f>
        <v>82.976333333333343</v>
      </c>
      <c r="GL39" s="33"/>
      <c r="GM39" s="42"/>
      <c r="GN39" s="58"/>
      <c r="GO39" s="58"/>
      <c r="GP39" s="58"/>
      <c r="GQ39" s="33"/>
      <c r="GR39" s="325"/>
      <c r="GS39" s="12"/>
    </row>
    <row r="40" spans="3:201" x14ac:dyDescent="0.2">
      <c r="C40" s="38" t="s">
        <v>42</v>
      </c>
      <c r="D40" s="308">
        <f>SUM(Start:Stop!D40)</f>
        <v>355.87666666666667</v>
      </c>
      <c r="E40" s="249">
        <f>SUM(Start:Stop!E40)</f>
        <v>77</v>
      </c>
      <c r="F40" s="228" t="s">
        <v>52</v>
      </c>
      <c r="G40" s="251">
        <f>SUM(Start:Stop!G40)</f>
        <v>150</v>
      </c>
      <c r="H40" s="228" t="s">
        <v>53</v>
      </c>
      <c r="I40" s="250">
        <f>SUM(Start:Stop!I40)</f>
        <v>42</v>
      </c>
      <c r="J40" s="251" t="s">
        <v>54</v>
      </c>
      <c r="K40" s="228">
        <f>SUM(Start:Stop!K40)</f>
        <v>39</v>
      </c>
      <c r="L40" s="250" t="s">
        <v>52</v>
      </c>
      <c r="M40" s="251">
        <f>SUM(Start:Stop!M40)</f>
        <v>55</v>
      </c>
      <c r="N40" s="228" t="s">
        <v>53</v>
      </c>
      <c r="O40" s="250">
        <f>SUM(Start:Stop!O40)</f>
        <v>17</v>
      </c>
      <c r="P40" s="251" t="s">
        <v>54</v>
      </c>
      <c r="Q40" s="228">
        <f>SUM(Start:Stop!Q40)</f>
        <v>10</v>
      </c>
      <c r="R40" s="250" t="s">
        <v>52</v>
      </c>
      <c r="S40" s="251">
        <f>SUM(Start:Stop!S40)</f>
        <v>26</v>
      </c>
      <c r="T40" s="228" t="s">
        <v>53</v>
      </c>
      <c r="U40" s="250">
        <f>SUM(Start:Stop!U40)</f>
        <v>1</v>
      </c>
      <c r="V40" s="251" t="s">
        <v>54</v>
      </c>
      <c r="W40" s="228">
        <f>SUM(Start:Stop!W40)</f>
        <v>28</v>
      </c>
      <c r="X40" s="228" t="s">
        <v>52</v>
      </c>
      <c r="Y40" s="251">
        <f>SUM(Start:Stop!Y40)</f>
        <v>69</v>
      </c>
      <c r="Z40" s="228" t="s">
        <v>53</v>
      </c>
      <c r="AA40" s="250">
        <f>SUM(Start:Stop!AA40)</f>
        <v>24</v>
      </c>
      <c r="AB40" s="251" t="s">
        <v>54</v>
      </c>
      <c r="AC40" s="331">
        <f>SUM(Start:Stop!AC40)</f>
        <v>12.5</v>
      </c>
      <c r="AD40" s="250" t="s">
        <v>52</v>
      </c>
      <c r="AE40" s="252">
        <f>SUM(Start:Stop!AE40)</f>
        <v>17</v>
      </c>
      <c r="AF40" s="228"/>
      <c r="AG40" s="249">
        <f>SUM(Start:Stop!AG40)</f>
        <v>63</v>
      </c>
      <c r="AH40" s="228" t="s">
        <v>52</v>
      </c>
      <c r="AI40" s="251">
        <f>SUM(Start:Stop!AI40)</f>
        <v>128</v>
      </c>
      <c r="AJ40" s="228" t="s">
        <v>53</v>
      </c>
      <c r="AK40" s="250">
        <f>SUM(Start:Stop!AK40)</f>
        <v>35</v>
      </c>
      <c r="AL40" s="251" t="s">
        <v>54</v>
      </c>
      <c r="AM40" s="228">
        <f>SUM(Start:Stop!AM40)</f>
        <v>31</v>
      </c>
      <c r="AN40" s="228" t="s">
        <v>52</v>
      </c>
      <c r="AO40" s="251">
        <f>SUM(Start:Stop!AO40)</f>
        <v>46</v>
      </c>
      <c r="AP40" s="228" t="s">
        <v>53</v>
      </c>
      <c r="AQ40" s="250">
        <f>SUM(Start:Stop!AQ40)</f>
        <v>14</v>
      </c>
      <c r="AR40" s="251" t="s">
        <v>54</v>
      </c>
      <c r="AS40" s="228">
        <f>SUM(Start:Stop!AS40)</f>
        <v>10</v>
      </c>
      <c r="AT40" s="228" t="s">
        <v>52</v>
      </c>
      <c r="AU40" s="251">
        <f>SUM(Start:Stop!AU40)</f>
        <v>26</v>
      </c>
      <c r="AV40" s="228" t="s">
        <v>53</v>
      </c>
      <c r="AW40" s="250">
        <f>SUM(Start:Stop!AW40)</f>
        <v>1</v>
      </c>
      <c r="AX40" s="251" t="s">
        <v>54</v>
      </c>
      <c r="AY40" s="228">
        <f>SUM(Start:Stop!AY40)</f>
        <v>22</v>
      </c>
      <c r="AZ40" s="228" t="s">
        <v>52</v>
      </c>
      <c r="BA40" s="251">
        <f>SUM(Start:Stop!BA40)</f>
        <v>56</v>
      </c>
      <c r="BB40" s="228" t="s">
        <v>53</v>
      </c>
      <c r="BC40" s="250">
        <f>SUM(Start:Stop!BC40)</f>
        <v>20</v>
      </c>
      <c r="BD40" s="251" t="s">
        <v>54</v>
      </c>
      <c r="BE40" s="228">
        <f>SUM(Start:Stop!BE40)</f>
        <v>0</v>
      </c>
      <c r="BF40" s="228" t="s">
        <v>52</v>
      </c>
      <c r="BG40" s="252">
        <f>SUM(Start:Stop!BG40)</f>
        <v>0</v>
      </c>
      <c r="BH40" s="228"/>
      <c r="BI40" s="249">
        <f>SUM(Start:Stop!BI40)</f>
        <v>14</v>
      </c>
      <c r="BJ40" s="250" t="s">
        <v>52</v>
      </c>
      <c r="BK40" s="251">
        <f>SUM(Start:Stop!BK40)</f>
        <v>22</v>
      </c>
      <c r="BL40" s="228" t="s">
        <v>53</v>
      </c>
      <c r="BM40" s="250">
        <f>SUM(Start:Stop!BM40)</f>
        <v>7</v>
      </c>
      <c r="BN40" s="251" t="s">
        <v>54</v>
      </c>
      <c r="BO40" s="228">
        <f>SUM(Start:Stop!BO40)</f>
        <v>8</v>
      </c>
      <c r="BP40" s="250" t="s">
        <v>52</v>
      </c>
      <c r="BQ40" s="251">
        <f>SUM(Start:Stop!BQ40)</f>
        <v>9</v>
      </c>
      <c r="BR40" s="228" t="s">
        <v>53</v>
      </c>
      <c r="BS40" s="250">
        <f>SUM(Start:Stop!BS40)</f>
        <v>3</v>
      </c>
      <c r="BT40" s="251" t="s">
        <v>54</v>
      </c>
      <c r="BU40" s="228">
        <f>SUM(Start:Stop!BU40)</f>
        <v>0</v>
      </c>
      <c r="BV40" s="250" t="s">
        <v>52</v>
      </c>
      <c r="BW40" s="251">
        <f>SUM(Start:Stop!BW40)</f>
        <v>0</v>
      </c>
      <c r="BX40" s="228" t="s">
        <v>53</v>
      </c>
      <c r="BY40" s="250">
        <f>SUM(Start:Stop!BY40)</f>
        <v>0</v>
      </c>
      <c r="BZ40" s="251" t="s">
        <v>54</v>
      </c>
      <c r="CA40" s="228">
        <f>SUM(Start:Stop!CA40)</f>
        <v>6</v>
      </c>
      <c r="CB40" s="250" t="s">
        <v>52</v>
      </c>
      <c r="CC40" s="251">
        <f>SUM(Start:Stop!CC40)</f>
        <v>13</v>
      </c>
      <c r="CD40" s="228" t="s">
        <v>53</v>
      </c>
      <c r="CE40" s="250">
        <f>SUM(Start:Stop!CE40)</f>
        <v>4</v>
      </c>
      <c r="CF40" s="251" t="s">
        <v>54</v>
      </c>
      <c r="CG40" s="228">
        <f>SUM(Start:Stop!CG40)</f>
        <v>0</v>
      </c>
      <c r="CH40" s="250" t="s">
        <v>52</v>
      </c>
      <c r="CI40" s="252">
        <f>SUM(Start:Stop!CI40)</f>
        <v>0</v>
      </c>
      <c r="CJ40" s="250">
        <f>SUM(Start:Stop!CJ40)</f>
        <v>12</v>
      </c>
      <c r="CK40" s="250">
        <f>SUM(Start:Stop!CK40)</f>
        <v>78</v>
      </c>
      <c r="CL40" s="250">
        <f>SUM(Start:Stop!CL40)</f>
        <v>0</v>
      </c>
      <c r="CM40" s="250">
        <f>SUM(Start:Stop!CM40)</f>
        <v>0</v>
      </c>
      <c r="CN40" s="250">
        <f>SUM(Start:Stop!CN40)</f>
        <v>90</v>
      </c>
      <c r="CO40" s="250">
        <f>SUM(Start:Stop!CO40)</f>
        <v>43</v>
      </c>
      <c r="CP40" s="250">
        <f>SUM(Start:Stop!CP40)</f>
        <v>41</v>
      </c>
      <c r="CQ40" s="250">
        <f>SUM(Start:Stop!CQ40)</f>
        <v>28</v>
      </c>
      <c r="CR40" s="250">
        <f>SUM(Start:Stop!CR40)</f>
        <v>17</v>
      </c>
      <c r="CS40" s="250">
        <f>SUM(Start:Stop!CS40)</f>
        <v>12</v>
      </c>
      <c r="CT40" s="250">
        <f>SUM(Start:Stop!CT40)</f>
        <v>43</v>
      </c>
      <c r="CU40" s="250">
        <f>SUM(Start:Stop!CU40)</f>
        <v>5</v>
      </c>
      <c r="CV40" s="360">
        <f>SUM(Start:Stop!CV40)</f>
        <v>194.5</v>
      </c>
      <c r="CW40" s="33"/>
      <c r="CX40" s="4"/>
      <c r="CY40" s="4"/>
      <c r="CZ40" s="4"/>
      <c r="DA40" s="4"/>
      <c r="DB40" s="8"/>
      <c r="DC40" s="8"/>
      <c r="DE40" s="521" t="s">
        <v>259</v>
      </c>
      <c r="DF40" s="525">
        <f>O24*100</f>
        <v>61.403508771929829</v>
      </c>
      <c r="DG40" s="517"/>
      <c r="DH40" s="518"/>
      <c r="DS40" s="10"/>
      <c r="DT40" s="10"/>
      <c r="EF40" s="38" t="s">
        <v>42</v>
      </c>
      <c r="EG40" s="37">
        <f>SUM(Start:Stop!EG40)</f>
        <v>182.73241060417152</v>
      </c>
      <c r="EW40" s="38" t="s">
        <v>42</v>
      </c>
      <c r="EX40" s="6">
        <f>SUM(Start:Stop!EX40)</f>
        <v>12.5</v>
      </c>
      <c r="EY40" s="6">
        <f>SUM(Start:Stop!EY40)</f>
        <v>17</v>
      </c>
      <c r="EZ40" s="6">
        <f>SUM(Start:Stop!EZ40)</f>
        <v>80.320083333333343</v>
      </c>
      <c r="GL40" s="337"/>
      <c r="GM40" s="337"/>
      <c r="GN40" s="337"/>
      <c r="GO40" s="337"/>
      <c r="GP40" s="337"/>
    </row>
    <row r="41" spans="3:201" x14ac:dyDescent="0.2">
      <c r="C41" s="38" t="s">
        <v>43</v>
      </c>
      <c r="D41" s="308">
        <f>SUM(Start:Stop!D41)</f>
        <v>355.87666666666667</v>
      </c>
      <c r="E41" s="249">
        <f>SUM(Start:Stop!E41)</f>
        <v>65</v>
      </c>
      <c r="F41" s="228" t="s">
        <v>52</v>
      </c>
      <c r="G41" s="251">
        <f>SUM(Start:Stop!G41)</f>
        <v>152</v>
      </c>
      <c r="H41" s="228" t="s">
        <v>53</v>
      </c>
      <c r="I41" s="250">
        <f>SUM(Start:Stop!I41)</f>
        <v>42</v>
      </c>
      <c r="J41" s="251" t="s">
        <v>54</v>
      </c>
      <c r="K41" s="228">
        <f>SUM(Start:Stop!K41)</f>
        <v>31</v>
      </c>
      <c r="L41" s="250" t="s">
        <v>52</v>
      </c>
      <c r="M41" s="251">
        <f>SUM(Start:Stop!M41)</f>
        <v>54</v>
      </c>
      <c r="N41" s="228" t="s">
        <v>53</v>
      </c>
      <c r="O41" s="250">
        <f>SUM(Start:Stop!O41)</f>
        <v>15</v>
      </c>
      <c r="P41" s="251" t="s">
        <v>54</v>
      </c>
      <c r="Q41" s="228">
        <f>SUM(Start:Stop!Q41)</f>
        <v>5</v>
      </c>
      <c r="R41" s="250" t="s">
        <v>52</v>
      </c>
      <c r="S41" s="251">
        <f>SUM(Start:Stop!S41)</f>
        <v>21</v>
      </c>
      <c r="T41" s="228" t="s">
        <v>53</v>
      </c>
      <c r="U41" s="250">
        <f>SUM(Start:Stop!U41)</f>
        <v>1</v>
      </c>
      <c r="V41" s="251" t="s">
        <v>54</v>
      </c>
      <c r="W41" s="228">
        <f>SUM(Start:Stop!W41)</f>
        <v>29</v>
      </c>
      <c r="X41" s="228" t="s">
        <v>52</v>
      </c>
      <c r="Y41" s="251">
        <f>SUM(Start:Stop!Y41)</f>
        <v>77</v>
      </c>
      <c r="Z41" s="228" t="s">
        <v>53</v>
      </c>
      <c r="AA41" s="250">
        <f>SUM(Start:Stop!AA41)</f>
        <v>26</v>
      </c>
      <c r="AB41" s="251" t="s">
        <v>54</v>
      </c>
      <c r="AC41" s="331">
        <f>SUM(Start:Stop!AC41)</f>
        <v>15.45</v>
      </c>
      <c r="AD41" s="250" t="s">
        <v>52</v>
      </c>
      <c r="AE41" s="252">
        <f>SUM(Start:Stop!AE41)</f>
        <v>21</v>
      </c>
      <c r="AF41" s="228"/>
      <c r="AG41" s="249">
        <f>SUM(Start:Stop!AG41)</f>
        <v>49</v>
      </c>
      <c r="AH41" s="228" t="s">
        <v>52</v>
      </c>
      <c r="AI41" s="251">
        <f>SUM(Start:Stop!AI41)</f>
        <v>123</v>
      </c>
      <c r="AJ41" s="228" t="s">
        <v>53</v>
      </c>
      <c r="AK41" s="250">
        <f>SUM(Start:Stop!AK41)</f>
        <v>32</v>
      </c>
      <c r="AL41" s="251" t="s">
        <v>54</v>
      </c>
      <c r="AM41" s="228">
        <f>SUM(Start:Stop!AM41)</f>
        <v>21</v>
      </c>
      <c r="AN41" s="228" t="s">
        <v>52</v>
      </c>
      <c r="AO41" s="251">
        <f>SUM(Start:Stop!AO41)</f>
        <v>37</v>
      </c>
      <c r="AP41" s="228" t="s">
        <v>53</v>
      </c>
      <c r="AQ41" s="250">
        <f>SUM(Start:Stop!AQ41)</f>
        <v>10</v>
      </c>
      <c r="AR41" s="251" t="s">
        <v>54</v>
      </c>
      <c r="AS41" s="228">
        <f>SUM(Start:Stop!AS41)</f>
        <v>5</v>
      </c>
      <c r="AT41" s="228" t="s">
        <v>52</v>
      </c>
      <c r="AU41" s="251">
        <f>SUM(Start:Stop!AU41)</f>
        <v>21</v>
      </c>
      <c r="AV41" s="228" t="s">
        <v>53</v>
      </c>
      <c r="AW41" s="250">
        <f>SUM(Start:Stop!AW41)</f>
        <v>1</v>
      </c>
      <c r="AX41" s="251" t="s">
        <v>54</v>
      </c>
      <c r="AY41" s="228">
        <f>SUM(Start:Stop!AY41)</f>
        <v>23</v>
      </c>
      <c r="AZ41" s="228" t="s">
        <v>52</v>
      </c>
      <c r="BA41" s="251">
        <f>SUM(Start:Stop!BA41)</f>
        <v>65</v>
      </c>
      <c r="BB41" s="228" t="s">
        <v>53</v>
      </c>
      <c r="BC41" s="250">
        <f>SUM(Start:Stop!BC41)</f>
        <v>21</v>
      </c>
      <c r="BD41" s="251" t="s">
        <v>54</v>
      </c>
      <c r="BE41" s="228">
        <f>SUM(Start:Stop!BE41)</f>
        <v>0</v>
      </c>
      <c r="BF41" s="228" t="s">
        <v>52</v>
      </c>
      <c r="BG41" s="252">
        <f>SUM(Start:Stop!BG41)</f>
        <v>0</v>
      </c>
      <c r="BH41" s="228"/>
      <c r="BI41" s="249">
        <f>SUM(Start:Stop!BI41)</f>
        <v>16</v>
      </c>
      <c r="BJ41" s="250" t="s">
        <v>52</v>
      </c>
      <c r="BK41" s="251">
        <f>SUM(Start:Stop!BK41)</f>
        <v>29</v>
      </c>
      <c r="BL41" s="228" t="s">
        <v>53</v>
      </c>
      <c r="BM41" s="250">
        <f>SUM(Start:Stop!BM41)</f>
        <v>10</v>
      </c>
      <c r="BN41" s="251" t="s">
        <v>54</v>
      </c>
      <c r="BO41" s="228">
        <f>SUM(Start:Stop!BO41)</f>
        <v>10</v>
      </c>
      <c r="BP41" s="250" t="s">
        <v>52</v>
      </c>
      <c r="BQ41" s="251">
        <f>SUM(Start:Stop!BQ41)</f>
        <v>17</v>
      </c>
      <c r="BR41" s="228" t="s">
        <v>53</v>
      </c>
      <c r="BS41" s="250">
        <f>SUM(Start:Stop!BS41)</f>
        <v>5</v>
      </c>
      <c r="BT41" s="251" t="s">
        <v>54</v>
      </c>
      <c r="BU41" s="228">
        <f>SUM(Start:Stop!BU41)</f>
        <v>0</v>
      </c>
      <c r="BV41" s="250" t="s">
        <v>52</v>
      </c>
      <c r="BW41" s="251">
        <f>SUM(Start:Stop!BW41)</f>
        <v>0</v>
      </c>
      <c r="BX41" s="228" t="s">
        <v>53</v>
      </c>
      <c r="BY41" s="250">
        <f>SUM(Start:Stop!BY41)</f>
        <v>0</v>
      </c>
      <c r="BZ41" s="251" t="s">
        <v>54</v>
      </c>
      <c r="CA41" s="228">
        <f>SUM(Start:Stop!CA41)</f>
        <v>6</v>
      </c>
      <c r="CB41" s="250" t="s">
        <v>52</v>
      </c>
      <c r="CC41" s="251">
        <f>SUM(Start:Stop!CC41)</f>
        <v>12</v>
      </c>
      <c r="CD41" s="228" t="s">
        <v>53</v>
      </c>
      <c r="CE41" s="250">
        <f>SUM(Start:Stop!CE41)</f>
        <v>5</v>
      </c>
      <c r="CF41" s="251" t="s">
        <v>54</v>
      </c>
      <c r="CG41" s="228">
        <f>SUM(Start:Stop!CG41)</f>
        <v>0</v>
      </c>
      <c r="CH41" s="250" t="s">
        <v>52</v>
      </c>
      <c r="CI41" s="252">
        <f>SUM(Start:Stop!CI41)</f>
        <v>0</v>
      </c>
      <c r="CJ41" s="250">
        <f>SUM(Start:Stop!CJ41)</f>
        <v>22</v>
      </c>
      <c r="CK41" s="250">
        <f>SUM(Start:Stop!CK41)</f>
        <v>76</v>
      </c>
      <c r="CL41" s="250">
        <f>SUM(Start:Stop!CL41)</f>
        <v>0</v>
      </c>
      <c r="CM41" s="250">
        <f>SUM(Start:Stop!CM41)</f>
        <v>0</v>
      </c>
      <c r="CN41" s="250">
        <f>SUM(Start:Stop!CN41)</f>
        <v>98</v>
      </c>
      <c r="CO41" s="250">
        <f>SUM(Start:Stop!CO41)</f>
        <v>43</v>
      </c>
      <c r="CP41" s="250">
        <f>SUM(Start:Stop!CP41)</f>
        <v>50</v>
      </c>
      <c r="CQ41" s="250">
        <f>SUM(Start:Stop!CQ41)</f>
        <v>24</v>
      </c>
      <c r="CR41" s="250">
        <f>SUM(Start:Stop!CR41)</f>
        <v>21</v>
      </c>
      <c r="CS41" s="250">
        <f>SUM(Start:Stop!CS41)</f>
        <v>17</v>
      </c>
      <c r="CT41" s="250">
        <f>SUM(Start:Stop!CT41)</f>
        <v>40</v>
      </c>
      <c r="CU41" s="250">
        <f>SUM(Start:Stop!CU41)</f>
        <v>7</v>
      </c>
      <c r="CV41" s="360">
        <f>SUM(Start:Stop!CV41)</f>
        <v>174.45</v>
      </c>
      <c r="CW41" s="33"/>
      <c r="CX41" s="4"/>
      <c r="CY41" s="4"/>
      <c r="CZ41" s="4"/>
      <c r="DA41" s="4"/>
      <c r="DB41" s="8"/>
      <c r="DC41" s="8"/>
      <c r="DE41" s="522" t="s">
        <v>260</v>
      </c>
      <c r="DF41" s="500">
        <f>U24*100</f>
        <v>32.653061224489797</v>
      </c>
      <c r="DG41" s="510"/>
      <c r="DH41" s="511"/>
      <c r="DS41" s="10"/>
      <c r="DT41" s="10"/>
      <c r="EF41" s="38" t="s">
        <v>43</v>
      </c>
      <c r="EG41" s="37">
        <f>SUM(Start:Stop!EG41)</f>
        <v>169.3040462137929</v>
      </c>
      <c r="EW41" s="38" t="s">
        <v>43</v>
      </c>
      <c r="EX41" s="6">
        <f>SUM(Start:Stop!EX41)</f>
        <v>15.45</v>
      </c>
      <c r="EY41" s="6">
        <f>SUM(Start:Stop!EY41)</f>
        <v>21</v>
      </c>
      <c r="EZ41" s="6">
        <f>SUM(Start:Stop!EZ41)</f>
        <v>69.800166666666655</v>
      </c>
      <c r="GL41" s="337"/>
      <c r="GM41" s="337"/>
      <c r="GN41" s="337"/>
      <c r="GO41" s="337"/>
      <c r="GP41" s="337"/>
    </row>
    <row r="42" spans="3:201" x14ac:dyDescent="0.2">
      <c r="C42" s="38" t="s">
        <v>44</v>
      </c>
      <c r="D42" s="308">
        <f>SUM(Start:Stop!D42)</f>
        <v>355.87666666666667</v>
      </c>
      <c r="E42" s="249">
        <f>SUM(Start:Stop!E42)</f>
        <v>76</v>
      </c>
      <c r="F42" s="228" t="s">
        <v>52</v>
      </c>
      <c r="G42" s="251">
        <f>SUM(Start:Stop!G42)</f>
        <v>162</v>
      </c>
      <c r="H42" s="228" t="s">
        <v>53</v>
      </c>
      <c r="I42" s="250">
        <f>SUM(Start:Stop!I42)</f>
        <v>41</v>
      </c>
      <c r="J42" s="251" t="s">
        <v>54</v>
      </c>
      <c r="K42" s="228">
        <f>SUM(Start:Stop!K42)</f>
        <v>39</v>
      </c>
      <c r="L42" s="250" t="s">
        <v>52</v>
      </c>
      <c r="M42" s="251">
        <f>SUM(Start:Stop!M42)</f>
        <v>67</v>
      </c>
      <c r="N42" s="228" t="s">
        <v>53</v>
      </c>
      <c r="O42" s="250">
        <f>SUM(Start:Stop!O42)</f>
        <v>16</v>
      </c>
      <c r="P42" s="251" t="s">
        <v>54</v>
      </c>
      <c r="Q42" s="228">
        <f>SUM(Start:Stop!Q42)</f>
        <v>7</v>
      </c>
      <c r="R42" s="250" t="s">
        <v>52</v>
      </c>
      <c r="S42" s="251">
        <f>SUM(Start:Stop!S42)</f>
        <v>22</v>
      </c>
      <c r="T42" s="228" t="s">
        <v>53</v>
      </c>
      <c r="U42" s="250">
        <f>SUM(Start:Stop!U42)</f>
        <v>1</v>
      </c>
      <c r="V42" s="251" t="s">
        <v>54</v>
      </c>
      <c r="W42" s="228">
        <f>SUM(Start:Stop!W42)</f>
        <v>30</v>
      </c>
      <c r="X42" s="228" t="s">
        <v>52</v>
      </c>
      <c r="Y42" s="251">
        <f>SUM(Start:Stop!Y42)</f>
        <v>73</v>
      </c>
      <c r="Z42" s="228" t="s">
        <v>53</v>
      </c>
      <c r="AA42" s="250">
        <f>SUM(Start:Stop!AA42)</f>
        <v>24</v>
      </c>
      <c r="AB42" s="251" t="s">
        <v>54</v>
      </c>
      <c r="AC42" s="331">
        <f>SUM(Start:Stop!AC42)</f>
        <v>16.850000000000001</v>
      </c>
      <c r="AD42" s="250" t="s">
        <v>52</v>
      </c>
      <c r="AE42" s="252">
        <f>SUM(Start:Stop!AE42)</f>
        <v>23</v>
      </c>
      <c r="AF42" s="228"/>
      <c r="AG42" s="249">
        <f>SUM(Start:Stop!AG42)</f>
        <v>60</v>
      </c>
      <c r="AH42" s="228" t="s">
        <v>52</v>
      </c>
      <c r="AI42" s="251">
        <f>SUM(Start:Stop!AI42)</f>
        <v>130</v>
      </c>
      <c r="AJ42" s="228" t="s">
        <v>53</v>
      </c>
      <c r="AK42" s="250">
        <f>SUM(Start:Stop!AK42)</f>
        <v>33</v>
      </c>
      <c r="AL42" s="251" t="s">
        <v>54</v>
      </c>
      <c r="AM42" s="228">
        <f>SUM(Start:Stop!AM42)</f>
        <v>30</v>
      </c>
      <c r="AN42" s="228" t="s">
        <v>52</v>
      </c>
      <c r="AO42" s="251">
        <f>SUM(Start:Stop!AO42)</f>
        <v>51</v>
      </c>
      <c r="AP42" s="228" t="s">
        <v>53</v>
      </c>
      <c r="AQ42" s="250">
        <f>SUM(Start:Stop!AQ42)</f>
        <v>12</v>
      </c>
      <c r="AR42" s="251" t="s">
        <v>54</v>
      </c>
      <c r="AS42" s="228">
        <f>SUM(Start:Stop!AS42)</f>
        <v>7</v>
      </c>
      <c r="AT42" s="228" t="s">
        <v>52</v>
      </c>
      <c r="AU42" s="251">
        <f>SUM(Start:Stop!AU42)</f>
        <v>21</v>
      </c>
      <c r="AV42" s="228" t="s">
        <v>53</v>
      </c>
      <c r="AW42" s="250">
        <f>SUM(Start:Stop!AW42)</f>
        <v>1</v>
      </c>
      <c r="AX42" s="251" t="s">
        <v>54</v>
      </c>
      <c r="AY42" s="228">
        <f>SUM(Start:Stop!AY42)</f>
        <v>23</v>
      </c>
      <c r="AZ42" s="228" t="s">
        <v>52</v>
      </c>
      <c r="BA42" s="251">
        <f>SUM(Start:Stop!BA42)</f>
        <v>58</v>
      </c>
      <c r="BB42" s="228" t="s">
        <v>53</v>
      </c>
      <c r="BC42" s="250">
        <f>SUM(Start:Stop!BC42)</f>
        <v>20</v>
      </c>
      <c r="BD42" s="251" t="s">
        <v>54</v>
      </c>
      <c r="BE42" s="228">
        <f>SUM(Start:Stop!BE42)</f>
        <v>0</v>
      </c>
      <c r="BF42" s="228" t="s">
        <v>52</v>
      </c>
      <c r="BG42" s="252">
        <f>SUM(Start:Stop!BG42)</f>
        <v>0</v>
      </c>
      <c r="BH42" s="228"/>
      <c r="BI42" s="249">
        <f>SUM(Start:Stop!BI42)</f>
        <v>16</v>
      </c>
      <c r="BJ42" s="250" t="s">
        <v>52</v>
      </c>
      <c r="BK42" s="251">
        <f>SUM(Start:Stop!BK42)</f>
        <v>32</v>
      </c>
      <c r="BL42" s="228" t="s">
        <v>53</v>
      </c>
      <c r="BM42" s="250">
        <f>SUM(Start:Stop!BM42)</f>
        <v>8</v>
      </c>
      <c r="BN42" s="251" t="s">
        <v>54</v>
      </c>
      <c r="BO42" s="228">
        <f>SUM(Start:Stop!BO42)</f>
        <v>9</v>
      </c>
      <c r="BP42" s="250" t="s">
        <v>52</v>
      </c>
      <c r="BQ42" s="251">
        <f>SUM(Start:Stop!BQ42)</f>
        <v>16</v>
      </c>
      <c r="BR42" s="228" t="s">
        <v>53</v>
      </c>
      <c r="BS42" s="250">
        <f>SUM(Start:Stop!BS42)</f>
        <v>4</v>
      </c>
      <c r="BT42" s="251" t="s">
        <v>54</v>
      </c>
      <c r="BU42" s="228">
        <f>SUM(Start:Stop!BU42)</f>
        <v>0</v>
      </c>
      <c r="BV42" s="250" t="s">
        <v>52</v>
      </c>
      <c r="BW42" s="251">
        <f>SUM(Start:Stop!BW42)</f>
        <v>1</v>
      </c>
      <c r="BX42" s="228" t="s">
        <v>53</v>
      </c>
      <c r="BY42" s="250">
        <f>SUM(Start:Stop!BY42)</f>
        <v>0</v>
      </c>
      <c r="BZ42" s="251" t="s">
        <v>54</v>
      </c>
      <c r="CA42" s="228">
        <f>SUM(Start:Stop!CA42)</f>
        <v>7</v>
      </c>
      <c r="CB42" s="250" t="s">
        <v>52</v>
      </c>
      <c r="CC42" s="251">
        <f>SUM(Start:Stop!CC42)</f>
        <v>15</v>
      </c>
      <c r="CD42" s="228" t="s">
        <v>53</v>
      </c>
      <c r="CE42" s="250">
        <f>SUM(Start:Stop!CE42)</f>
        <v>4</v>
      </c>
      <c r="CF42" s="251" t="s">
        <v>54</v>
      </c>
      <c r="CG42" s="228">
        <f>SUM(Start:Stop!CG42)</f>
        <v>0</v>
      </c>
      <c r="CH42" s="250" t="s">
        <v>52</v>
      </c>
      <c r="CI42" s="252">
        <f>SUM(Start:Stop!CI42)</f>
        <v>0</v>
      </c>
      <c r="CJ42" s="250">
        <f>SUM(Start:Stop!CJ42)</f>
        <v>21</v>
      </c>
      <c r="CK42" s="250">
        <f>SUM(Start:Stop!CK42)</f>
        <v>72</v>
      </c>
      <c r="CL42" s="250">
        <f>SUM(Start:Stop!CL42)</f>
        <v>0</v>
      </c>
      <c r="CM42" s="250">
        <f>SUM(Start:Stop!CM42)</f>
        <v>0</v>
      </c>
      <c r="CN42" s="250">
        <f>SUM(Start:Stop!CN42)</f>
        <v>93</v>
      </c>
      <c r="CO42" s="250">
        <f>SUM(Start:Stop!CO42)</f>
        <v>42</v>
      </c>
      <c r="CP42" s="250">
        <f>SUM(Start:Stop!CP42)</f>
        <v>49</v>
      </c>
      <c r="CQ42" s="250">
        <f>SUM(Start:Stop!CQ42)</f>
        <v>20</v>
      </c>
      <c r="CR42" s="250">
        <f>SUM(Start:Stop!CR42)</f>
        <v>23</v>
      </c>
      <c r="CS42" s="250">
        <f>SUM(Start:Stop!CS42)</f>
        <v>18</v>
      </c>
      <c r="CT42" s="250">
        <f>SUM(Start:Stop!CT42)</f>
        <v>35</v>
      </c>
      <c r="CU42" s="250">
        <f>SUM(Start:Stop!CU42)</f>
        <v>5</v>
      </c>
      <c r="CV42" s="360">
        <f>SUM(Start:Stop!CV42)</f>
        <v>198.85000000000002</v>
      </c>
      <c r="CW42" s="33"/>
      <c r="CX42" s="4"/>
      <c r="CY42" s="4"/>
      <c r="CZ42" s="4"/>
      <c r="DA42" s="4"/>
      <c r="DB42" s="8"/>
      <c r="DC42" s="8"/>
      <c r="DE42" s="520"/>
      <c r="DF42" s="520"/>
      <c r="DG42" s="517"/>
      <c r="DH42" s="518"/>
      <c r="DS42" s="10"/>
      <c r="DT42" s="10"/>
      <c r="EF42" s="38" t="s">
        <v>44</v>
      </c>
      <c r="EG42" s="37">
        <f>SUM(Start:Stop!EG42)</f>
        <v>176.75185835814497</v>
      </c>
      <c r="EW42" s="38" t="s">
        <v>44</v>
      </c>
      <c r="EX42" s="6">
        <f>SUM(Start:Stop!EX42)</f>
        <v>16.850000000000001</v>
      </c>
      <c r="EY42" s="6">
        <f>SUM(Start:Stop!EY42)</f>
        <v>23</v>
      </c>
      <c r="EZ42" s="6">
        <f>SUM(Start:Stop!EZ42)</f>
        <v>82.528416666666672</v>
      </c>
      <c r="GL42" s="337"/>
      <c r="GM42" s="337"/>
      <c r="GN42" s="337"/>
      <c r="GO42" s="337"/>
      <c r="GP42" s="337"/>
    </row>
    <row r="43" spans="3:201" x14ac:dyDescent="0.2">
      <c r="C43" s="38" t="s">
        <v>45</v>
      </c>
      <c r="D43" s="308">
        <f>SUM(Start:Stop!D43)</f>
        <v>355.87666666666667</v>
      </c>
      <c r="E43" s="249">
        <f>SUM(Start:Stop!E43)</f>
        <v>85</v>
      </c>
      <c r="F43" s="228" t="s">
        <v>52</v>
      </c>
      <c r="G43" s="251">
        <f>SUM(Start:Stop!G43)</f>
        <v>165</v>
      </c>
      <c r="H43" s="228" t="s">
        <v>53</v>
      </c>
      <c r="I43" s="250">
        <f>SUM(Start:Stop!I43)</f>
        <v>46</v>
      </c>
      <c r="J43" s="251" t="s">
        <v>54</v>
      </c>
      <c r="K43" s="228">
        <f>SUM(Start:Stop!K43)</f>
        <v>47</v>
      </c>
      <c r="L43" s="250" t="s">
        <v>52</v>
      </c>
      <c r="M43" s="251">
        <f>SUM(Start:Stop!M43)</f>
        <v>72</v>
      </c>
      <c r="N43" s="228" t="s">
        <v>53</v>
      </c>
      <c r="O43" s="250">
        <f>SUM(Start:Stop!O43)</f>
        <v>22</v>
      </c>
      <c r="P43" s="251" t="s">
        <v>54</v>
      </c>
      <c r="Q43" s="228">
        <f>SUM(Start:Stop!Q43)</f>
        <v>10</v>
      </c>
      <c r="R43" s="250" t="s">
        <v>52</v>
      </c>
      <c r="S43" s="251">
        <f>SUM(Start:Stop!S43)</f>
        <v>24</v>
      </c>
      <c r="T43" s="228" t="s">
        <v>53</v>
      </c>
      <c r="U43" s="250">
        <f>SUM(Start:Stop!U43)</f>
        <v>1</v>
      </c>
      <c r="V43" s="251" t="s">
        <v>54</v>
      </c>
      <c r="W43" s="228">
        <f>SUM(Start:Stop!W43)</f>
        <v>28</v>
      </c>
      <c r="X43" s="228" t="s">
        <v>52</v>
      </c>
      <c r="Y43" s="251">
        <f>SUM(Start:Stop!Y43)</f>
        <v>69</v>
      </c>
      <c r="Z43" s="228" t="s">
        <v>53</v>
      </c>
      <c r="AA43" s="250">
        <f>SUM(Start:Stop!AA43)</f>
        <v>23</v>
      </c>
      <c r="AB43" s="251" t="s">
        <v>54</v>
      </c>
      <c r="AC43" s="331">
        <f>SUM(Start:Stop!AC43)</f>
        <v>12.399999999999999</v>
      </c>
      <c r="AD43" s="250" t="s">
        <v>52</v>
      </c>
      <c r="AE43" s="252">
        <f>SUM(Start:Stop!AE43)</f>
        <v>17</v>
      </c>
      <c r="AF43" s="228"/>
      <c r="AG43" s="249">
        <f>SUM(Start:Stop!AG43)</f>
        <v>67</v>
      </c>
      <c r="AH43" s="228" t="s">
        <v>52</v>
      </c>
      <c r="AI43" s="251">
        <f>SUM(Start:Stop!AI43)</f>
        <v>137</v>
      </c>
      <c r="AJ43" s="228" t="s">
        <v>53</v>
      </c>
      <c r="AK43" s="250">
        <f>SUM(Start:Stop!AK43)</f>
        <v>36</v>
      </c>
      <c r="AL43" s="251" t="s">
        <v>54</v>
      </c>
      <c r="AM43" s="228">
        <f>SUM(Start:Stop!AM43)</f>
        <v>36</v>
      </c>
      <c r="AN43" s="228" t="s">
        <v>52</v>
      </c>
      <c r="AO43" s="251">
        <f>SUM(Start:Stop!AO43)</f>
        <v>55</v>
      </c>
      <c r="AP43" s="228" t="s">
        <v>53</v>
      </c>
      <c r="AQ43" s="250">
        <f>SUM(Start:Stop!AQ43)</f>
        <v>17</v>
      </c>
      <c r="AR43" s="251" t="s">
        <v>54</v>
      </c>
      <c r="AS43" s="228">
        <f>SUM(Start:Stop!AS43)</f>
        <v>10</v>
      </c>
      <c r="AT43" s="228" t="s">
        <v>52</v>
      </c>
      <c r="AU43" s="251">
        <f>SUM(Start:Stop!AU43)</f>
        <v>24</v>
      </c>
      <c r="AV43" s="228" t="s">
        <v>53</v>
      </c>
      <c r="AW43" s="250">
        <f>SUM(Start:Stop!AW43)</f>
        <v>1</v>
      </c>
      <c r="AX43" s="251" t="s">
        <v>54</v>
      </c>
      <c r="AY43" s="228">
        <f>SUM(Start:Stop!AY43)</f>
        <v>21</v>
      </c>
      <c r="AZ43" s="228" t="s">
        <v>52</v>
      </c>
      <c r="BA43" s="251">
        <f>SUM(Start:Stop!BA43)</f>
        <v>58</v>
      </c>
      <c r="BB43" s="228" t="s">
        <v>53</v>
      </c>
      <c r="BC43" s="250">
        <f>SUM(Start:Stop!BC43)</f>
        <v>18</v>
      </c>
      <c r="BD43" s="251" t="s">
        <v>54</v>
      </c>
      <c r="BE43" s="228">
        <f>SUM(Start:Stop!BE43)</f>
        <v>0</v>
      </c>
      <c r="BF43" s="228" t="s">
        <v>52</v>
      </c>
      <c r="BG43" s="252">
        <f>SUM(Start:Stop!BG43)</f>
        <v>0</v>
      </c>
      <c r="BH43" s="228"/>
      <c r="BI43" s="249">
        <f>SUM(Start:Stop!BI43)</f>
        <v>18</v>
      </c>
      <c r="BJ43" s="250" t="s">
        <v>52</v>
      </c>
      <c r="BK43" s="251">
        <f>SUM(Start:Stop!BK43)</f>
        <v>28</v>
      </c>
      <c r="BL43" s="228" t="s">
        <v>53</v>
      </c>
      <c r="BM43" s="250">
        <f>SUM(Start:Stop!BM43)</f>
        <v>10</v>
      </c>
      <c r="BN43" s="251" t="s">
        <v>54</v>
      </c>
      <c r="BO43" s="228">
        <f>SUM(Start:Stop!BO43)</f>
        <v>11</v>
      </c>
      <c r="BP43" s="250" t="s">
        <v>52</v>
      </c>
      <c r="BQ43" s="251">
        <f>SUM(Start:Stop!BQ43)</f>
        <v>17</v>
      </c>
      <c r="BR43" s="228" t="s">
        <v>53</v>
      </c>
      <c r="BS43" s="250">
        <f>SUM(Start:Stop!BS43)</f>
        <v>5</v>
      </c>
      <c r="BT43" s="251" t="s">
        <v>54</v>
      </c>
      <c r="BU43" s="228">
        <f>SUM(Start:Stop!BU43)</f>
        <v>0</v>
      </c>
      <c r="BV43" s="250" t="s">
        <v>52</v>
      </c>
      <c r="BW43" s="251">
        <f>SUM(Start:Stop!BW43)</f>
        <v>0</v>
      </c>
      <c r="BX43" s="228" t="s">
        <v>53</v>
      </c>
      <c r="BY43" s="250">
        <f>SUM(Start:Stop!BY43)</f>
        <v>0</v>
      </c>
      <c r="BZ43" s="251" t="s">
        <v>54</v>
      </c>
      <c r="CA43" s="228">
        <f>SUM(Start:Stop!CA43)</f>
        <v>7</v>
      </c>
      <c r="CB43" s="250" t="s">
        <v>52</v>
      </c>
      <c r="CC43" s="251">
        <f>SUM(Start:Stop!CC43)</f>
        <v>11</v>
      </c>
      <c r="CD43" s="228" t="s">
        <v>53</v>
      </c>
      <c r="CE43" s="250">
        <f>SUM(Start:Stop!CE43)</f>
        <v>5</v>
      </c>
      <c r="CF43" s="251" t="s">
        <v>54</v>
      </c>
      <c r="CG43" s="228">
        <f>SUM(Start:Stop!CG43)</f>
        <v>0</v>
      </c>
      <c r="CH43" s="250" t="s">
        <v>52</v>
      </c>
      <c r="CI43" s="252">
        <f>SUM(Start:Stop!CI43)</f>
        <v>0</v>
      </c>
      <c r="CJ43" s="250">
        <f>SUM(Start:Stop!CJ43)</f>
        <v>19</v>
      </c>
      <c r="CK43" s="250">
        <f>SUM(Start:Stop!CK43)</f>
        <v>78</v>
      </c>
      <c r="CL43" s="250">
        <f>SUM(Start:Stop!CL43)</f>
        <v>0</v>
      </c>
      <c r="CM43" s="250">
        <f>SUM(Start:Stop!CM43)</f>
        <v>0</v>
      </c>
      <c r="CN43" s="250">
        <f>SUM(Start:Stop!CN43)</f>
        <v>97</v>
      </c>
      <c r="CO43" s="250">
        <f>SUM(Start:Stop!CO43)</f>
        <v>47</v>
      </c>
      <c r="CP43" s="250">
        <f>SUM(Start:Stop!CP43)</f>
        <v>45</v>
      </c>
      <c r="CQ43" s="250">
        <f>SUM(Start:Stop!CQ43)</f>
        <v>28</v>
      </c>
      <c r="CR43" s="250">
        <f>SUM(Start:Stop!CR43)</f>
        <v>17</v>
      </c>
      <c r="CS43" s="250">
        <f>SUM(Start:Stop!CS43)</f>
        <v>14</v>
      </c>
      <c r="CT43" s="250">
        <f>SUM(Start:Stop!CT43)</f>
        <v>41</v>
      </c>
      <c r="CU43" s="250">
        <f>SUM(Start:Stop!CU43)</f>
        <v>5</v>
      </c>
      <c r="CV43" s="360">
        <f>SUM(Start:Stop!CV43)</f>
        <v>210.39999999999998</v>
      </c>
      <c r="CW43" s="33"/>
      <c r="CX43" s="4"/>
      <c r="CY43" s="4"/>
      <c r="CZ43" s="4"/>
      <c r="DA43" s="4"/>
      <c r="DB43" s="8"/>
      <c r="DC43" s="8"/>
      <c r="DE43" s="512" t="s">
        <v>36</v>
      </c>
      <c r="DF43" s="500">
        <f>DF30</f>
        <v>105.7926404212392</v>
      </c>
      <c r="DG43" s="498">
        <v>97.5</v>
      </c>
      <c r="DH43" s="503">
        <v>101.9</v>
      </c>
      <c r="DS43" s="10"/>
      <c r="DT43" s="10"/>
      <c r="EF43" s="38" t="s">
        <v>45</v>
      </c>
      <c r="EG43" s="37">
        <f>SUM(Start:Stop!EG43)</f>
        <v>188.57538488606681</v>
      </c>
      <c r="EW43" s="38" t="s">
        <v>45</v>
      </c>
      <c r="EX43" s="6">
        <f>SUM(Start:Stop!EX43)</f>
        <v>12.399999999999999</v>
      </c>
      <c r="EY43" s="6">
        <f>SUM(Start:Stop!EY43)</f>
        <v>17</v>
      </c>
      <c r="EZ43" s="6">
        <f>SUM(Start:Stop!EZ43)</f>
        <v>88.292083333333338</v>
      </c>
      <c r="GP43" s="338"/>
    </row>
    <row r="44" spans="3:201" x14ac:dyDescent="0.2">
      <c r="C44" s="38" t="s">
        <v>226</v>
      </c>
      <c r="D44" s="308">
        <f>SUM(Start:Stop!D44)</f>
        <v>355.87666666666667</v>
      </c>
      <c r="E44" s="249">
        <f>SUM(Start:Stop!E44)</f>
        <v>85</v>
      </c>
      <c r="F44" s="228" t="s">
        <v>52</v>
      </c>
      <c r="G44" s="251">
        <f>SUM(Start:Stop!G44)</f>
        <v>168</v>
      </c>
      <c r="H44" s="228" t="s">
        <v>53</v>
      </c>
      <c r="I44" s="250">
        <f>SUM(Start:Stop!I44)</f>
        <v>49</v>
      </c>
      <c r="J44" s="251" t="s">
        <v>54</v>
      </c>
      <c r="K44" s="228">
        <f>SUM(Start:Stop!K44)</f>
        <v>37</v>
      </c>
      <c r="L44" s="250" t="s">
        <v>52</v>
      </c>
      <c r="M44" s="251">
        <f>SUM(Start:Stop!M44)</f>
        <v>57</v>
      </c>
      <c r="N44" s="228" t="s">
        <v>53</v>
      </c>
      <c r="O44" s="250">
        <f>SUM(Start:Stop!O44)</f>
        <v>15</v>
      </c>
      <c r="P44" s="251" t="s">
        <v>54</v>
      </c>
      <c r="Q44" s="228">
        <f>SUM(Start:Stop!Q44)</f>
        <v>11</v>
      </c>
      <c r="R44" s="250" t="s">
        <v>52</v>
      </c>
      <c r="S44" s="251">
        <f>SUM(Start:Stop!S44)</f>
        <v>28</v>
      </c>
      <c r="T44" s="228" t="s">
        <v>53</v>
      </c>
      <c r="U44" s="250">
        <f>SUM(Start:Stop!U44)</f>
        <v>2</v>
      </c>
      <c r="V44" s="251" t="s">
        <v>54</v>
      </c>
      <c r="W44" s="228">
        <f>SUM(Start:Stop!W44)</f>
        <v>37</v>
      </c>
      <c r="X44" s="228" t="s">
        <v>52</v>
      </c>
      <c r="Y44" s="251">
        <f>SUM(Start:Stop!Y44)</f>
        <v>83</v>
      </c>
      <c r="Z44" s="228" t="s">
        <v>53</v>
      </c>
      <c r="AA44" s="250">
        <f>SUM(Start:Stop!AA44)</f>
        <v>32</v>
      </c>
      <c r="AB44" s="251" t="s">
        <v>54</v>
      </c>
      <c r="AC44" s="331">
        <f>SUM(Start:Stop!AC44)</f>
        <v>23.5</v>
      </c>
      <c r="AD44" s="250" t="s">
        <v>52</v>
      </c>
      <c r="AE44" s="252">
        <f>SUM(Start:Stop!AE44)</f>
        <v>31</v>
      </c>
      <c r="AF44" s="228"/>
      <c r="AG44" s="249">
        <f>SUM(Start:Stop!AG44)</f>
        <v>75</v>
      </c>
      <c r="AH44" s="228" t="s">
        <v>52</v>
      </c>
      <c r="AI44" s="251">
        <f>SUM(Start:Stop!AI44)</f>
        <v>142</v>
      </c>
      <c r="AJ44" s="228" t="s">
        <v>53</v>
      </c>
      <c r="AK44" s="250">
        <f>SUM(Start:Stop!AK44)</f>
        <v>46</v>
      </c>
      <c r="AL44" s="251" t="s">
        <v>54</v>
      </c>
      <c r="AM44" s="228">
        <f>SUM(Start:Stop!AM44)</f>
        <v>32</v>
      </c>
      <c r="AN44" s="228" t="s">
        <v>52</v>
      </c>
      <c r="AO44" s="251">
        <f>SUM(Start:Stop!AO44)</f>
        <v>48</v>
      </c>
      <c r="AP44" s="228" t="s">
        <v>53</v>
      </c>
      <c r="AQ44" s="250">
        <f>SUM(Start:Stop!AQ44)</f>
        <v>14</v>
      </c>
      <c r="AR44" s="251" t="s">
        <v>54</v>
      </c>
      <c r="AS44" s="228">
        <f>SUM(Start:Stop!AS44)</f>
        <v>11</v>
      </c>
      <c r="AT44" s="228" t="s">
        <v>52</v>
      </c>
      <c r="AU44" s="251">
        <f>SUM(Start:Stop!AU44)</f>
        <v>27</v>
      </c>
      <c r="AV44" s="228" t="s">
        <v>53</v>
      </c>
      <c r="AW44" s="250">
        <f>SUM(Start:Stop!AW44)</f>
        <v>2</v>
      </c>
      <c r="AX44" s="251" t="s">
        <v>54</v>
      </c>
      <c r="AY44" s="228">
        <f>SUM(Start:Stop!AY44)</f>
        <v>32</v>
      </c>
      <c r="AZ44" s="228" t="s">
        <v>52</v>
      </c>
      <c r="BA44" s="251">
        <f>SUM(Start:Stop!BA44)</f>
        <v>67</v>
      </c>
      <c r="BB44" s="228" t="s">
        <v>53</v>
      </c>
      <c r="BC44" s="250">
        <f>SUM(Start:Stop!BC44)</f>
        <v>30</v>
      </c>
      <c r="BD44" s="251" t="s">
        <v>54</v>
      </c>
      <c r="BE44" s="228">
        <f>SUM(Start:Stop!BE44)</f>
        <v>0</v>
      </c>
      <c r="BF44" s="228" t="s">
        <v>52</v>
      </c>
      <c r="BG44" s="252">
        <f>SUM(Start:Stop!BG44)</f>
        <v>0</v>
      </c>
      <c r="BH44" s="228"/>
      <c r="BI44" s="249">
        <f>SUM(Start:Stop!BI44)</f>
        <v>10</v>
      </c>
      <c r="BJ44" s="250" t="s">
        <v>52</v>
      </c>
      <c r="BK44" s="251">
        <f>SUM(Start:Stop!BK44)</f>
        <v>26</v>
      </c>
      <c r="BL44" s="228" t="s">
        <v>53</v>
      </c>
      <c r="BM44" s="250">
        <f>SUM(Start:Stop!BM44)</f>
        <v>3</v>
      </c>
      <c r="BN44" s="251" t="s">
        <v>54</v>
      </c>
      <c r="BO44" s="228">
        <f>SUM(Start:Stop!BO44)</f>
        <v>5</v>
      </c>
      <c r="BP44" s="250" t="s">
        <v>52</v>
      </c>
      <c r="BQ44" s="251">
        <f>SUM(Start:Stop!BQ44)</f>
        <v>9</v>
      </c>
      <c r="BR44" s="228" t="s">
        <v>53</v>
      </c>
      <c r="BS44" s="250">
        <f>SUM(Start:Stop!BS44)</f>
        <v>1</v>
      </c>
      <c r="BT44" s="251" t="s">
        <v>54</v>
      </c>
      <c r="BU44" s="228">
        <f>SUM(Start:Stop!BU44)</f>
        <v>0</v>
      </c>
      <c r="BV44" s="250" t="s">
        <v>52</v>
      </c>
      <c r="BW44" s="251">
        <f>SUM(Start:Stop!BW44)</f>
        <v>1</v>
      </c>
      <c r="BX44" s="228" t="s">
        <v>53</v>
      </c>
      <c r="BY44" s="250">
        <f>SUM(Start:Stop!BY44)</f>
        <v>0</v>
      </c>
      <c r="BZ44" s="251" t="s">
        <v>54</v>
      </c>
      <c r="CA44" s="228">
        <f>SUM(Start:Stop!CA44)</f>
        <v>5</v>
      </c>
      <c r="CB44" s="250" t="s">
        <v>52</v>
      </c>
      <c r="CC44" s="251">
        <f>SUM(Start:Stop!CC44)</f>
        <v>16</v>
      </c>
      <c r="CD44" s="228" t="s">
        <v>53</v>
      </c>
      <c r="CE44" s="250">
        <f>SUM(Start:Stop!CE44)</f>
        <v>2</v>
      </c>
      <c r="CF44" s="251" t="s">
        <v>54</v>
      </c>
      <c r="CG44" s="228">
        <f>SUM(Start:Stop!CG44)</f>
        <v>0</v>
      </c>
      <c r="CH44" s="250" t="s">
        <v>52</v>
      </c>
      <c r="CI44" s="252">
        <f>SUM(Start:Stop!CI44)</f>
        <v>0</v>
      </c>
      <c r="CJ44" s="250">
        <f>SUM(Start:Stop!CJ44)</f>
        <v>13</v>
      </c>
      <c r="CK44" s="250">
        <f>SUM(Start:Stop!CK44)</f>
        <v>67</v>
      </c>
      <c r="CL44" s="250">
        <f>SUM(Start:Stop!CL44)</f>
        <v>0</v>
      </c>
      <c r="CM44" s="250">
        <f>SUM(Start:Stop!CM44)</f>
        <v>0</v>
      </c>
      <c r="CN44" s="250">
        <f>SUM(Start:Stop!CN44)</f>
        <v>80</v>
      </c>
      <c r="CO44" s="250">
        <f>SUM(Start:Stop!CO44)</f>
        <v>49</v>
      </c>
      <c r="CP44" s="250">
        <f>SUM(Start:Stop!CP44)</f>
        <v>59</v>
      </c>
      <c r="CQ44" s="250">
        <f>SUM(Start:Stop!CQ44)</f>
        <v>12</v>
      </c>
      <c r="CR44" s="250">
        <f>SUM(Start:Stop!CR44)</f>
        <v>31</v>
      </c>
      <c r="CS44" s="250">
        <f>SUM(Start:Stop!CS44)</f>
        <v>20</v>
      </c>
      <c r="CT44" s="250">
        <f>SUM(Start:Stop!CT44)</f>
        <v>31</v>
      </c>
      <c r="CU44" s="250">
        <f>SUM(Start:Stop!CU44)</f>
        <v>7</v>
      </c>
      <c r="CV44" s="360">
        <f>SUM(Start:Stop!CV44)</f>
        <v>230.5</v>
      </c>
      <c r="CW44" s="33"/>
      <c r="CX44" s="4"/>
      <c r="CY44" s="4"/>
      <c r="CZ44" s="4"/>
      <c r="DA44" s="4"/>
      <c r="DB44" s="8"/>
      <c r="DC44" s="8"/>
      <c r="DE44" s="514" t="s">
        <v>160</v>
      </c>
      <c r="DF44" s="525">
        <f>CZ27*100</f>
        <v>7.9754601226993866</v>
      </c>
      <c r="DG44" s="519">
        <v>10.1</v>
      </c>
      <c r="DH44" s="516">
        <v>9</v>
      </c>
      <c r="DS44" s="10"/>
      <c r="DT44" s="10"/>
      <c r="EF44" s="38" t="s">
        <v>226</v>
      </c>
      <c r="EG44" s="37">
        <f>SUM(Start:Stop!EG44)</f>
        <v>190.8854233535676</v>
      </c>
      <c r="EW44" s="38" t="s">
        <v>226</v>
      </c>
      <c r="EX44" s="6">
        <f>SUM(Start:Stop!EX44)</f>
        <v>23.5</v>
      </c>
      <c r="EY44" s="6">
        <f>SUM(Start:Stop!EY44)</f>
        <v>31</v>
      </c>
      <c r="EZ44" s="6">
        <f>SUM(Start:Stop!EZ44)</f>
        <v>94.659583333333345</v>
      </c>
      <c r="GP44" s="338"/>
    </row>
    <row r="45" spans="3:201" ht="17" thickBot="1" x14ac:dyDescent="0.25">
      <c r="C45" s="38" t="s">
        <v>46</v>
      </c>
      <c r="D45" s="308">
        <f>SUM(Start:Stop!D45)</f>
        <v>355.87666666666667</v>
      </c>
      <c r="E45" s="249">
        <f>SUM(Start:Stop!E45)</f>
        <v>70</v>
      </c>
      <c r="F45" s="228" t="s">
        <v>52</v>
      </c>
      <c r="G45" s="251">
        <f>SUM(Start:Stop!G45)</f>
        <v>170</v>
      </c>
      <c r="H45" s="228" t="s">
        <v>53</v>
      </c>
      <c r="I45" s="250">
        <f>SUM(Start:Stop!I45)</f>
        <v>46</v>
      </c>
      <c r="J45" s="251" t="s">
        <v>54</v>
      </c>
      <c r="K45" s="228">
        <f>SUM(Start:Stop!K45)</f>
        <v>31</v>
      </c>
      <c r="L45" s="250" t="s">
        <v>52</v>
      </c>
      <c r="M45" s="251">
        <f>SUM(Start:Stop!M45)</f>
        <v>59</v>
      </c>
      <c r="N45" s="228" t="s">
        <v>53</v>
      </c>
      <c r="O45" s="250">
        <f>SUM(Start:Stop!O45)</f>
        <v>16</v>
      </c>
      <c r="P45" s="251" t="s">
        <v>54</v>
      </c>
      <c r="Q45" s="228">
        <f>SUM(Start:Stop!Q45)</f>
        <v>6</v>
      </c>
      <c r="R45" s="250" t="s">
        <v>52</v>
      </c>
      <c r="S45" s="251">
        <f>SUM(Start:Stop!S45)</f>
        <v>23</v>
      </c>
      <c r="T45" s="228" t="s">
        <v>53</v>
      </c>
      <c r="U45" s="250">
        <f>SUM(Start:Stop!U45)</f>
        <v>1</v>
      </c>
      <c r="V45" s="251" t="s">
        <v>54</v>
      </c>
      <c r="W45" s="228">
        <f>SUM(Start:Stop!W45)</f>
        <v>33</v>
      </c>
      <c r="X45" s="228" t="s">
        <v>52</v>
      </c>
      <c r="Y45" s="251">
        <f>SUM(Start:Stop!Y45)</f>
        <v>88</v>
      </c>
      <c r="Z45" s="228" t="s">
        <v>53</v>
      </c>
      <c r="AA45" s="250">
        <f>SUM(Start:Stop!AA45)</f>
        <v>29</v>
      </c>
      <c r="AB45" s="251" t="s">
        <v>54</v>
      </c>
      <c r="AC45" s="331">
        <f>SUM(Start:Stop!AC45)</f>
        <v>20.55</v>
      </c>
      <c r="AD45" s="250" t="s">
        <v>52</v>
      </c>
      <c r="AE45" s="252">
        <f>SUM(Start:Stop!AE45)</f>
        <v>27</v>
      </c>
      <c r="AF45" s="228"/>
      <c r="AG45" s="249">
        <f>SUM(Start:Stop!AG45)</f>
        <v>56</v>
      </c>
      <c r="AH45" s="228" t="s">
        <v>52</v>
      </c>
      <c r="AI45" s="251">
        <f>SUM(Start:Stop!AI45)</f>
        <v>137</v>
      </c>
      <c r="AJ45" s="228" t="s">
        <v>53</v>
      </c>
      <c r="AK45" s="250">
        <f>SUM(Start:Stop!AK45)</f>
        <v>38</v>
      </c>
      <c r="AL45" s="251" t="s">
        <v>54</v>
      </c>
      <c r="AM45" s="228">
        <f>SUM(Start:Stop!AM45)</f>
        <v>23</v>
      </c>
      <c r="AN45" s="228" t="s">
        <v>52</v>
      </c>
      <c r="AO45" s="251">
        <f>SUM(Start:Stop!AO45)</f>
        <v>42</v>
      </c>
      <c r="AP45" s="228" t="s">
        <v>53</v>
      </c>
      <c r="AQ45" s="250">
        <f>SUM(Start:Stop!AQ45)</f>
        <v>12</v>
      </c>
      <c r="AR45" s="251" t="s">
        <v>54</v>
      </c>
      <c r="AS45" s="228">
        <f>SUM(Start:Stop!AS45)</f>
        <v>6</v>
      </c>
      <c r="AT45" s="228" t="s">
        <v>52</v>
      </c>
      <c r="AU45" s="251">
        <f>SUM(Start:Stop!AU45)</f>
        <v>22</v>
      </c>
      <c r="AV45" s="228" t="s">
        <v>53</v>
      </c>
      <c r="AW45" s="250">
        <f>SUM(Start:Stop!AW45)</f>
        <v>1</v>
      </c>
      <c r="AX45" s="251" t="s">
        <v>54</v>
      </c>
      <c r="AY45" s="228">
        <f>SUM(Start:Stop!AY45)</f>
        <v>27</v>
      </c>
      <c r="AZ45" s="228" t="s">
        <v>52</v>
      </c>
      <c r="BA45" s="251">
        <f>SUM(Start:Stop!BA45)</f>
        <v>73</v>
      </c>
      <c r="BB45" s="228" t="s">
        <v>53</v>
      </c>
      <c r="BC45" s="250">
        <f>SUM(Start:Stop!BC45)</f>
        <v>25</v>
      </c>
      <c r="BD45" s="251" t="s">
        <v>54</v>
      </c>
      <c r="BE45" s="228">
        <f>SUM(Start:Stop!BE45)</f>
        <v>0</v>
      </c>
      <c r="BF45" s="228" t="s">
        <v>52</v>
      </c>
      <c r="BG45" s="252">
        <f>SUM(Start:Stop!BG45)</f>
        <v>0</v>
      </c>
      <c r="BH45" s="228"/>
      <c r="BI45" s="249">
        <f>SUM(Start:Stop!BI45)</f>
        <v>14</v>
      </c>
      <c r="BJ45" s="250" t="s">
        <v>52</v>
      </c>
      <c r="BK45" s="251">
        <f>SUM(Start:Stop!BK45)</f>
        <v>33</v>
      </c>
      <c r="BL45" s="228" t="s">
        <v>53</v>
      </c>
      <c r="BM45" s="250">
        <f>SUM(Start:Stop!BM45)</f>
        <v>8</v>
      </c>
      <c r="BN45" s="251" t="s">
        <v>54</v>
      </c>
      <c r="BO45" s="228">
        <f>SUM(Start:Stop!BO45)</f>
        <v>8</v>
      </c>
      <c r="BP45" s="250" t="s">
        <v>52</v>
      </c>
      <c r="BQ45" s="251">
        <f>SUM(Start:Stop!BQ45)</f>
        <v>17</v>
      </c>
      <c r="BR45" s="228" t="s">
        <v>53</v>
      </c>
      <c r="BS45" s="250">
        <f>SUM(Start:Stop!BS45)</f>
        <v>4</v>
      </c>
      <c r="BT45" s="251" t="s">
        <v>54</v>
      </c>
      <c r="BU45" s="228">
        <f>SUM(Start:Stop!BU45)</f>
        <v>0</v>
      </c>
      <c r="BV45" s="250" t="s">
        <v>52</v>
      </c>
      <c r="BW45" s="251">
        <f>SUM(Start:Stop!BW45)</f>
        <v>1</v>
      </c>
      <c r="BX45" s="228" t="s">
        <v>53</v>
      </c>
      <c r="BY45" s="250">
        <f>SUM(Start:Stop!BY45)</f>
        <v>0</v>
      </c>
      <c r="BZ45" s="251" t="s">
        <v>54</v>
      </c>
      <c r="CA45" s="228">
        <f>SUM(Start:Stop!CA45)</f>
        <v>6</v>
      </c>
      <c r="CB45" s="250" t="s">
        <v>52</v>
      </c>
      <c r="CC45" s="251">
        <f>SUM(Start:Stop!CC45)</f>
        <v>15</v>
      </c>
      <c r="CD45" s="228" t="s">
        <v>53</v>
      </c>
      <c r="CE45" s="250">
        <f>SUM(Start:Stop!CE45)</f>
        <v>4</v>
      </c>
      <c r="CF45" s="251" t="s">
        <v>54</v>
      </c>
      <c r="CG45" s="228">
        <f>SUM(Start:Stop!CG45)</f>
        <v>0</v>
      </c>
      <c r="CH45" s="250" t="s">
        <v>52</v>
      </c>
      <c r="CI45" s="252">
        <f>SUM(Start:Stop!CI45)</f>
        <v>0</v>
      </c>
      <c r="CJ45" s="250">
        <f>SUM(Start:Stop!CJ45)</f>
        <v>22</v>
      </c>
      <c r="CK45" s="250">
        <f>SUM(Start:Stop!CK45)</f>
        <v>61</v>
      </c>
      <c r="CL45" s="250">
        <f>SUM(Start:Stop!CL45)</f>
        <v>0</v>
      </c>
      <c r="CM45" s="250">
        <f>SUM(Start:Stop!CM45)</f>
        <v>0</v>
      </c>
      <c r="CN45" s="250">
        <f>SUM(Start:Stop!CN45)</f>
        <v>83</v>
      </c>
      <c r="CO45" s="250">
        <f>SUM(Start:Stop!CO45)</f>
        <v>46</v>
      </c>
      <c r="CP45" s="250">
        <f>SUM(Start:Stop!CP45)</f>
        <v>62</v>
      </c>
      <c r="CQ45" s="250">
        <f>SUM(Start:Stop!CQ45)</f>
        <v>16</v>
      </c>
      <c r="CR45" s="250">
        <f>SUM(Start:Stop!CR45)</f>
        <v>27</v>
      </c>
      <c r="CS45" s="250">
        <f>SUM(Start:Stop!CS45)</f>
        <v>26</v>
      </c>
      <c r="CT45" s="250">
        <f>SUM(Start:Stop!CT45)</f>
        <v>27</v>
      </c>
      <c r="CU45" s="250">
        <f>SUM(Start:Stop!CU45)</f>
        <v>8</v>
      </c>
      <c r="CV45" s="360">
        <f>SUM(Start:Stop!CV45)</f>
        <v>193.55</v>
      </c>
      <c r="CW45" s="33"/>
      <c r="CX45" s="4"/>
      <c r="CY45" s="4"/>
      <c r="CZ45" s="4"/>
      <c r="DA45" s="4"/>
      <c r="DB45" s="8"/>
      <c r="DC45" s="8"/>
      <c r="DE45" s="513" t="s">
        <v>161</v>
      </c>
      <c r="DF45" s="504">
        <f>DA27*100</f>
        <v>10.359799860860942</v>
      </c>
      <c r="DG45" s="505">
        <v>12.1</v>
      </c>
      <c r="DH45" s="506">
        <v>9.3000000000000007</v>
      </c>
      <c r="DS45" s="10"/>
      <c r="DT45" s="10"/>
      <c r="EF45" s="38" t="s">
        <v>46</v>
      </c>
      <c r="EG45" s="37">
        <f>SUM(Start:Stop!EG45)</f>
        <v>175.94012418592976</v>
      </c>
      <c r="EW45" s="38" t="s">
        <v>46</v>
      </c>
      <c r="EX45" s="6">
        <f>SUM(Start:Stop!EX45)</f>
        <v>20.55</v>
      </c>
      <c r="EY45" s="6">
        <f>SUM(Start:Stop!EY45)</f>
        <v>27</v>
      </c>
      <c r="EZ45" s="6">
        <f>SUM(Start:Stop!EZ45)</f>
        <v>78.159666666666666</v>
      </c>
      <c r="GP45" s="338"/>
    </row>
    <row r="46" spans="3:201" x14ac:dyDescent="0.2">
      <c r="C46" s="38" t="s">
        <v>47</v>
      </c>
      <c r="D46" s="308">
        <f>SUM(Start:Stop!D46)</f>
        <v>355.87666666666667</v>
      </c>
      <c r="E46" s="249">
        <f>SUM(Start:Stop!E46)</f>
        <v>83</v>
      </c>
      <c r="F46" s="228" t="s">
        <v>52</v>
      </c>
      <c r="G46" s="251">
        <f>SUM(Start:Stop!G46)</f>
        <v>160</v>
      </c>
      <c r="H46" s="228" t="s">
        <v>53</v>
      </c>
      <c r="I46" s="250">
        <f>SUM(Start:Stop!I46)</f>
        <v>44</v>
      </c>
      <c r="J46" s="251" t="s">
        <v>54</v>
      </c>
      <c r="K46" s="228">
        <f>SUM(Start:Stop!K46)</f>
        <v>42</v>
      </c>
      <c r="L46" s="250" t="s">
        <v>52</v>
      </c>
      <c r="M46" s="251">
        <f>SUM(Start:Stop!M46)</f>
        <v>61</v>
      </c>
      <c r="N46" s="228" t="s">
        <v>53</v>
      </c>
      <c r="O46" s="250">
        <f>SUM(Start:Stop!O46)</f>
        <v>19</v>
      </c>
      <c r="P46" s="251" t="s">
        <v>54</v>
      </c>
      <c r="Q46" s="228">
        <f>SUM(Start:Stop!Q46)</f>
        <v>11</v>
      </c>
      <c r="R46" s="250" t="s">
        <v>52</v>
      </c>
      <c r="S46" s="251">
        <f>SUM(Start:Stop!S46)</f>
        <v>26</v>
      </c>
      <c r="T46" s="228" t="s">
        <v>53</v>
      </c>
      <c r="U46" s="250">
        <f>SUM(Start:Stop!U46)</f>
        <v>1</v>
      </c>
      <c r="V46" s="251" t="s">
        <v>54</v>
      </c>
      <c r="W46" s="228">
        <f>SUM(Start:Stop!W46)</f>
        <v>30</v>
      </c>
      <c r="X46" s="228" t="s">
        <v>52</v>
      </c>
      <c r="Y46" s="251">
        <f>SUM(Start:Stop!Y46)</f>
        <v>73</v>
      </c>
      <c r="Z46" s="228" t="s">
        <v>53</v>
      </c>
      <c r="AA46" s="250">
        <f>SUM(Start:Stop!AA46)</f>
        <v>24</v>
      </c>
      <c r="AB46" s="251" t="s">
        <v>54</v>
      </c>
      <c r="AC46" s="331">
        <f>SUM(Start:Stop!AC46)</f>
        <v>13.450000000000001</v>
      </c>
      <c r="AD46" s="250" t="s">
        <v>52</v>
      </c>
      <c r="AE46" s="252">
        <f>SUM(Start:Stop!AE46)</f>
        <v>18</v>
      </c>
      <c r="AF46" s="228"/>
      <c r="AG46" s="249">
        <f>SUM(Start:Stop!AG46)</f>
        <v>68</v>
      </c>
      <c r="AH46" s="228" t="s">
        <v>52</v>
      </c>
      <c r="AI46" s="251">
        <f>SUM(Start:Stop!AI46)</f>
        <v>134</v>
      </c>
      <c r="AJ46" s="228" t="s">
        <v>53</v>
      </c>
      <c r="AK46" s="250">
        <f>SUM(Start:Stop!AK46)</f>
        <v>37</v>
      </c>
      <c r="AL46" s="251" t="s">
        <v>54</v>
      </c>
      <c r="AM46" s="228">
        <f>SUM(Start:Stop!AM46)</f>
        <v>35</v>
      </c>
      <c r="AN46" s="228" t="s">
        <v>52</v>
      </c>
      <c r="AO46" s="251">
        <f>SUM(Start:Stop!AO46)</f>
        <v>53</v>
      </c>
      <c r="AP46" s="228" t="s">
        <v>53</v>
      </c>
      <c r="AQ46" s="250">
        <f>SUM(Start:Stop!AQ46)</f>
        <v>16</v>
      </c>
      <c r="AR46" s="251" t="s">
        <v>54</v>
      </c>
      <c r="AS46" s="228">
        <f>SUM(Start:Stop!AS46)</f>
        <v>11</v>
      </c>
      <c r="AT46" s="228" t="s">
        <v>52</v>
      </c>
      <c r="AU46" s="251">
        <f>SUM(Start:Stop!AU46)</f>
        <v>25</v>
      </c>
      <c r="AV46" s="228" t="s">
        <v>53</v>
      </c>
      <c r="AW46" s="250">
        <f>SUM(Start:Stop!AW46)</f>
        <v>1</v>
      </c>
      <c r="AX46" s="251" t="s">
        <v>54</v>
      </c>
      <c r="AY46" s="228">
        <f>SUM(Start:Stop!AY46)</f>
        <v>22</v>
      </c>
      <c r="AZ46" s="228" t="s">
        <v>52</v>
      </c>
      <c r="BA46" s="251">
        <f>SUM(Start:Stop!BA46)</f>
        <v>56</v>
      </c>
      <c r="BB46" s="228" t="s">
        <v>53</v>
      </c>
      <c r="BC46" s="250">
        <f>SUM(Start:Stop!BC46)</f>
        <v>20</v>
      </c>
      <c r="BD46" s="251" t="s">
        <v>54</v>
      </c>
      <c r="BE46" s="228">
        <f>SUM(Start:Stop!BE46)</f>
        <v>0</v>
      </c>
      <c r="BF46" s="228" t="s">
        <v>52</v>
      </c>
      <c r="BG46" s="252">
        <f>SUM(Start:Stop!BG46)</f>
        <v>0</v>
      </c>
      <c r="BH46" s="228"/>
      <c r="BI46" s="249">
        <f>SUM(Start:Stop!BI46)</f>
        <v>15</v>
      </c>
      <c r="BJ46" s="250" t="s">
        <v>52</v>
      </c>
      <c r="BK46" s="251">
        <f>SUM(Start:Stop!BK46)</f>
        <v>26</v>
      </c>
      <c r="BL46" s="228" t="s">
        <v>53</v>
      </c>
      <c r="BM46" s="250">
        <f>SUM(Start:Stop!BM46)</f>
        <v>7</v>
      </c>
      <c r="BN46" s="251" t="s">
        <v>54</v>
      </c>
      <c r="BO46" s="228">
        <f>SUM(Start:Stop!BO46)</f>
        <v>7</v>
      </c>
      <c r="BP46" s="250" t="s">
        <v>52</v>
      </c>
      <c r="BQ46" s="251">
        <f>SUM(Start:Stop!BQ46)</f>
        <v>8</v>
      </c>
      <c r="BR46" s="228" t="s">
        <v>53</v>
      </c>
      <c r="BS46" s="250">
        <f>SUM(Start:Stop!BS46)</f>
        <v>3</v>
      </c>
      <c r="BT46" s="251" t="s">
        <v>54</v>
      </c>
      <c r="BU46" s="228">
        <f>SUM(Start:Stop!BU46)</f>
        <v>0</v>
      </c>
      <c r="BV46" s="250" t="s">
        <v>52</v>
      </c>
      <c r="BW46" s="251">
        <f>SUM(Start:Stop!BW46)</f>
        <v>1</v>
      </c>
      <c r="BX46" s="228" t="s">
        <v>53</v>
      </c>
      <c r="BY46" s="250">
        <f>SUM(Start:Stop!BY46)</f>
        <v>0</v>
      </c>
      <c r="BZ46" s="251" t="s">
        <v>54</v>
      </c>
      <c r="CA46" s="228">
        <f>SUM(Start:Stop!CA46)</f>
        <v>8</v>
      </c>
      <c r="CB46" s="250" t="s">
        <v>52</v>
      </c>
      <c r="CC46" s="251">
        <f>SUM(Start:Stop!CC46)</f>
        <v>17</v>
      </c>
      <c r="CD46" s="228" t="s">
        <v>53</v>
      </c>
      <c r="CE46" s="250">
        <f>SUM(Start:Stop!CE46)</f>
        <v>4</v>
      </c>
      <c r="CF46" s="251" t="s">
        <v>54</v>
      </c>
      <c r="CG46" s="228">
        <f>SUM(Start:Stop!CG46)</f>
        <v>0</v>
      </c>
      <c r="CH46" s="250" t="s">
        <v>52</v>
      </c>
      <c r="CI46" s="252">
        <f>SUM(Start:Stop!CI46)</f>
        <v>0</v>
      </c>
      <c r="CJ46" s="250">
        <f>SUM(Start:Stop!CJ46)</f>
        <v>11</v>
      </c>
      <c r="CK46" s="250">
        <f>SUM(Start:Stop!CK46)</f>
        <v>71</v>
      </c>
      <c r="CL46" s="250">
        <f>SUM(Start:Stop!CL46)</f>
        <v>0</v>
      </c>
      <c r="CM46" s="250">
        <f>SUM(Start:Stop!CM46)</f>
        <v>0</v>
      </c>
      <c r="CN46" s="250">
        <f>SUM(Start:Stop!CN46)</f>
        <v>82</v>
      </c>
      <c r="CO46" s="250">
        <f>SUM(Start:Stop!CO46)</f>
        <v>45</v>
      </c>
      <c r="CP46" s="250">
        <f>SUM(Start:Stop!CP46)</f>
        <v>44</v>
      </c>
      <c r="CQ46" s="250">
        <f>SUM(Start:Stop!CQ46)</f>
        <v>25</v>
      </c>
      <c r="CR46" s="250">
        <f>SUM(Start:Stop!CR46)</f>
        <v>18</v>
      </c>
      <c r="CS46" s="250">
        <f>SUM(Start:Stop!CS46)</f>
        <v>16</v>
      </c>
      <c r="CT46" s="250">
        <f>SUM(Start:Stop!CT46)</f>
        <v>38</v>
      </c>
      <c r="CU46" s="250">
        <f>SUM(Start:Stop!CU46)</f>
        <v>5</v>
      </c>
      <c r="CV46" s="360">
        <f>SUM(Start:Stop!CV46)</f>
        <v>209.45000000000002</v>
      </c>
      <c r="CW46" s="33"/>
      <c r="CX46" s="4"/>
      <c r="CY46" s="4"/>
      <c r="CZ46" s="4"/>
      <c r="DA46" s="4"/>
      <c r="DB46" s="8"/>
      <c r="DC46" s="8"/>
      <c r="DF46" s="489"/>
      <c r="DG46" s="489"/>
      <c r="DH46" s="8"/>
      <c r="DS46" s="10"/>
      <c r="DT46" s="10"/>
      <c r="EF46" s="38" t="s">
        <v>47</v>
      </c>
      <c r="EG46" s="37">
        <f>SUM(Start:Stop!EG46)</f>
        <v>188.46278610322895</v>
      </c>
      <c r="EW46" s="38" t="s">
        <v>47</v>
      </c>
      <c r="EX46" s="6">
        <f>SUM(Start:Stop!EX46)</f>
        <v>13.450000000000001</v>
      </c>
      <c r="EY46" s="6">
        <f>SUM(Start:Stop!EY46)</f>
        <v>18</v>
      </c>
      <c r="EZ46" s="6">
        <f>SUM(Start:Stop!EZ46)</f>
        <v>87.732583333333338</v>
      </c>
      <c r="GP46" s="338"/>
    </row>
    <row r="47" spans="3:201" x14ac:dyDescent="0.2">
      <c r="C47" s="38" t="s">
        <v>48</v>
      </c>
      <c r="D47" s="308">
        <f>SUM(Start:Stop!D47)</f>
        <v>355.87666666666667</v>
      </c>
      <c r="E47" s="249">
        <f>SUM(Start:Stop!E47)</f>
        <v>64</v>
      </c>
      <c r="F47" s="228" t="s">
        <v>52</v>
      </c>
      <c r="G47" s="251">
        <f>SUM(Start:Stop!G47)</f>
        <v>160</v>
      </c>
      <c r="H47" s="228" t="s">
        <v>53</v>
      </c>
      <c r="I47" s="250">
        <f>SUM(Start:Stop!I47)</f>
        <v>44</v>
      </c>
      <c r="J47" s="251" t="s">
        <v>54</v>
      </c>
      <c r="K47" s="228">
        <f>SUM(Start:Stop!K47)</f>
        <v>28</v>
      </c>
      <c r="L47" s="250" t="s">
        <v>52</v>
      </c>
      <c r="M47" s="251">
        <f>SUM(Start:Stop!M47)</f>
        <v>53</v>
      </c>
      <c r="N47" s="228" t="s">
        <v>53</v>
      </c>
      <c r="O47" s="250">
        <f>SUM(Start:Stop!O47)</f>
        <v>14</v>
      </c>
      <c r="P47" s="251" t="s">
        <v>54</v>
      </c>
      <c r="Q47" s="228">
        <f>SUM(Start:Stop!Q47)</f>
        <v>5</v>
      </c>
      <c r="R47" s="250" t="s">
        <v>52</v>
      </c>
      <c r="S47" s="251">
        <f>SUM(Start:Stop!S47)</f>
        <v>23</v>
      </c>
      <c r="T47" s="228" t="s">
        <v>53</v>
      </c>
      <c r="U47" s="250">
        <f>SUM(Start:Stop!U47)</f>
        <v>1</v>
      </c>
      <c r="V47" s="251" t="s">
        <v>54</v>
      </c>
      <c r="W47" s="228">
        <f>SUM(Start:Stop!W47)</f>
        <v>31</v>
      </c>
      <c r="X47" s="228" t="s">
        <v>52</v>
      </c>
      <c r="Y47" s="251">
        <f>SUM(Start:Stop!Y47)</f>
        <v>84</v>
      </c>
      <c r="Z47" s="228" t="s">
        <v>53</v>
      </c>
      <c r="AA47" s="250">
        <f>SUM(Start:Stop!AA47)</f>
        <v>29</v>
      </c>
      <c r="AB47" s="251" t="s">
        <v>54</v>
      </c>
      <c r="AC47" s="331">
        <f>SUM(Start:Stop!AC47)</f>
        <v>19.600000000000001</v>
      </c>
      <c r="AD47" s="250" t="s">
        <v>52</v>
      </c>
      <c r="AE47" s="252">
        <f>SUM(Start:Stop!AE47)</f>
        <v>26</v>
      </c>
      <c r="AF47" s="228"/>
      <c r="AG47" s="249">
        <f>SUM(Start:Stop!AG47)</f>
        <v>51</v>
      </c>
      <c r="AH47" s="228" t="s">
        <v>52</v>
      </c>
      <c r="AI47" s="251">
        <f>SUM(Start:Stop!AI47)</f>
        <v>131</v>
      </c>
      <c r="AJ47" s="228" t="s">
        <v>53</v>
      </c>
      <c r="AK47" s="250">
        <f>SUM(Start:Stop!AK47)</f>
        <v>36</v>
      </c>
      <c r="AL47" s="251" t="s">
        <v>54</v>
      </c>
      <c r="AM47" s="228">
        <f>SUM(Start:Stop!AM47)</f>
        <v>19</v>
      </c>
      <c r="AN47" s="228" t="s">
        <v>52</v>
      </c>
      <c r="AO47" s="251">
        <f>SUM(Start:Stop!AO47)</f>
        <v>35</v>
      </c>
      <c r="AP47" s="228" t="s">
        <v>53</v>
      </c>
      <c r="AQ47" s="250">
        <f>SUM(Start:Stop!AQ47)</f>
        <v>10</v>
      </c>
      <c r="AR47" s="251" t="s">
        <v>54</v>
      </c>
      <c r="AS47" s="228">
        <f>SUM(Start:Stop!AS47)</f>
        <v>5</v>
      </c>
      <c r="AT47" s="228" t="s">
        <v>52</v>
      </c>
      <c r="AU47" s="251">
        <f>SUM(Start:Stop!AU47)</f>
        <v>23</v>
      </c>
      <c r="AV47" s="228" t="s">
        <v>53</v>
      </c>
      <c r="AW47" s="250">
        <f>SUM(Start:Stop!AW47)</f>
        <v>1</v>
      </c>
      <c r="AX47" s="251" t="s">
        <v>54</v>
      </c>
      <c r="AY47" s="228">
        <f>SUM(Start:Stop!AY47)</f>
        <v>27</v>
      </c>
      <c r="AZ47" s="228" t="s">
        <v>52</v>
      </c>
      <c r="BA47" s="251">
        <f>SUM(Start:Stop!BA47)</f>
        <v>73</v>
      </c>
      <c r="BB47" s="228" t="s">
        <v>53</v>
      </c>
      <c r="BC47" s="250">
        <f>SUM(Start:Stop!BC47)</f>
        <v>25</v>
      </c>
      <c r="BD47" s="251" t="s">
        <v>54</v>
      </c>
      <c r="BE47" s="228">
        <f>SUM(Start:Stop!BE47)</f>
        <v>0</v>
      </c>
      <c r="BF47" s="228" t="s">
        <v>52</v>
      </c>
      <c r="BG47" s="252">
        <f>SUM(Start:Stop!BG47)</f>
        <v>0</v>
      </c>
      <c r="BH47" s="228"/>
      <c r="BI47" s="249">
        <f>SUM(Start:Stop!BI47)</f>
        <v>13</v>
      </c>
      <c r="BJ47" s="250" t="s">
        <v>52</v>
      </c>
      <c r="BK47" s="251">
        <f>SUM(Start:Stop!BK47)</f>
        <v>29</v>
      </c>
      <c r="BL47" s="228" t="s">
        <v>53</v>
      </c>
      <c r="BM47" s="250">
        <f>SUM(Start:Stop!BM47)</f>
        <v>8</v>
      </c>
      <c r="BN47" s="251" t="s">
        <v>54</v>
      </c>
      <c r="BO47" s="228">
        <f>SUM(Start:Stop!BO47)</f>
        <v>9</v>
      </c>
      <c r="BP47" s="250" t="s">
        <v>52</v>
      </c>
      <c r="BQ47" s="251">
        <f>SUM(Start:Stop!BQ47)</f>
        <v>18</v>
      </c>
      <c r="BR47" s="228" t="s">
        <v>53</v>
      </c>
      <c r="BS47" s="250">
        <f>SUM(Start:Stop!BS47)</f>
        <v>4</v>
      </c>
      <c r="BT47" s="251" t="s">
        <v>54</v>
      </c>
      <c r="BU47" s="228">
        <f>SUM(Start:Stop!BU47)</f>
        <v>0</v>
      </c>
      <c r="BV47" s="250" t="s">
        <v>52</v>
      </c>
      <c r="BW47" s="251">
        <f>SUM(Start:Stop!BW47)</f>
        <v>0</v>
      </c>
      <c r="BX47" s="228" t="s">
        <v>53</v>
      </c>
      <c r="BY47" s="250">
        <f>SUM(Start:Stop!BY47)</f>
        <v>0</v>
      </c>
      <c r="BZ47" s="251" t="s">
        <v>54</v>
      </c>
      <c r="CA47" s="228">
        <f>SUM(Start:Stop!CA47)</f>
        <v>4</v>
      </c>
      <c r="CB47" s="250" t="s">
        <v>52</v>
      </c>
      <c r="CC47" s="251">
        <f>SUM(Start:Stop!CC47)</f>
        <v>11</v>
      </c>
      <c r="CD47" s="228" t="s">
        <v>53</v>
      </c>
      <c r="CE47" s="250">
        <f>SUM(Start:Stop!CE47)</f>
        <v>4</v>
      </c>
      <c r="CF47" s="251" t="s">
        <v>54</v>
      </c>
      <c r="CG47" s="228">
        <f>SUM(Start:Stop!CG47)</f>
        <v>0</v>
      </c>
      <c r="CH47" s="250" t="s">
        <v>52</v>
      </c>
      <c r="CI47" s="252">
        <f>SUM(Start:Stop!CI47)</f>
        <v>0</v>
      </c>
      <c r="CJ47" s="250">
        <f>SUM(Start:Stop!CJ47)</f>
        <v>23</v>
      </c>
      <c r="CK47" s="250">
        <f>SUM(Start:Stop!CK47)</f>
        <v>68</v>
      </c>
      <c r="CL47" s="250">
        <f>SUM(Start:Stop!CL47)</f>
        <v>0</v>
      </c>
      <c r="CM47" s="250">
        <f>SUM(Start:Stop!CM47)</f>
        <v>0</v>
      </c>
      <c r="CN47" s="250">
        <f>SUM(Start:Stop!CN47)</f>
        <v>91</v>
      </c>
      <c r="CO47" s="250">
        <f>SUM(Start:Stop!CO47)</f>
        <v>44</v>
      </c>
      <c r="CP47" s="250">
        <f>SUM(Start:Stop!CP47)</f>
        <v>59</v>
      </c>
      <c r="CQ47" s="250">
        <f>SUM(Start:Stop!CQ47)</f>
        <v>19</v>
      </c>
      <c r="CR47" s="250">
        <f>SUM(Start:Stop!CR47)</f>
        <v>26</v>
      </c>
      <c r="CS47" s="250">
        <f>SUM(Start:Stop!CS47)</f>
        <v>22</v>
      </c>
      <c r="CT47" s="250">
        <f>SUM(Start:Stop!CT47)</f>
        <v>32</v>
      </c>
      <c r="CU47" s="250">
        <f>SUM(Start:Stop!CU47)</f>
        <v>8</v>
      </c>
      <c r="CV47" s="360">
        <f>SUM(Start:Stop!CV47)</f>
        <v>178.6</v>
      </c>
      <c r="CW47" s="33"/>
      <c r="CX47" s="4"/>
      <c r="CY47" s="4"/>
      <c r="CZ47" s="4"/>
      <c r="DA47" s="4"/>
      <c r="DB47" s="8"/>
      <c r="DC47" s="8"/>
      <c r="DF47" s="489"/>
      <c r="DG47" s="489"/>
      <c r="DH47" s="8"/>
      <c r="DS47" s="10"/>
      <c r="DT47" s="10"/>
      <c r="EF47" s="38" t="s">
        <v>48</v>
      </c>
      <c r="EG47" s="37">
        <f>SUM(Start:Stop!EG47)</f>
        <v>170.20974868687233</v>
      </c>
      <c r="EW47" s="38" t="s">
        <v>48</v>
      </c>
      <c r="EX47" s="6">
        <f>SUM(Start:Stop!EX47)</f>
        <v>19.600000000000001</v>
      </c>
      <c r="EY47" s="6">
        <f>SUM(Start:Stop!EY47)</f>
        <v>26</v>
      </c>
      <c r="EZ47" s="6">
        <f>SUM(Start:Stop!EZ47)</f>
        <v>70.747166666666658</v>
      </c>
      <c r="GP47" s="338"/>
    </row>
    <row r="48" spans="3:201" x14ac:dyDescent="0.2">
      <c r="C48" s="38" t="s">
        <v>115</v>
      </c>
      <c r="D48" s="308">
        <f>SUM(Start:Stop!D48)</f>
        <v>355.87666666666667</v>
      </c>
      <c r="E48" s="249">
        <f>SUM(Start:Stop!E48)</f>
        <v>72</v>
      </c>
      <c r="F48" s="228" t="s">
        <v>52</v>
      </c>
      <c r="G48" s="251">
        <f>SUM(Start:Stop!G48)</f>
        <v>150</v>
      </c>
      <c r="H48" s="228" t="s">
        <v>53</v>
      </c>
      <c r="I48" s="250">
        <f>SUM(Start:Stop!I48)</f>
        <v>45</v>
      </c>
      <c r="J48" s="251" t="s">
        <v>54</v>
      </c>
      <c r="K48" s="228">
        <f>SUM(Start:Stop!K48)</f>
        <v>34</v>
      </c>
      <c r="L48" s="250" t="s">
        <v>52</v>
      </c>
      <c r="M48" s="251">
        <f>SUM(Start:Stop!M48)</f>
        <v>48</v>
      </c>
      <c r="N48" s="228" t="s">
        <v>53</v>
      </c>
      <c r="O48" s="250">
        <f>SUM(Start:Stop!O48)</f>
        <v>18</v>
      </c>
      <c r="P48" s="251" t="s">
        <v>54</v>
      </c>
      <c r="Q48" s="228">
        <f>SUM(Start:Stop!Q48)</f>
        <v>9</v>
      </c>
      <c r="R48" s="250" t="s">
        <v>52</v>
      </c>
      <c r="S48" s="251">
        <f>SUM(Start:Stop!S48)</f>
        <v>25</v>
      </c>
      <c r="T48" s="228" t="s">
        <v>53</v>
      </c>
      <c r="U48" s="250">
        <f>SUM(Start:Stop!U48)</f>
        <v>1</v>
      </c>
      <c r="V48" s="251" t="s">
        <v>54</v>
      </c>
      <c r="W48" s="228">
        <f>SUM(Start:Stop!W48)</f>
        <v>29</v>
      </c>
      <c r="X48" s="228" t="s">
        <v>52</v>
      </c>
      <c r="Y48" s="251">
        <f>SUM(Start:Stop!Y48)</f>
        <v>77</v>
      </c>
      <c r="Z48" s="228" t="s">
        <v>53</v>
      </c>
      <c r="AA48" s="250">
        <f>SUM(Start:Stop!AA48)</f>
        <v>26</v>
      </c>
      <c r="AB48" s="251" t="s">
        <v>54</v>
      </c>
      <c r="AC48" s="331">
        <f>SUM(Start:Stop!AC48)</f>
        <v>12.049999999999999</v>
      </c>
      <c r="AD48" s="250" t="s">
        <v>52</v>
      </c>
      <c r="AE48" s="252">
        <f>SUM(Start:Stop!AE48)</f>
        <v>16</v>
      </c>
      <c r="AF48" s="228"/>
      <c r="AG48" s="249">
        <f>SUM(Start:Stop!AG48)</f>
        <v>57</v>
      </c>
      <c r="AH48" s="228" t="s">
        <v>52</v>
      </c>
      <c r="AI48" s="251">
        <f>SUM(Start:Stop!AI48)</f>
        <v>127</v>
      </c>
      <c r="AJ48" s="228" t="s">
        <v>53</v>
      </c>
      <c r="AK48" s="250">
        <f>SUM(Start:Stop!AK48)</f>
        <v>36</v>
      </c>
      <c r="AL48" s="251" t="s">
        <v>54</v>
      </c>
      <c r="AM48" s="228">
        <f>SUM(Start:Stop!AM48)</f>
        <v>26</v>
      </c>
      <c r="AN48" s="228" t="s">
        <v>52</v>
      </c>
      <c r="AO48" s="251">
        <f>SUM(Start:Stop!AO48)</f>
        <v>39</v>
      </c>
      <c r="AP48" s="228" t="s">
        <v>53</v>
      </c>
      <c r="AQ48" s="250">
        <f>SUM(Start:Stop!AQ48)</f>
        <v>14</v>
      </c>
      <c r="AR48" s="251" t="s">
        <v>54</v>
      </c>
      <c r="AS48" s="228">
        <f>SUM(Start:Stop!AS48)</f>
        <v>9</v>
      </c>
      <c r="AT48" s="228" t="s">
        <v>52</v>
      </c>
      <c r="AU48" s="251">
        <f>SUM(Start:Stop!AU48)</f>
        <v>25</v>
      </c>
      <c r="AV48" s="228" t="s">
        <v>53</v>
      </c>
      <c r="AW48" s="250">
        <f>SUM(Start:Stop!AW48)</f>
        <v>1</v>
      </c>
      <c r="AX48" s="251" t="s">
        <v>54</v>
      </c>
      <c r="AY48" s="228">
        <f>SUM(Start:Stop!AY48)</f>
        <v>22</v>
      </c>
      <c r="AZ48" s="228" t="s">
        <v>52</v>
      </c>
      <c r="BA48" s="251">
        <f>SUM(Start:Stop!BA48)</f>
        <v>63</v>
      </c>
      <c r="BB48" s="228" t="s">
        <v>53</v>
      </c>
      <c r="BC48" s="250">
        <f>SUM(Start:Stop!BC48)</f>
        <v>21</v>
      </c>
      <c r="BD48" s="251" t="s">
        <v>54</v>
      </c>
      <c r="BE48" s="228">
        <f>SUM(Start:Stop!BE48)</f>
        <v>0</v>
      </c>
      <c r="BF48" s="228" t="s">
        <v>52</v>
      </c>
      <c r="BG48" s="252">
        <f>SUM(Start:Stop!BG48)</f>
        <v>0</v>
      </c>
      <c r="BH48" s="228"/>
      <c r="BI48" s="249">
        <f>SUM(Start:Stop!BI48)</f>
        <v>15</v>
      </c>
      <c r="BJ48" s="250" t="s">
        <v>52</v>
      </c>
      <c r="BK48" s="251">
        <f>SUM(Start:Stop!BK48)</f>
        <v>23</v>
      </c>
      <c r="BL48" s="228" t="s">
        <v>53</v>
      </c>
      <c r="BM48" s="250">
        <f>SUM(Start:Stop!BM48)</f>
        <v>9</v>
      </c>
      <c r="BN48" s="251" t="s">
        <v>54</v>
      </c>
      <c r="BO48" s="228">
        <f>SUM(Start:Stop!BO48)</f>
        <v>8</v>
      </c>
      <c r="BP48" s="250" t="s">
        <v>52</v>
      </c>
      <c r="BQ48" s="251">
        <f>SUM(Start:Stop!BQ48)</f>
        <v>9</v>
      </c>
      <c r="BR48" s="228" t="s">
        <v>53</v>
      </c>
      <c r="BS48" s="250">
        <f>SUM(Start:Stop!BS48)</f>
        <v>4</v>
      </c>
      <c r="BT48" s="251" t="s">
        <v>54</v>
      </c>
      <c r="BU48" s="228">
        <f>SUM(Start:Stop!BU48)</f>
        <v>0</v>
      </c>
      <c r="BV48" s="250" t="s">
        <v>52</v>
      </c>
      <c r="BW48" s="251">
        <f>SUM(Start:Stop!BW48)</f>
        <v>0</v>
      </c>
      <c r="BX48" s="228" t="s">
        <v>53</v>
      </c>
      <c r="BY48" s="250">
        <f>SUM(Start:Stop!BY48)</f>
        <v>0</v>
      </c>
      <c r="BZ48" s="251" t="s">
        <v>54</v>
      </c>
      <c r="CA48" s="228">
        <f>SUM(Start:Stop!CA48)</f>
        <v>7</v>
      </c>
      <c r="CB48" s="250" t="s">
        <v>52</v>
      </c>
      <c r="CC48" s="251">
        <f>SUM(Start:Stop!CC48)</f>
        <v>14</v>
      </c>
      <c r="CD48" s="228" t="s">
        <v>53</v>
      </c>
      <c r="CE48" s="250">
        <f>SUM(Start:Stop!CE48)</f>
        <v>5</v>
      </c>
      <c r="CF48" s="251" t="s">
        <v>54</v>
      </c>
      <c r="CG48" s="228">
        <f>SUM(Start:Stop!CG48)</f>
        <v>0</v>
      </c>
      <c r="CH48" s="250" t="s">
        <v>52</v>
      </c>
      <c r="CI48" s="252">
        <f>SUM(Start:Stop!CI48)</f>
        <v>0</v>
      </c>
      <c r="CJ48" s="250">
        <f>SUM(Start:Stop!CJ48)</f>
        <v>12</v>
      </c>
      <c r="CK48" s="250">
        <f>SUM(Start:Stop!CK48)</f>
        <v>75</v>
      </c>
      <c r="CL48" s="250">
        <f>SUM(Start:Stop!CL48)</f>
        <v>0</v>
      </c>
      <c r="CM48" s="250">
        <f>SUM(Start:Stop!CM48)</f>
        <v>0</v>
      </c>
      <c r="CN48" s="250">
        <f>SUM(Start:Stop!CN48)</f>
        <v>87</v>
      </c>
      <c r="CO48" s="250">
        <f>SUM(Start:Stop!CO48)</f>
        <v>46</v>
      </c>
      <c r="CP48" s="250">
        <f>SUM(Start:Stop!CP48)</f>
        <v>45</v>
      </c>
      <c r="CQ48" s="250">
        <f>SUM(Start:Stop!CQ48)</f>
        <v>29</v>
      </c>
      <c r="CR48" s="250">
        <f>SUM(Start:Stop!CR48)</f>
        <v>16</v>
      </c>
      <c r="CS48" s="250">
        <f>SUM(Start:Stop!CS48)</f>
        <v>15</v>
      </c>
      <c r="CT48" s="250">
        <f>SUM(Start:Stop!CT48)</f>
        <v>43</v>
      </c>
      <c r="CU48" s="250">
        <f>SUM(Start:Stop!CU48)</f>
        <v>7</v>
      </c>
      <c r="CV48" s="360">
        <f>SUM(Start:Stop!CV48)</f>
        <v>185.04999999999998</v>
      </c>
      <c r="CW48" s="33"/>
      <c r="CX48" s="4"/>
      <c r="CY48" s="4"/>
      <c r="CZ48" s="4"/>
      <c r="DA48" s="4"/>
      <c r="DB48" s="8"/>
      <c r="DC48" s="8"/>
      <c r="DF48" s="489"/>
      <c r="DG48" s="489"/>
      <c r="DH48" s="8"/>
      <c r="DS48" s="10"/>
      <c r="DT48" s="10"/>
      <c r="EF48" s="38" t="s">
        <v>115</v>
      </c>
      <c r="EG48" s="37">
        <f>SUM(Start:Stop!EG48)</f>
        <v>181.01497395887688</v>
      </c>
      <c r="EW48" s="38" t="s">
        <v>115</v>
      </c>
      <c r="EX48" s="6">
        <f>SUM(Start:Stop!EX48)</f>
        <v>12.049999999999999</v>
      </c>
      <c r="EY48" s="6">
        <f>SUM(Start:Stop!EY48)</f>
        <v>16</v>
      </c>
      <c r="EZ48" s="6">
        <f>SUM(Start:Stop!EZ48)</f>
        <v>75.004333333333335</v>
      </c>
      <c r="GP48" s="338"/>
    </row>
    <row r="49" spans="3:198" x14ac:dyDescent="0.2">
      <c r="C49" s="38" t="s">
        <v>227</v>
      </c>
      <c r="D49" s="308">
        <f>SUM(Start:Stop!D49)</f>
        <v>355.87666666666667</v>
      </c>
      <c r="E49" s="249">
        <f>SUM(Start:Stop!E49)</f>
        <v>80</v>
      </c>
      <c r="F49" s="228" t="s">
        <v>52</v>
      </c>
      <c r="G49" s="251">
        <f>SUM(Start:Stop!G49)</f>
        <v>165</v>
      </c>
      <c r="H49" s="228" t="s">
        <v>53</v>
      </c>
      <c r="I49" s="250">
        <f>SUM(Start:Stop!I49)</f>
        <v>49</v>
      </c>
      <c r="J49" s="251" t="s">
        <v>54</v>
      </c>
      <c r="K49" s="228">
        <f>SUM(Start:Stop!K49)</f>
        <v>42</v>
      </c>
      <c r="L49" s="250" t="s">
        <v>52</v>
      </c>
      <c r="M49" s="251">
        <f>SUM(Start:Stop!M49)</f>
        <v>65</v>
      </c>
      <c r="N49" s="228" t="s">
        <v>53</v>
      </c>
      <c r="O49" s="250">
        <f>SUM(Start:Stop!O49)</f>
        <v>23</v>
      </c>
      <c r="P49" s="251" t="s">
        <v>54</v>
      </c>
      <c r="Q49" s="228">
        <f>SUM(Start:Stop!Q49)</f>
        <v>9</v>
      </c>
      <c r="R49" s="250" t="s">
        <v>52</v>
      </c>
      <c r="S49" s="251">
        <f>SUM(Start:Stop!S49)</f>
        <v>23</v>
      </c>
      <c r="T49" s="228" t="s">
        <v>53</v>
      </c>
      <c r="U49" s="250">
        <f>SUM(Start:Stop!U49)</f>
        <v>1</v>
      </c>
      <c r="V49" s="251" t="s">
        <v>54</v>
      </c>
      <c r="W49" s="228">
        <f>SUM(Start:Stop!W49)</f>
        <v>29</v>
      </c>
      <c r="X49" s="228" t="s">
        <v>52</v>
      </c>
      <c r="Y49" s="251">
        <f>SUM(Start:Stop!Y49)</f>
        <v>77</v>
      </c>
      <c r="Z49" s="228" t="s">
        <v>53</v>
      </c>
      <c r="AA49" s="250">
        <f>SUM(Start:Stop!AA49)</f>
        <v>25</v>
      </c>
      <c r="AB49" s="251" t="s">
        <v>54</v>
      </c>
      <c r="AC49" s="331">
        <f>SUM(Start:Stop!AC49)</f>
        <v>11.95</v>
      </c>
      <c r="AD49" s="250" t="s">
        <v>52</v>
      </c>
      <c r="AE49" s="252">
        <f>SUM(Start:Stop!AE49)</f>
        <v>16</v>
      </c>
      <c r="AF49" s="228"/>
      <c r="AG49" s="249">
        <f>SUM(Start:Stop!AG49)</f>
        <v>61</v>
      </c>
      <c r="AH49" s="228" t="s">
        <v>52</v>
      </c>
      <c r="AI49" s="251">
        <f>SUM(Start:Stop!AI49)</f>
        <v>136</v>
      </c>
      <c r="AJ49" s="228" t="s">
        <v>53</v>
      </c>
      <c r="AK49" s="250">
        <f>SUM(Start:Stop!AK49)</f>
        <v>37</v>
      </c>
      <c r="AL49" s="251" t="s">
        <v>54</v>
      </c>
      <c r="AM49" s="228">
        <f>SUM(Start:Stop!AM49)</f>
        <v>31</v>
      </c>
      <c r="AN49" s="228" t="s">
        <v>52</v>
      </c>
      <c r="AO49" s="251">
        <f>SUM(Start:Stop!AO49)</f>
        <v>48</v>
      </c>
      <c r="AP49" s="228" t="s">
        <v>53</v>
      </c>
      <c r="AQ49" s="250">
        <f>SUM(Start:Stop!AQ49)</f>
        <v>17</v>
      </c>
      <c r="AR49" s="251" t="s">
        <v>54</v>
      </c>
      <c r="AS49" s="228">
        <f>SUM(Start:Stop!AS49)</f>
        <v>9</v>
      </c>
      <c r="AT49" s="228" t="s">
        <v>52</v>
      </c>
      <c r="AU49" s="251">
        <f>SUM(Start:Stop!AU49)</f>
        <v>23</v>
      </c>
      <c r="AV49" s="228" t="s">
        <v>53</v>
      </c>
      <c r="AW49" s="250">
        <f>SUM(Start:Stop!AW49)</f>
        <v>1</v>
      </c>
      <c r="AX49" s="251" t="s">
        <v>54</v>
      </c>
      <c r="AY49" s="228">
        <f>SUM(Start:Stop!AY49)</f>
        <v>21</v>
      </c>
      <c r="AZ49" s="228" t="s">
        <v>52</v>
      </c>
      <c r="BA49" s="251">
        <f>SUM(Start:Stop!BA49)</f>
        <v>65</v>
      </c>
      <c r="BB49" s="228" t="s">
        <v>53</v>
      </c>
      <c r="BC49" s="250">
        <f>SUM(Start:Stop!BC49)</f>
        <v>19</v>
      </c>
      <c r="BD49" s="251" t="s">
        <v>54</v>
      </c>
      <c r="BE49" s="228">
        <f>SUM(Start:Stop!BE49)</f>
        <v>0</v>
      </c>
      <c r="BF49" s="228" t="s">
        <v>52</v>
      </c>
      <c r="BG49" s="252">
        <f>SUM(Start:Stop!BG49)</f>
        <v>0</v>
      </c>
      <c r="BH49" s="228"/>
      <c r="BI49" s="249">
        <f>SUM(Start:Stop!BI49)</f>
        <v>19</v>
      </c>
      <c r="BJ49" s="250" t="s">
        <v>52</v>
      </c>
      <c r="BK49" s="251">
        <f>SUM(Start:Stop!BK49)</f>
        <v>29</v>
      </c>
      <c r="BL49" s="228" t="s">
        <v>53</v>
      </c>
      <c r="BM49" s="250">
        <f>SUM(Start:Stop!BM49)</f>
        <v>12</v>
      </c>
      <c r="BN49" s="251" t="s">
        <v>54</v>
      </c>
      <c r="BO49" s="228">
        <f>SUM(Start:Stop!BO49)</f>
        <v>11</v>
      </c>
      <c r="BP49" s="250" t="s">
        <v>52</v>
      </c>
      <c r="BQ49" s="251">
        <f>SUM(Start:Stop!BQ49)</f>
        <v>17</v>
      </c>
      <c r="BR49" s="228" t="s">
        <v>53</v>
      </c>
      <c r="BS49" s="250">
        <f>SUM(Start:Stop!BS49)</f>
        <v>6</v>
      </c>
      <c r="BT49" s="251" t="s">
        <v>54</v>
      </c>
      <c r="BU49" s="228">
        <f>SUM(Start:Stop!BU49)</f>
        <v>0</v>
      </c>
      <c r="BV49" s="250" t="s">
        <v>52</v>
      </c>
      <c r="BW49" s="251">
        <f>SUM(Start:Stop!BW49)</f>
        <v>0</v>
      </c>
      <c r="BX49" s="228" t="s">
        <v>53</v>
      </c>
      <c r="BY49" s="250">
        <f>SUM(Start:Stop!BY49)</f>
        <v>0</v>
      </c>
      <c r="BZ49" s="251" t="s">
        <v>54</v>
      </c>
      <c r="CA49" s="228">
        <f>SUM(Start:Stop!CA49)</f>
        <v>8</v>
      </c>
      <c r="CB49" s="250" t="s">
        <v>52</v>
      </c>
      <c r="CC49" s="251">
        <f>SUM(Start:Stop!CC49)</f>
        <v>12</v>
      </c>
      <c r="CD49" s="228" t="s">
        <v>53</v>
      </c>
      <c r="CE49" s="250">
        <f>SUM(Start:Stop!CE49)</f>
        <v>6</v>
      </c>
      <c r="CF49" s="251" t="s">
        <v>54</v>
      </c>
      <c r="CG49" s="228">
        <f>SUM(Start:Stop!CG49)</f>
        <v>0</v>
      </c>
      <c r="CH49" s="250" t="s">
        <v>52</v>
      </c>
      <c r="CI49" s="252">
        <f>SUM(Start:Stop!CI49)</f>
        <v>0</v>
      </c>
      <c r="CJ49" s="250">
        <f>SUM(Start:Stop!CJ49)</f>
        <v>19</v>
      </c>
      <c r="CK49" s="250">
        <f>SUM(Start:Stop!CK49)</f>
        <v>75</v>
      </c>
      <c r="CL49" s="250">
        <f>SUM(Start:Stop!CL49)</f>
        <v>0</v>
      </c>
      <c r="CM49" s="250">
        <f>SUM(Start:Stop!CM49)</f>
        <v>0</v>
      </c>
      <c r="CN49" s="250">
        <f>SUM(Start:Stop!CN49)</f>
        <v>94</v>
      </c>
      <c r="CO49" s="250">
        <f>SUM(Start:Stop!CO49)</f>
        <v>50</v>
      </c>
      <c r="CP49" s="250">
        <f>SUM(Start:Stop!CP49)</f>
        <v>49</v>
      </c>
      <c r="CQ49" s="250">
        <f>SUM(Start:Stop!CQ49)</f>
        <v>29</v>
      </c>
      <c r="CR49" s="250">
        <f>SUM(Start:Stop!CR49)</f>
        <v>16</v>
      </c>
      <c r="CS49" s="250">
        <f>SUM(Start:Stop!CS49)</f>
        <v>17</v>
      </c>
      <c r="CT49" s="250">
        <f>SUM(Start:Stop!CT49)</f>
        <v>41</v>
      </c>
      <c r="CU49" s="250">
        <f>SUM(Start:Stop!CU49)</f>
        <v>7</v>
      </c>
      <c r="CV49" s="360">
        <f>SUM(Start:Stop!CV49)</f>
        <v>200.95</v>
      </c>
      <c r="CW49" s="33"/>
      <c r="CX49" s="4"/>
      <c r="CY49" s="4"/>
      <c r="CZ49" s="4"/>
      <c r="DA49" s="4"/>
      <c r="DB49" s="8"/>
      <c r="DC49" s="8"/>
      <c r="DF49" s="489"/>
      <c r="DG49" s="489"/>
      <c r="DH49" s="8"/>
      <c r="DS49" s="10"/>
      <c r="DT49" s="10"/>
      <c r="EF49" s="38" t="s">
        <v>227</v>
      </c>
      <c r="EG49" s="37">
        <f>SUM(Start:Stop!EG49)</f>
        <v>186.85794824077217</v>
      </c>
      <c r="EW49" s="38" t="s">
        <v>227</v>
      </c>
      <c r="EX49" s="6">
        <f>SUM(Start:Stop!EX49)</f>
        <v>11.95</v>
      </c>
      <c r="EY49" s="6">
        <f>SUM(Start:Stop!EY49)</f>
        <v>16</v>
      </c>
      <c r="EZ49" s="6">
        <f>SUM(Start:Stop!EZ49)</f>
        <v>82.976333333333343</v>
      </c>
      <c r="GP49" s="338"/>
    </row>
    <row r="50" spans="3:198" x14ac:dyDescent="0.2">
      <c r="C50" s="38" t="s">
        <v>228</v>
      </c>
      <c r="D50" s="308">
        <f>SUM(Start:Stop!D50)</f>
        <v>355.87666666666667</v>
      </c>
      <c r="E50" s="249">
        <f>SUM(Start:Stop!E50)</f>
        <v>55</v>
      </c>
      <c r="F50" s="228" t="s">
        <v>52</v>
      </c>
      <c r="G50" s="251">
        <f>SUM(Start:Stop!G50)</f>
        <v>144</v>
      </c>
      <c r="H50" s="228" t="s">
        <v>53</v>
      </c>
      <c r="I50" s="250">
        <f>SUM(Start:Stop!I50)</f>
        <v>39</v>
      </c>
      <c r="J50" s="251" t="s">
        <v>54</v>
      </c>
      <c r="K50" s="228">
        <f>SUM(Start:Stop!K50)</f>
        <v>20</v>
      </c>
      <c r="L50" s="250" t="s">
        <v>52</v>
      </c>
      <c r="M50" s="251">
        <f>SUM(Start:Stop!M50)</f>
        <v>37</v>
      </c>
      <c r="N50" s="228" t="s">
        <v>53</v>
      </c>
      <c r="O50" s="250">
        <f>SUM(Start:Stop!O50)</f>
        <v>9</v>
      </c>
      <c r="P50" s="251" t="s">
        <v>54</v>
      </c>
      <c r="Q50" s="228">
        <f>SUM(Start:Stop!Q50)</f>
        <v>5</v>
      </c>
      <c r="R50" s="250" t="s">
        <v>52</v>
      </c>
      <c r="S50" s="251">
        <f>SUM(Start:Stop!S50)</f>
        <v>26</v>
      </c>
      <c r="T50" s="228" t="s">
        <v>53</v>
      </c>
      <c r="U50" s="250">
        <f>SUM(Start:Stop!U50)</f>
        <v>1</v>
      </c>
      <c r="V50" s="251" t="s">
        <v>54</v>
      </c>
      <c r="W50" s="228">
        <f>SUM(Start:Stop!W50)</f>
        <v>30</v>
      </c>
      <c r="X50" s="228" t="s">
        <v>52</v>
      </c>
      <c r="Y50" s="251">
        <f>SUM(Start:Stop!Y50)</f>
        <v>81</v>
      </c>
      <c r="Z50" s="228" t="s">
        <v>53</v>
      </c>
      <c r="AA50" s="250">
        <f>SUM(Start:Stop!AA50)</f>
        <v>29</v>
      </c>
      <c r="AB50" s="251" t="s">
        <v>54</v>
      </c>
      <c r="AC50" s="331">
        <f>SUM(Start:Stop!AC50)</f>
        <v>19.7</v>
      </c>
      <c r="AD50" s="250" t="s">
        <v>52</v>
      </c>
      <c r="AE50" s="252">
        <f>SUM(Start:Stop!AE50)</f>
        <v>26</v>
      </c>
      <c r="AF50" s="228"/>
      <c r="AG50" s="249">
        <f>SUM(Start:Stop!AG50)</f>
        <v>47</v>
      </c>
      <c r="AH50" s="228" t="s">
        <v>52</v>
      </c>
      <c r="AI50" s="251">
        <f>SUM(Start:Stop!AI50)</f>
        <v>120</v>
      </c>
      <c r="AJ50" s="228" t="s">
        <v>53</v>
      </c>
      <c r="AK50" s="250">
        <f>SUM(Start:Stop!AK50)</f>
        <v>34</v>
      </c>
      <c r="AL50" s="251" t="s">
        <v>54</v>
      </c>
      <c r="AM50" s="228">
        <f>SUM(Start:Stop!AM50)</f>
        <v>15</v>
      </c>
      <c r="AN50" s="228" t="s">
        <v>52</v>
      </c>
      <c r="AO50" s="251">
        <f>SUM(Start:Stop!AO50)</f>
        <v>28</v>
      </c>
      <c r="AP50" s="228" t="s">
        <v>53</v>
      </c>
      <c r="AQ50" s="250">
        <f>SUM(Start:Stop!AQ50)</f>
        <v>7</v>
      </c>
      <c r="AR50" s="251" t="s">
        <v>54</v>
      </c>
      <c r="AS50" s="228">
        <f>SUM(Start:Stop!AS50)</f>
        <v>5</v>
      </c>
      <c r="AT50" s="228" t="s">
        <v>52</v>
      </c>
      <c r="AU50" s="251">
        <f>SUM(Start:Stop!AU50)</f>
        <v>25</v>
      </c>
      <c r="AV50" s="228" t="s">
        <v>53</v>
      </c>
      <c r="AW50" s="250">
        <f>SUM(Start:Stop!AW50)</f>
        <v>1</v>
      </c>
      <c r="AX50" s="251" t="s">
        <v>54</v>
      </c>
      <c r="AY50" s="228">
        <f>SUM(Start:Stop!AY50)</f>
        <v>27</v>
      </c>
      <c r="AZ50" s="228" t="s">
        <v>52</v>
      </c>
      <c r="BA50" s="251">
        <f>SUM(Start:Stop!BA50)</f>
        <v>67</v>
      </c>
      <c r="BB50" s="228" t="s">
        <v>53</v>
      </c>
      <c r="BC50" s="250">
        <f>SUM(Start:Stop!BC50)</f>
        <v>26</v>
      </c>
      <c r="BD50" s="251" t="s">
        <v>54</v>
      </c>
      <c r="BE50" s="228">
        <f>SUM(Start:Stop!BE50)</f>
        <v>0</v>
      </c>
      <c r="BF50" s="228" t="s">
        <v>52</v>
      </c>
      <c r="BG50" s="252">
        <f>SUM(Start:Stop!BG50)</f>
        <v>0</v>
      </c>
      <c r="BH50" s="228"/>
      <c r="BI50" s="249">
        <f>SUM(Start:Stop!BI50)</f>
        <v>8</v>
      </c>
      <c r="BJ50" s="250" t="s">
        <v>52</v>
      </c>
      <c r="BK50" s="251">
        <f>SUM(Start:Stop!BK50)</f>
        <v>24</v>
      </c>
      <c r="BL50" s="228" t="s">
        <v>53</v>
      </c>
      <c r="BM50" s="250">
        <f>SUM(Start:Stop!BM50)</f>
        <v>5</v>
      </c>
      <c r="BN50" s="251" t="s">
        <v>54</v>
      </c>
      <c r="BO50" s="228">
        <f>SUM(Start:Stop!BO50)</f>
        <v>5</v>
      </c>
      <c r="BP50" s="250" t="s">
        <v>52</v>
      </c>
      <c r="BQ50" s="251">
        <f>SUM(Start:Stop!BQ50)</f>
        <v>9</v>
      </c>
      <c r="BR50" s="228" t="s">
        <v>53</v>
      </c>
      <c r="BS50" s="250">
        <f>SUM(Start:Stop!BS50)</f>
        <v>2</v>
      </c>
      <c r="BT50" s="251" t="s">
        <v>54</v>
      </c>
      <c r="BU50" s="228">
        <f>SUM(Start:Stop!BU50)</f>
        <v>0</v>
      </c>
      <c r="BV50" s="250" t="s">
        <v>52</v>
      </c>
      <c r="BW50" s="251">
        <f>SUM(Start:Stop!BW50)</f>
        <v>1</v>
      </c>
      <c r="BX50" s="228" t="s">
        <v>53</v>
      </c>
      <c r="BY50" s="250">
        <f>SUM(Start:Stop!BY50)</f>
        <v>0</v>
      </c>
      <c r="BZ50" s="251" t="s">
        <v>54</v>
      </c>
      <c r="CA50" s="228">
        <f>SUM(Start:Stop!CA50)</f>
        <v>3</v>
      </c>
      <c r="CB50" s="250" t="s">
        <v>52</v>
      </c>
      <c r="CC50" s="251">
        <f>SUM(Start:Stop!CC50)</f>
        <v>14</v>
      </c>
      <c r="CD50" s="228" t="s">
        <v>53</v>
      </c>
      <c r="CE50" s="250">
        <f>SUM(Start:Stop!CE50)</f>
        <v>3</v>
      </c>
      <c r="CF50" s="251" t="s">
        <v>54</v>
      </c>
      <c r="CG50" s="228">
        <f>SUM(Start:Stop!CG50)</f>
        <v>0</v>
      </c>
      <c r="CH50" s="250" t="s">
        <v>52</v>
      </c>
      <c r="CI50" s="252">
        <f>SUM(Start:Stop!CI50)</f>
        <v>0</v>
      </c>
      <c r="CJ50" s="250">
        <f>SUM(Start:Stop!CJ50)</f>
        <v>16</v>
      </c>
      <c r="CK50" s="250">
        <f>SUM(Start:Stop!CK50)</f>
        <v>66</v>
      </c>
      <c r="CL50" s="250">
        <f>SUM(Start:Stop!CL50)</f>
        <v>0</v>
      </c>
      <c r="CM50" s="250">
        <f>SUM(Start:Stop!CM50)</f>
        <v>0</v>
      </c>
      <c r="CN50" s="250">
        <f>SUM(Start:Stop!CN50)</f>
        <v>82</v>
      </c>
      <c r="CO50" s="250">
        <f>SUM(Start:Stop!CO50)</f>
        <v>39</v>
      </c>
      <c r="CP50" s="250">
        <f>SUM(Start:Stop!CP50)</f>
        <v>55</v>
      </c>
      <c r="CQ50" s="250">
        <f>SUM(Start:Stop!CQ50)</f>
        <v>19</v>
      </c>
      <c r="CR50" s="250">
        <f>SUM(Start:Stop!CR50)</f>
        <v>26</v>
      </c>
      <c r="CS50" s="250">
        <f>SUM(Start:Stop!CS50)</f>
        <v>19</v>
      </c>
      <c r="CT50" s="250">
        <f>SUM(Start:Stop!CT50)</f>
        <v>34</v>
      </c>
      <c r="CU50" s="250">
        <f>SUM(Start:Stop!CU50)</f>
        <v>7</v>
      </c>
      <c r="CV50" s="360">
        <f>SUM(Start:Stop!CV50)</f>
        <v>159.69999999999999</v>
      </c>
      <c r="CW50" s="33"/>
      <c r="CX50" s="4"/>
      <c r="CY50" s="4"/>
      <c r="CZ50" s="4"/>
      <c r="DA50" s="4"/>
      <c r="DB50" s="8"/>
      <c r="DC50" s="8"/>
      <c r="DF50" s="489"/>
      <c r="DG50" s="489"/>
      <c r="DH50" s="8"/>
      <c r="DS50" s="10"/>
      <c r="DT50" s="10"/>
      <c r="EF50" s="38" t="s">
        <v>228</v>
      </c>
      <c r="EG50" s="37">
        <f>SUM(Start:Stop!EG50)</f>
        <v>164.36677440497704</v>
      </c>
      <c r="EW50" s="38" t="s">
        <v>228</v>
      </c>
      <c r="EX50" s="6">
        <f>SUM(Start:Stop!EX50)</f>
        <v>19.7</v>
      </c>
      <c r="EY50" s="6">
        <f>SUM(Start:Stop!EY50)</f>
        <v>26</v>
      </c>
      <c r="EZ50" s="6">
        <f>SUM(Start:Stop!EZ50)</f>
        <v>62.775166666666664</v>
      </c>
      <c r="GP50" s="338"/>
    </row>
    <row r="51" spans="3:198" x14ac:dyDescent="0.2">
      <c r="C51" s="38" t="s">
        <v>229</v>
      </c>
      <c r="D51" s="308">
        <f>SUM(Start:Stop!D51)</f>
        <v>355.87666666666667</v>
      </c>
      <c r="E51" s="249">
        <f>SUM(Start:Stop!E51)</f>
        <v>59</v>
      </c>
      <c r="F51" s="228" t="s">
        <v>52</v>
      </c>
      <c r="G51" s="251">
        <f>SUM(Start:Stop!G51)</f>
        <v>137</v>
      </c>
      <c r="H51" s="228" t="s">
        <v>53</v>
      </c>
      <c r="I51" s="250">
        <f>SUM(Start:Stop!I51)</f>
        <v>32</v>
      </c>
      <c r="J51" s="251" t="s">
        <v>54</v>
      </c>
      <c r="K51" s="228">
        <f>SUM(Start:Stop!K51)</f>
        <v>30</v>
      </c>
      <c r="L51" s="250" t="s">
        <v>52</v>
      </c>
      <c r="M51" s="251">
        <f>SUM(Start:Stop!M51)</f>
        <v>47</v>
      </c>
      <c r="N51" s="228" t="s">
        <v>53</v>
      </c>
      <c r="O51" s="250">
        <f>SUM(Start:Stop!O51)</f>
        <v>12</v>
      </c>
      <c r="P51" s="251" t="s">
        <v>54</v>
      </c>
      <c r="Q51" s="228">
        <f>SUM(Start:Stop!Q51)</f>
        <v>6</v>
      </c>
      <c r="R51" s="250" t="s">
        <v>52</v>
      </c>
      <c r="S51" s="251">
        <f>SUM(Start:Stop!S51)</f>
        <v>24</v>
      </c>
      <c r="T51" s="228" t="s">
        <v>53</v>
      </c>
      <c r="U51" s="250">
        <f>SUM(Start:Stop!U51)</f>
        <v>0</v>
      </c>
      <c r="V51" s="251" t="s">
        <v>54</v>
      </c>
      <c r="W51" s="228">
        <f>SUM(Start:Stop!W51)</f>
        <v>23</v>
      </c>
      <c r="X51" s="228" t="s">
        <v>52</v>
      </c>
      <c r="Y51" s="251">
        <f>SUM(Start:Stop!Y51)</f>
        <v>66</v>
      </c>
      <c r="Z51" s="228" t="s">
        <v>53</v>
      </c>
      <c r="AA51" s="250">
        <f>SUM(Start:Stop!AA51)</f>
        <v>20</v>
      </c>
      <c r="AB51" s="251" t="s">
        <v>54</v>
      </c>
      <c r="AC51" s="331">
        <f>SUM(Start:Stop!AC51)</f>
        <v>10.1</v>
      </c>
      <c r="AD51" s="250" t="s">
        <v>52</v>
      </c>
      <c r="AE51" s="252">
        <f>SUM(Start:Stop!AE51)</f>
        <v>14</v>
      </c>
      <c r="AF51" s="228"/>
      <c r="AG51" s="249">
        <f>SUM(Start:Stop!AG51)</f>
        <v>46</v>
      </c>
      <c r="AH51" s="228" t="s">
        <v>52</v>
      </c>
      <c r="AI51" s="251">
        <f>SUM(Start:Stop!AI51)</f>
        <v>115</v>
      </c>
      <c r="AJ51" s="228" t="s">
        <v>53</v>
      </c>
      <c r="AK51" s="250">
        <f>SUM(Start:Stop!AK51)</f>
        <v>25</v>
      </c>
      <c r="AL51" s="251" t="s">
        <v>54</v>
      </c>
      <c r="AM51" s="228">
        <f>SUM(Start:Stop!AM51)</f>
        <v>22</v>
      </c>
      <c r="AN51" s="228" t="s">
        <v>52</v>
      </c>
      <c r="AO51" s="251">
        <f>SUM(Start:Stop!AO51)</f>
        <v>38</v>
      </c>
      <c r="AP51" s="228" t="s">
        <v>53</v>
      </c>
      <c r="AQ51" s="250">
        <f>SUM(Start:Stop!AQ51)</f>
        <v>9</v>
      </c>
      <c r="AR51" s="251" t="s">
        <v>54</v>
      </c>
      <c r="AS51" s="228">
        <f>SUM(Start:Stop!AS51)</f>
        <v>6</v>
      </c>
      <c r="AT51" s="228" t="s">
        <v>52</v>
      </c>
      <c r="AU51" s="251">
        <f>SUM(Start:Stop!AU51)</f>
        <v>24</v>
      </c>
      <c r="AV51" s="228" t="s">
        <v>53</v>
      </c>
      <c r="AW51" s="250">
        <f>SUM(Start:Stop!AW51)</f>
        <v>0</v>
      </c>
      <c r="AX51" s="251" t="s">
        <v>54</v>
      </c>
      <c r="AY51" s="228">
        <f>SUM(Start:Stop!AY51)</f>
        <v>18</v>
      </c>
      <c r="AZ51" s="228" t="s">
        <v>52</v>
      </c>
      <c r="BA51" s="251">
        <f>SUM(Start:Stop!BA51)</f>
        <v>53</v>
      </c>
      <c r="BB51" s="228" t="s">
        <v>53</v>
      </c>
      <c r="BC51" s="250">
        <f>SUM(Start:Stop!BC51)</f>
        <v>16</v>
      </c>
      <c r="BD51" s="251" t="s">
        <v>54</v>
      </c>
      <c r="BE51" s="228">
        <f>SUM(Start:Stop!BE51)</f>
        <v>0</v>
      </c>
      <c r="BF51" s="228" t="s">
        <v>52</v>
      </c>
      <c r="BG51" s="252">
        <f>SUM(Start:Stop!BG51)</f>
        <v>0</v>
      </c>
      <c r="BH51" s="228"/>
      <c r="BI51" s="249">
        <f>SUM(Start:Stop!BI51)</f>
        <v>13</v>
      </c>
      <c r="BJ51" s="250" t="s">
        <v>52</v>
      </c>
      <c r="BK51" s="251">
        <f>SUM(Start:Stop!BK51)</f>
        <v>22</v>
      </c>
      <c r="BL51" s="228" t="s">
        <v>53</v>
      </c>
      <c r="BM51" s="250">
        <f>SUM(Start:Stop!BM51)</f>
        <v>7</v>
      </c>
      <c r="BN51" s="251" t="s">
        <v>54</v>
      </c>
      <c r="BO51" s="228">
        <f>SUM(Start:Stop!BO51)</f>
        <v>8</v>
      </c>
      <c r="BP51" s="250" t="s">
        <v>52</v>
      </c>
      <c r="BQ51" s="251">
        <f>SUM(Start:Stop!BQ51)</f>
        <v>9</v>
      </c>
      <c r="BR51" s="228" t="s">
        <v>53</v>
      </c>
      <c r="BS51" s="250">
        <f>SUM(Start:Stop!BS51)</f>
        <v>3</v>
      </c>
      <c r="BT51" s="251" t="s">
        <v>54</v>
      </c>
      <c r="BU51" s="228">
        <f>SUM(Start:Stop!BU51)</f>
        <v>0</v>
      </c>
      <c r="BV51" s="250" t="s">
        <v>52</v>
      </c>
      <c r="BW51" s="251">
        <f>SUM(Start:Stop!BW51)</f>
        <v>0</v>
      </c>
      <c r="BX51" s="228" t="s">
        <v>53</v>
      </c>
      <c r="BY51" s="250">
        <f>SUM(Start:Stop!BY51)</f>
        <v>0</v>
      </c>
      <c r="BZ51" s="251" t="s">
        <v>54</v>
      </c>
      <c r="CA51" s="228">
        <f>SUM(Start:Stop!CA51)</f>
        <v>5</v>
      </c>
      <c r="CB51" s="250" t="s">
        <v>52</v>
      </c>
      <c r="CC51" s="251">
        <f>SUM(Start:Stop!CC51)</f>
        <v>13</v>
      </c>
      <c r="CD51" s="228" t="s">
        <v>53</v>
      </c>
      <c r="CE51" s="250">
        <f>SUM(Start:Stop!CE51)</f>
        <v>4</v>
      </c>
      <c r="CF51" s="251" t="s">
        <v>54</v>
      </c>
      <c r="CG51" s="228">
        <f>SUM(Start:Stop!CG51)</f>
        <v>0</v>
      </c>
      <c r="CH51" s="250" t="s">
        <v>52</v>
      </c>
      <c r="CI51" s="252">
        <f>SUM(Start:Stop!CI51)</f>
        <v>0</v>
      </c>
      <c r="CJ51" s="250">
        <f>SUM(Start:Stop!CJ51)</f>
        <v>14</v>
      </c>
      <c r="CK51" s="250">
        <f>SUM(Start:Stop!CK51)</f>
        <v>75</v>
      </c>
      <c r="CL51" s="250">
        <f>SUM(Start:Stop!CL51)</f>
        <v>0</v>
      </c>
      <c r="CM51" s="250">
        <f>SUM(Start:Stop!CM51)</f>
        <v>0</v>
      </c>
      <c r="CN51" s="250">
        <f>SUM(Start:Stop!CN51)</f>
        <v>89</v>
      </c>
      <c r="CO51" s="250">
        <f>SUM(Start:Stop!CO51)</f>
        <v>33</v>
      </c>
      <c r="CP51" s="250">
        <f>SUM(Start:Stop!CP51)</f>
        <v>36</v>
      </c>
      <c r="CQ51" s="250">
        <f>SUM(Start:Stop!CQ51)</f>
        <v>31</v>
      </c>
      <c r="CR51" s="250">
        <f>SUM(Start:Stop!CR51)</f>
        <v>14</v>
      </c>
      <c r="CS51" s="250">
        <f>SUM(Start:Stop!CS51)</f>
        <v>13</v>
      </c>
      <c r="CT51" s="250">
        <f>SUM(Start:Stop!CT51)</f>
        <v>41</v>
      </c>
      <c r="CU51" s="250">
        <f>SUM(Start:Stop!CU51)</f>
        <v>4</v>
      </c>
      <c r="CV51" s="360">
        <f>SUM(Start:Stop!CV51)</f>
        <v>151.10000000000002</v>
      </c>
      <c r="CW51" s="33"/>
      <c r="CX51" s="4"/>
      <c r="CY51" s="4"/>
      <c r="CZ51" s="4"/>
      <c r="DA51" s="4"/>
      <c r="DB51" s="8"/>
      <c r="DC51" s="8"/>
      <c r="DF51" s="489"/>
      <c r="DG51" s="489"/>
      <c r="DH51" s="8"/>
      <c r="DS51" s="10"/>
      <c r="DT51" s="10"/>
      <c r="EF51" s="38" t="s">
        <v>229</v>
      </c>
      <c r="EG51" s="37">
        <f>SUM(Start:Stop!EG51)</f>
        <v>163.66157379993305</v>
      </c>
      <c r="EW51" s="38" t="s">
        <v>229</v>
      </c>
      <c r="EX51" s="6">
        <f>SUM(Start:Stop!EX51)</f>
        <v>10.1</v>
      </c>
      <c r="EY51" s="6">
        <f>SUM(Start:Stop!EY51)</f>
        <v>14</v>
      </c>
      <c r="EZ51" s="6">
        <f>SUM(Start:Stop!EZ51)</f>
        <v>61.163916666666665</v>
      </c>
      <c r="GP51" s="338"/>
    </row>
    <row r="52" spans="3:198" x14ac:dyDescent="0.2">
      <c r="C52" s="38" t="s">
        <v>113</v>
      </c>
      <c r="D52" s="308">
        <f>SUM(Start:Stop!D52)</f>
        <v>355.87666666666667</v>
      </c>
      <c r="E52" s="249">
        <f>SUM(Start:Stop!E52)</f>
        <v>68</v>
      </c>
      <c r="F52" s="228" t="s">
        <v>52</v>
      </c>
      <c r="G52" s="251">
        <f>SUM(Start:Stop!G52)</f>
        <v>156</v>
      </c>
      <c r="H52" s="228" t="s">
        <v>53</v>
      </c>
      <c r="I52" s="250">
        <f>SUM(Start:Stop!I52)</f>
        <v>40</v>
      </c>
      <c r="J52" s="251" t="s">
        <v>54</v>
      </c>
      <c r="K52" s="228">
        <f>SUM(Start:Stop!K52)</f>
        <v>28</v>
      </c>
      <c r="L52" s="250" t="s">
        <v>52</v>
      </c>
      <c r="M52" s="251">
        <f>SUM(Start:Stop!M52)</f>
        <v>48</v>
      </c>
      <c r="N52" s="228" t="s">
        <v>53</v>
      </c>
      <c r="O52" s="250">
        <f>SUM(Start:Stop!O52)</f>
        <v>10</v>
      </c>
      <c r="P52" s="251" t="s">
        <v>54</v>
      </c>
      <c r="Q52" s="228">
        <f>SUM(Start:Stop!Q52)</f>
        <v>7</v>
      </c>
      <c r="R52" s="250" t="s">
        <v>52</v>
      </c>
      <c r="S52" s="251">
        <f>SUM(Start:Stop!S52)</f>
        <v>25</v>
      </c>
      <c r="T52" s="228" t="s">
        <v>53</v>
      </c>
      <c r="U52" s="250">
        <f>SUM(Start:Stop!U52)</f>
        <v>1</v>
      </c>
      <c r="V52" s="251" t="s">
        <v>54</v>
      </c>
      <c r="W52" s="228">
        <f>SUM(Start:Stop!W52)</f>
        <v>33</v>
      </c>
      <c r="X52" s="228" t="s">
        <v>52</v>
      </c>
      <c r="Y52" s="251">
        <f>SUM(Start:Stop!Y52)</f>
        <v>83</v>
      </c>
      <c r="Z52" s="228" t="s">
        <v>53</v>
      </c>
      <c r="AA52" s="250">
        <f>SUM(Start:Stop!AA52)</f>
        <v>29</v>
      </c>
      <c r="AB52" s="251" t="s">
        <v>54</v>
      </c>
      <c r="AC52" s="331">
        <f>SUM(Start:Stop!AC52)</f>
        <v>21.1</v>
      </c>
      <c r="AD52" s="250" t="s">
        <v>52</v>
      </c>
      <c r="AE52" s="252">
        <f>SUM(Start:Stop!AE52)</f>
        <v>28</v>
      </c>
      <c r="AF52" s="228"/>
      <c r="AG52" s="249">
        <f>SUM(Start:Stop!AG52)</f>
        <v>58</v>
      </c>
      <c r="AH52" s="228" t="s">
        <v>52</v>
      </c>
      <c r="AI52" s="251">
        <f>SUM(Start:Stop!AI52)</f>
        <v>131</v>
      </c>
      <c r="AJ52" s="228" t="s">
        <v>53</v>
      </c>
      <c r="AK52" s="250">
        <f>SUM(Start:Stop!AK52)</f>
        <v>37</v>
      </c>
      <c r="AL52" s="251" t="s">
        <v>54</v>
      </c>
      <c r="AM52" s="228">
        <f>SUM(Start:Stop!AM52)</f>
        <v>22</v>
      </c>
      <c r="AN52" s="228" t="s">
        <v>52</v>
      </c>
      <c r="AO52" s="251">
        <f>SUM(Start:Stop!AO52)</f>
        <v>38</v>
      </c>
      <c r="AP52" s="228" t="s">
        <v>53</v>
      </c>
      <c r="AQ52" s="250">
        <f>SUM(Start:Stop!AQ52)</f>
        <v>9</v>
      </c>
      <c r="AR52" s="251" t="s">
        <v>54</v>
      </c>
      <c r="AS52" s="228">
        <f>SUM(Start:Stop!AS52)</f>
        <v>7</v>
      </c>
      <c r="AT52" s="228" t="s">
        <v>52</v>
      </c>
      <c r="AU52" s="251">
        <f>SUM(Start:Stop!AU52)</f>
        <v>25</v>
      </c>
      <c r="AV52" s="228" t="s">
        <v>53</v>
      </c>
      <c r="AW52" s="250">
        <f>SUM(Start:Stop!AW52)</f>
        <v>1</v>
      </c>
      <c r="AX52" s="251" t="s">
        <v>54</v>
      </c>
      <c r="AY52" s="228">
        <f>SUM(Start:Stop!AY52)</f>
        <v>29</v>
      </c>
      <c r="AZ52" s="228" t="s">
        <v>52</v>
      </c>
      <c r="BA52" s="251">
        <f>SUM(Start:Stop!BA52)</f>
        <v>68</v>
      </c>
      <c r="BB52" s="228" t="s">
        <v>53</v>
      </c>
      <c r="BC52" s="250">
        <f>SUM(Start:Stop!BC52)</f>
        <v>27</v>
      </c>
      <c r="BD52" s="251" t="s">
        <v>54</v>
      </c>
      <c r="BE52" s="228">
        <f>SUM(Start:Stop!BE52)</f>
        <v>0</v>
      </c>
      <c r="BF52" s="228" t="s">
        <v>52</v>
      </c>
      <c r="BG52" s="252">
        <f>SUM(Start:Stop!BG52)</f>
        <v>0</v>
      </c>
      <c r="BH52" s="228"/>
      <c r="BI52" s="249">
        <f>SUM(Start:Stop!BI52)</f>
        <v>10</v>
      </c>
      <c r="BJ52" s="250" t="s">
        <v>52</v>
      </c>
      <c r="BK52" s="251">
        <f>SUM(Start:Stop!BK52)</f>
        <v>25</v>
      </c>
      <c r="BL52" s="228" t="s">
        <v>53</v>
      </c>
      <c r="BM52" s="250">
        <f>SUM(Start:Stop!BM52)</f>
        <v>3</v>
      </c>
      <c r="BN52" s="251" t="s">
        <v>54</v>
      </c>
      <c r="BO52" s="228">
        <f>SUM(Start:Stop!BO52)</f>
        <v>6</v>
      </c>
      <c r="BP52" s="250" t="s">
        <v>52</v>
      </c>
      <c r="BQ52" s="251">
        <f>SUM(Start:Stop!BQ52)</f>
        <v>10</v>
      </c>
      <c r="BR52" s="228" t="s">
        <v>53</v>
      </c>
      <c r="BS52" s="250">
        <f>SUM(Start:Stop!BS52)</f>
        <v>1</v>
      </c>
      <c r="BT52" s="251" t="s">
        <v>54</v>
      </c>
      <c r="BU52" s="228">
        <f>SUM(Start:Stop!BU52)</f>
        <v>0</v>
      </c>
      <c r="BV52" s="250" t="s">
        <v>52</v>
      </c>
      <c r="BW52" s="251">
        <f>SUM(Start:Stop!BW52)</f>
        <v>0</v>
      </c>
      <c r="BX52" s="228" t="s">
        <v>53</v>
      </c>
      <c r="BY52" s="250">
        <f>SUM(Start:Stop!BY52)</f>
        <v>0</v>
      </c>
      <c r="BZ52" s="251" t="s">
        <v>54</v>
      </c>
      <c r="CA52" s="228">
        <f>SUM(Start:Stop!CA52)</f>
        <v>4</v>
      </c>
      <c r="CB52" s="250" t="s">
        <v>52</v>
      </c>
      <c r="CC52" s="251">
        <f>SUM(Start:Stop!CC52)</f>
        <v>15</v>
      </c>
      <c r="CD52" s="228" t="s">
        <v>53</v>
      </c>
      <c r="CE52" s="250">
        <f>SUM(Start:Stop!CE52)</f>
        <v>2</v>
      </c>
      <c r="CF52" s="251" t="s">
        <v>54</v>
      </c>
      <c r="CG52" s="228">
        <f>SUM(Start:Stop!CG52)</f>
        <v>0</v>
      </c>
      <c r="CH52" s="250" t="s">
        <v>52</v>
      </c>
      <c r="CI52" s="252">
        <f>SUM(Start:Stop!CI52)</f>
        <v>0</v>
      </c>
      <c r="CJ52" s="250">
        <f>SUM(Start:Stop!CJ52)</f>
        <v>15</v>
      </c>
      <c r="CK52" s="250">
        <f>SUM(Start:Stop!CK52)</f>
        <v>66</v>
      </c>
      <c r="CL52" s="250">
        <f>SUM(Start:Stop!CL52)</f>
        <v>0</v>
      </c>
      <c r="CM52" s="250">
        <f>SUM(Start:Stop!CM52)</f>
        <v>0</v>
      </c>
      <c r="CN52" s="250">
        <f>SUM(Start:Stop!CN52)</f>
        <v>81</v>
      </c>
      <c r="CO52" s="250">
        <f>SUM(Start:Stop!CO52)</f>
        <v>40</v>
      </c>
      <c r="CP52" s="250">
        <f>SUM(Start:Stop!CP52)</f>
        <v>54</v>
      </c>
      <c r="CQ52" s="250">
        <f>SUM(Start:Stop!CQ52)</f>
        <v>15</v>
      </c>
      <c r="CR52" s="250">
        <f>SUM(Start:Stop!CR52)</f>
        <v>28</v>
      </c>
      <c r="CS52" s="250">
        <f>SUM(Start:Stop!CS52)</f>
        <v>22</v>
      </c>
      <c r="CT52" s="250">
        <f>SUM(Start:Stop!CT52)</f>
        <v>29</v>
      </c>
      <c r="CU52" s="250">
        <f>SUM(Start:Stop!CU52)</f>
        <v>7</v>
      </c>
      <c r="CV52" s="360">
        <f>SUM(Start:Stop!CV52)</f>
        <v>190.10000000000002</v>
      </c>
      <c r="CW52" s="33"/>
      <c r="CX52" s="4"/>
      <c r="CY52" s="4"/>
      <c r="CZ52" s="4"/>
      <c r="DA52" s="4"/>
      <c r="DB52" s="8"/>
      <c r="DC52" s="8"/>
      <c r="DF52" s="489"/>
      <c r="DG52" s="489"/>
      <c r="DH52" s="8"/>
      <c r="DS52" s="10"/>
      <c r="DT52" s="10"/>
      <c r="EF52" s="38" t="s">
        <v>113</v>
      </c>
      <c r="EG52" s="37">
        <f>SUM(Start:Stop!EG52)</f>
        <v>171.81458654932911</v>
      </c>
      <c r="EW52" s="38" t="s">
        <v>113</v>
      </c>
      <c r="EX52" s="6">
        <f>SUM(Start:Stop!EX52)</f>
        <v>21.1</v>
      </c>
      <c r="EY52" s="6">
        <f>SUM(Start:Stop!EY52)</f>
        <v>28</v>
      </c>
      <c r="EZ52" s="6">
        <f>SUM(Start:Stop!EZ52)</f>
        <v>75.503416666666666</v>
      </c>
      <c r="GP52" s="338"/>
    </row>
    <row r="53" spans="3:198" x14ac:dyDescent="0.2">
      <c r="C53" s="38" t="s">
        <v>49</v>
      </c>
      <c r="D53" s="308">
        <f>SUM(Start:Stop!D53)</f>
        <v>355.87666666666667</v>
      </c>
      <c r="E53" s="249">
        <f>SUM(Start:Stop!E53)</f>
        <v>79</v>
      </c>
      <c r="F53" s="228" t="s">
        <v>52</v>
      </c>
      <c r="G53" s="251">
        <f>SUM(Start:Stop!G53)</f>
        <v>173</v>
      </c>
      <c r="H53" s="228" t="s">
        <v>53</v>
      </c>
      <c r="I53" s="250">
        <f>SUM(Start:Stop!I53)</f>
        <v>51</v>
      </c>
      <c r="J53" s="251" t="s">
        <v>54</v>
      </c>
      <c r="K53" s="228">
        <f>SUM(Start:Stop!K53)</f>
        <v>39</v>
      </c>
      <c r="L53" s="250" t="s">
        <v>52</v>
      </c>
      <c r="M53" s="251">
        <f>SUM(Start:Stop!M53)</f>
        <v>64</v>
      </c>
      <c r="N53" s="228" t="s">
        <v>53</v>
      </c>
      <c r="O53" s="250">
        <f>SUM(Start:Stop!O53)</f>
        <v>22</v>
      </c>
      <c r="P53" s="251" t="s">
        <v>54</v>
      </c>
      <c r="Q53" s="228">
        <f>SUM(Start:Stop!Q53)</f>
        <v>9</v>
      </c>
      <c r="R53" s="250" t="s">
        <v>52</v>
      </c>
      <c r="S53" s="251">
        <f>SUM(Start:Stop!S53)</f>
        <v>25</v>
      </c>
      <c r="T53" s="228" t="s">
        <v>53</v>
      </c>
      <c r="U53" s="250">
        <f>SUM(Start:Stop!U53)</f>
        <v>1</v>
      </c>
      <c r="V53" s="251" t="s">
        <v>54</v>
      </c>
      <c r="W53" s="228">
        <f>SUM(Start:Stop!W53)</f>
        <v>31</v>
      </c>
      <c r="X53" s="228" t="s">
        <v>52</v>
      </c>
      <c r="Y53" s="251">
        <f>SUM(Start:Stop!Y53)</f>
        <v>84</v>
      </c>
      <c r="Z53" s="228" t="s">
        <v>53</v>
      </c>
      <c r="AA53" s="250">
        <f>SUM(Start:Stop!AA53)</f>
        <v>28</v>
      </c>
      <c r="AB53" s="251" t="s">
        <v>54</v>
      </c>
      <c r="AC53" s="331">
        <f>SUM(Start:Stop!AC53)</f>
        <v>16.100000000000001</v>
      </c>
      <c r="AD53" s="250" t="s">
        <v>52</v>
      </c>
      <c r="AE53" s="252">
        <f>SUM(Start:Stop!AE53)</f>
        <v>21</v>
      </c>
      <c r="AF53" s="228"/>
      <c r="AG53" s="249">
        <f>SUM(Start:Stop!AG53)</f>
        <v>63</v>
      </c>
      <c r="AH53" s="228" t="s">
        <v>52</v>
      </c>
      <c r="AI53" s="251">
        <f>SUM(Start:Stop!AI53)</f>
        <v>144</v>
      </c>
      <c r="AJ53" s="228" t="s">
        <v>53</v>
      </c>
      <c r="AK53" s="250">
        <f>SUM(Start:Stop!AK53)</f>
        <v>41</v>
      </c>
      <c r="AL53" s="251" t="s">
        <v>54</v>
      </c>
      <c r="AM53" s="228">
        <f>SUM(Start:Stop!AM53)</f>
        <v>29</v>
      </c>
      <c r="AN53" s="228" t="s">
        <v>52</v>
      </c>
      <c r="AO53" s="251">
        <f>SUM(Start:Stop!AO53)</f>
        <v>46</v>
      </c>
      <c r="AP53" s="228" t="s">
        <v>53</v>
      </c>
      <c r="AQ53" s="250">
        <f>SUM(Start:Stop!AQ53)</f>
        <v>17</v>
      </c>
      <c r="AR53" s="251" t="s">
        <v>54</v>
      </c>
      <c r="AS53" s="228">
        <f>SUM(Start:Stop!AS53)</f>
        <v>9</v>
      </c>
      <c r="AT53" s="228" t="s">
        <v>52</v>
      </c>
      <c r="AU53" s="251">
        <f>SUM(Start:Stop!AU53)</f>
        <v>25</v>
      </c>
      <c r="AV53" s="228" t="s">
        <v>53</v>
      </c>
      <c r="AW53" s="250">
        <f>SUM(Start:Stop!AW53)</f>
        <v>1</v>
      </c>
      <c r="AX53" s="251" t="s">
        <v>54</v>
      </c>
      <c r="AY53" s="228">
        <f>SUM(Start:Stop!AY53)</f>
        <v>25</v>
      </c>
      <c r="AZ53" s="228" t="s">
        <v>52</v>
      </c>
      <c r="BA53" s="251">
        <f>SUM(Start:Stop!BA53)</f>
        <v>73</v>
      </c>
      <c r="BB53" s="228" t="s">
        <v>53</v>
      </c>
      <c r="BC53" s="250">
        <f>SUM(Start:Stop!BC53)</f>
        <v>23</v>
      </c>
      <c r="BD53" s="251" t="s">
        <v>54</v>
      </c>
      <c r="BE53" s="228">
        <f>SUM(Start:Stop!BE53)</f>
        <v>0</v>
      </c>
      <c r="BF53" s="228" t="s">
        <v>52</v>
      </c>
      <c r="BG53" s="252">
        <f>SUM(Start:Stop!BG53)</f>
        <v>0</v>
      </c>
      <c r="BH53" s="228"/>
      <c r="BI53" s="249">
        <f>SUM(Start:Stop!BI53)</f>
        <v>16</v>
      </c>
      <c r="BJ53" s="250" t="s">
        <v>52</v>
      </c>
      <c r="BK53" s="251">
        <f>SUM(Start:Stop!BK53)</f>
        <v>29</v>
      </c>
      <c r="BL53" s="228" t="s">
        <v>53</v>
      </c>
      <c r="BM53" s="250">
        <f>SUM(Start:Stop!BM53)</f>
        <v>10</v>
      </c>
      <c r="BN53" s="251" t="s">
        <v>54</v>
      </c>
      <c r="BO53" s="228">
        <f>SUM(Start:Stop!BO53)</f>
        <v>10</v>
      </c>
      <c r="BP53" s="250" t="s">
        <v>52</v>
      </c>
      <c r="BQ53" s="251">
        <f>SUM(Start:Stop!BQ53)</f>
        <v>18</v>
      </c>
      <c r="BR53" s="228" t="s">
        <v>53</v>
      </c>
      <c r="BS53" s="250">
        <f>SUM(Start:Stop!BS53)</f>
        <v>5</v>
      </c>
      <c r="BT53" s="251" t="s">
        <v>54</v>
      </c>
      <c r="BU53" s="228">
        <f>SUM(Start:Stop!BU53)</f>
        <v>0</v>
      </c>
      <c r="BV53" s="250" t="s">
        <v>52</v>
      </c>
      <c r="BW53" s="251">
        <f>SUM(Start:Stop!BW53)</f>
        <v>0</v>
      </c>
      <c r="BX53" s="228" t="s">
        <v>53</v>
      </c>
      <c r="BY53" s="250">
        <f>SUM(Start:Stop!BY53)</f>
        <v>0</v>
      </c>
      <c r="BZ53" s="251" t="s">
        <v>54</v>
      </c>
      <c r="CA53" s="228">
        <f>SUM(Start:Stop!CA53)</f>
        <v>6</v>
      </c>
      <c r="CB53" s="250" t="s">
        <v>52</v>
      </c>
      <c r="CC53" s="251">
        <f>SUM(Start:Stop!CC53)</f>
        <v>11</v>
      </c>
      <c r="CD53" s="228" t="s">
        <v>53</v>
      </c>
      <c r="CE53" s="250">
        <f>SUM(Start:Stop!CE53)</f>
        <v>5</v>
      </c>
      <c r="CF53" s="251" t="s">
        <v>54</v>
      </c>
      <c r="CG53" s="228">
        <f>SUM(Start:Stop!CG53)</f>
        <v>0</v>
      </c>
      <c r="CH53" s="250" t="s">
        <v>52</v>
      </c>
      <c r="CI53" s="252">
        <f>SUM(Start:Stop!CI53)</f>
        <v>0</v>
      </c>
      <c r="CJ53" s="250">
        <f>SUM(Start:Stop!CJ53)</f>
        <v>20</v>
      </c>
      <c r="CK53" s="250">
        <f>SUM(Start:Stop!CK53)</f>
        <v>67</v>
      </c>
      <c r="CL53" s="250">
        <f>SUM(Start:Stop!CL53)</f>
        <v>0</v>
      </c>
      <c r="CM53" s="250">
        <f>SUM(Start:Stop!CM53)</f>
        <v>0</v>
      </c>
      <c r="CN53" s="250">
        <f>SUM(Start:Stop!CN53)</f>
        <v>87</v>
      </c>
      <c r="CO53" s="250">
        <f>SUM(Start:Stop!CO53)</f>
        <v>51</v>
      </c>
      <c r="CP53" s="250">
        <f>SUM(Start:Stop!CP53)</f>
        <v>58</v>
      </c>
      <c r="CQ53" s="250">
        <f>SUM(Start:Stop!CQ53)</f>
        <v>24</v>
      </c>
      <c r="CR53" s="250">
        <f>SUM(Start:Stop!CR53)</f>
        <v>21</v>
      </c>
      <c r="CS53" s="250">
        <f>SUM(Start:Stop!CS53)</f>
        <v>22</v>
      </c>
      <c r="CT53" s="250">
        <f>SUM(Start:Stop!CT53)</f>
        <v>33</v>
      </c>
      <c r="CU53" s="250">
        <f>SUM(Start:Stop!CU53)</f>
        <v>8</v>
      </c>
      <c r="CV53" s="360">
        <f>SUM(Start:Stop!CV53)</f>
        <v>205.1</v>
      </c>
      <c r="CW53" s="33"/>
      <c r="CX53" s="4"/>
      <c r="CY53" s="4"/>
      <c r="CZ53" s="4"/>
      <c r="DA53" s="4"/>
      <c r="DB53" s="8"/>
      <c r="DC53" s="8"/>
      <c r="DF53" s="489"/>
      <c r="DG53" s="489"/>
      <c r="DH53" s="8"/>
      <c r="DS53" s="10"/>
      <c r="DT53" s="10"/>
      <c r="EF53" s="38" t="s">
        <v>49</v>
      </c>
      <c r="EG53" s="37">
        <f>SUM(Start:Stop!EG53)</f>
        <v>187.7636507138516</v>
      </c>
      <c r="EW53" s="38" t="s">
        <v>49</v>
      </c>
      <c r="EX53" s="6">
        <f>SUM(Start:Stop!EX53)</f>
        <v>16.100000000000001</v>
      </c>
      <c r="EY53" s="6">
        <f>SUM(Start:Stop!EY53)</f>
        <v>21</v>
      </c>
      <c r="EZ53" s="6">
        <f>SUM(Start:Stop!EZ53)</f>
        <v>83.923333333333346</v>
      </c>
      <c r="GP53" s="338"/>
    </row>
    <row r="54" spans="3:198" ht="17" thickBot="1" x14ac:dyDescent="0.25">
      <c r="C54" s="38" t="s">
        <v>230</v>
      </c>
      <c r="D54" s="308">
        <f>SUM(Start:Stop!D54)</f>
        <v>355.87666666666667</v>
      </c>
      <c r="E54" s="253">
        <f>SUM(Start:Stop!E54)</f>
        <v>67</v>
      </c>
      <c r="F54" s="256" t="s">
        <v>52</v>
      </c>
      <c r="G54" s="255">
        <f>SUM(Start:Stop!G54)</f>
        <v>155</v>
      </c>
      <c r="H54" s="256" t="s">
        <v>53</v>
      </c>
      <c r="I54" s="254">
        <f>SUM(Start:Stop!I54)</f>
        <v>39</v>
      </c>
      <c r="J54" s="255" t="s">
        <v>54</v>
      </c>
      <c r="K54" s="256">
        <f>SUM(Start:Stop!K54)</f>
        <v>28</v>
      </c>
      <c r="L54" s="254" t="s">
        <v>52</v>
      </c>
      <c r="M54" s="255">
        <f>SUM(Start:Stop!M54)</f>
        <v>49</v>
      </c>
      <c r="N54" s="256" t="s">
        <v>53</v>
      </c>
      <c r="O54" s="254">
        <f>SUM(Start:Stop!O54)</f>
        <v>10</v>
      </c>
      <c r="P54" s="255" t="s">
        <v>54</v>
      </c>
      <c r="Q54" s="256">
        <f>SUM(Start:Stop!Q54)</f>
        <v>7</v>
      </c>
      <c r="R54" s="254" t="s">
        <v>52</v>
      </c>
      <c r="S54" s="255">
        <f>SUM(Start:Stop!S54)</f>
        <v>26</v>
      </c>
      <c r="T54" s="256" t="s">
        <v>53</v>
      </c>
      <c r="U54" s="254">
        <f>SUM(Start:Stop!U54)</f>
        <v>1</v>
      </c>
      <c r="V54" s="255" t="s">
        <v>54</v>
      </c>
      <c r="W54" s="256">
        <f>SUM(Start:Stop!W54)</f>
        <v>32</v>
      </c>
      <c r="X54" s="256" t="s">
        <v>52</v>
      </c>
      <c r="Y54" s="255">
        <f>SUM(Start:Stop!Y54)</f>
        <v>80</v>
      </c>
      <c r="Z54" s="256" t="s">
        <v>53</v>
      </c>
      <c r="AA54" s="254">
        <f>SUM(Start:Stop!AA54)</f>
        <v>28</v>
      </c>
      <c r="AB54" s="255" t="s">
        <v>54</v>
      </c>
      <c r="AC54" s="332">
        <f>SUM(Start:Stop!AC54)</f>
        <v>21.1</v>
      </c>
      <c r="AD54" s="254" t="s">
        <v>52</v>
      </c>
      <c r="AE54" s="257">
        <f>SUM(Start:Stop!AE54)</f>
        <v>28</v>
      </c>
      <c r="AF54" s="228"/>
      <c r="AG54" s="253">
        <f>SUM(Start:Stop!AG54)</f>
        <v>58</v>
      </c>
      <c r="AH54" s="256" t="s">
        <v>52</v>
      </c>
      <c r="AI54" s="255">
        <f>SUM(Start:Stop!AI54)</f>
        <v>129</v>
      </c>
      <c r="AJ54" s="256" t="s">
        <v>53</v>
      </c>
      <c r="AK54" s="254">
        <f>SUM(Start:Stop!AK54)</f>
        <v>36</v>
      </c>
      <c r="AL54" s="255" t="s">
        <v>54</v>
      </c>
      <c r="AM54" s="256">
        <f>SUM(Start:Stop!AM54)</f>
        <v>23</v>
      </c>
      <c r="AN54" s="256" t="s">
        <v>52</v>
      </c>
      <c r="AO54" s="255">
        <f>SUM(Start:Stop!AO54)</f>
        <v>40</v>
      </c>
      <c r="AP54" s="256" t="s">
        <v>53</v>
      </c>
      <c r="AQ54" s="254">
        <f>SUM(Start:Stop!AQ54)</f>
        <v>9</v>
      </c>
      <c r="AR54" s="255" t="s">
        <v>54</v>
      </c>
      <c r="AS54" s="256">
        <f>SUM(Start:Stop!AS54)</f>
        <v>7</v>
      </c>
      <c r="AT54" s="256" t="s">
        <v>52</v>
      </c>
      <c r="AU54" s="255">
        <f>SUM(Start:Stop!AU54)</f>
        <v>25</v>
      </c>
      <c r="AV54" s="256" t="s">
        <v>53</v>
      </c>
      <c r="AW54" s="254">
        <f>SUM(Start:Stop!AW54)</f>
        <v>1</v>
      </c>
      <c r="AX54" s="255" t="s">
        <v>54</v>
      </c>
      <c r="AY54" s="256">
        <f>SUM(Start:Stop!AY54)</f>
        <v>28</v>
      </c>
      <c r="AZ54" s="256" t="s">
        <v>52</v>
      </c>
      <c r="BA54" s="255">
        <f>SUM(Start:Stop!BA54)</f>
        <v>64</v>
      </c>
      <c r="BB54" s="256" t="s">
        <v>53</v>
      </c>
      <c r="BC54" s="254">
        <f>SUM(Start:Stop!BC54)</f>
        <v>26</v>
      </c>
      <c r="BD54" s="255" t="s">
        <v>54</v>
      </c>
      <c r="BE54" s="256">
        <f>SUM(Start:Stop!BE54)</f>
        <v>0</v>
      </c>
      <c r="BF54" s="256" t="s">
        <v>52</v>
      </c>
      <c r="BG54" s="257">
        <f>SUM(Start:Stop!BG54)</f>
        <v>0</v>
      </c>
      <c r="BH54" s="228"/>
      <c r="BI54" s="253">
        <f>SUM(Start:Stop!BI54)</f>
        <v>9</v>
      </c>
      <c r="BJ54" s="254" t="s">
        <v>52</v>
      </c>
      <c r="BK54" s="255">
        <f>SUM(Start:Stop!BK54)</f>
        <v>26</v>
      </c>
      <c r="BL54" s="256" t="s">
        <v>53</v>
      </c>
      <c r="BM54" s="254">
        <f>SUM(Start:Stop!BM54)</f>
        <v>3</v>
      </c>
      <c r="BN54" s="255" t="s">
        <v>54</v>
      </c>
      <c r="BO54" s="256">
        <f>SUM(Start:Stop!BO54)</f>
        <v>5</v>
      </c>
      <c r="BP54" s="254" t="s">
        <v>52</v>
      </c>
      <c r="BQ54" s="255">
        <f>SUM(Start:Stop!BQ54)</f>
        <v>9</v>
      </c>
      <c r="BR54" s="256" t="s">
        <v>53</v>
      </c>
      <c r="BS54" s="254">
        <f>SUM(Start:Stop!BS54)</f>
        <v>1</v>
      </c>
      <c r="BT54" s="255" t="s">
        <v>54</v>
      </c>
      <c r="BU54" s="256">
        <f>SUM(Start:Stop!BU54)</f>
        <v>0</v>
      </c>
      <c r="BV54" s="254" t="s">
        <v>52</v>
      </c>
      <c r="BW54" s="255">
        <f>SUM(Start:Stop!BW54)</f>
        <v>1</v>
      </c>
      <c r="BX54" s="256" t="s">
        <v>53</v>
      </c>
      <c r="BY54" s="254">
        <f>SUM(Start:Stop!BY54)</f>
        <v>0</v>
      </c>
      <c r="BZ54" s="255" t="s">
        <v>54</v>
      </c>
      <c r="CA54" s="256">
        <f>SUM(Start:Stop!CA54)</f>
        <v>4</v>
      </c>
      <c r="CB54" s="254" t="s">
        <v>52</v>
      </c>
      <c r="CC54" s="255">
        <f>SUM(Start:Stop!CC54)</f>
        <v>16</v>
      </c>
      <c r="CD54" s="256" t="s">
        <v>53</v>
      </c>
      <c r="CE54" s="254">
        <f>SUM(Start:Stop!CE54)</f>
        <v>2</v>
      </c>
      <c r="CF54" s="255" t="s">
        <v>54</v>
      </c>
      <c r="CG54" s="256">
        <f>SUM(Start:Stop!CG54)</f>
        <v>0</v>
      </c>
      <c r="CH54" s="254" t="s">
        <v>52</v>
      </c>
      <c r="CI54" s="257">
        <f>SUM(Start:Stop!CI54)</f>
        <v>0</v>
      </c>
      <c r="CJ54" s="250">
        <f>SUM(Start:Stop!CJ54)</f>
        <v>15</v>
      </c>
      <c r="CK54" s="250">
        <f>SUM(Start:Stop!CK54)</f>
        <v>64</v>
      </c>
      <c r="CL54" s="250">
        <f>SUM(Start:Stop!CL54)</f>
        <v>0</v>
      </c>
      <c r="CM54" s="250">
        <f>SUM(Start:Stop!CM54)</f>
        <v>0</v>
      </c>
      <c r="CN54" s="250">
        <f>SUM(Start:Stop!CN54)</f>
        <v>79</v>
      </c>
      <c r="CO54" s="250">
        <f>SUM(Start:Stop!CO54)</f>
        <v>39</v>
      </c>
      <c r="CP54" s="250">
        <f>SUM(Start:Stop!CP54)</f>
        <v>54</v>
      </c>
      <c r="CQ54" s="250">
        <f>SUM(Start:Stop!CQ54)</f>
        <v>15</v>
      </c>
      <c r="CR54" s="250">
        <f>SUM(Start:Stop!CR54)</f>
        <v>28</v>
      </c>
      <c r="CS54" s="250">
        <f>SUM(Start:Stop!CS54)</f>
        <v>21</v>
      </c>
      <c r="CT54" s="250">
        <f>SUM(Start:Stop!CT54)</f>
        <v>29</v>
      </c>
      <c r="CU54" s="250">
        <f>SUM(Start:Stop!CU54)</f>
        <v>6</v>
      </c>
      <c r="CV54" s="360">
        <f>SUM(Start:Stop!CV54)</f>
        <v>187.10000000000002</v>
      </c>
      <c r="CW54" s="33"/>
      <c r="CX54" s="1"/>
      <c r="CY54" s="1"/>
      <c r="CZ54" s="1"/>
      <c r="DF54" s="489"/>
      <c r="DG54" s="489"/>
      <c r="DH54" s="489"/>
      <c r="EF54" s="38" t="s">
        <v>230</v>
      </c>
      <c r="EG54" s="37">
        <f>SUM(Start:Stop!EG54)</f>
        <v>171.81458654932911</v>
      </c>
      <c r="EW54" s="38" t="s">
        <v>230</v>
      </c>
      <c r="EX54" s="6">
        <f>SUM(Start:Stop!EX54)</f>
        <v>21.1</v>
      </c>
      <c r="EY54" s="6">
        <f>SUM(Start:Stop!EY54)</f>
        <v>28</v>
      </c>
      <c r="EZ54" s="6">
        <f>SUM(Start:Stop!EZ54)</f>
        <v>75.503416666666666</v>
      </c>
      <c r="GP54" s="338"/>
    </row>
    <row r="55" spans="3:198" x14ac:dyDescent="0.2">
      <c r="C55" s="1"/>
      <c r="D55" s="4"/>
      <c r="E55" s="47"/>
      <c r="F55" s="1"/>
      <c r="G55" s="50"/>
      <c r="H55" s="47"/>
      <c r="I55" s="4"/>
      <c r="J55" s="50"/>
      <c r="K55" s="47"/>
      <c r="L55" s="1"/>
      <c r="M55" s="50"/>
      <c r="N55" s="47"/>
      <c r="O55" s="4"/>
      <c r="P55" s="50"/>
      <c r="Q55" s="47"/>
      <c r="R55" s="1"/>
      <c r="S55" s="50"/>
      <c r="T55" s="47"/>
      <c r="U55" s="4"/>
      <c r="V55" s="50"/>
      <c r="W55" s="47"/>
      <c r="X55" s="1"/>
      <c r="Y55" s="50"/>
      <c r="Z55" s="47"/>
      <c r="AA55" s="4"/>
      <c r="AB55" s="50"/>
      <c r="AC55" s="47"/>
      <c r="AD55" s="1"/>
      <c r="AE55" s="50"/>
      <c r="AF55" s="1"/>
      <c r="AG55" s="47"/>
      <c r="AH55" s="1"/>
      <c r="AI55" s="50"/>
      <c r="AJ55" s="47"/>
      <c r="AK55" s="4"/>
      <c r="AL55" s="50"/>
      <c r="AM55" s="47"/>
      <c r="AN55" s="1"/>
      <c r="AO55" s="50"/>
      <c r="AP55" s="47"/>
      <c r="AQ55" s="4"/>
      <c r="AR55" s="50"/>
      <c r="AS55" s="47"/>
      <c r="AT55" s="1"/>
      <c r="AU55" s="50"/>
      <c r="AV55" s="47"/>
      <c r="AW55" s="4"/>
      <c r="AX55" s="50"/>
      <c r="AY55" s="47"/>
      <c r="AZ55" s="1"/>
      <c r="BA55" s="50"/>
      <c r="BB55" s="47"/>
      <c r="BC55" s="4"/>
      <c r="BD55" s="50"/>
      <c r="BE55" s="47"/>
      <c r="BF55" s="1"/>
      <c r="BG55" s="50"/>
      <c r="BH55" s="50"/>
      <c r="BI55" s="47"/>
      <c r="BJ55" s="1"/>
      <c r="BK55" s="50"/>
      <c r="BL55" s="47"/>
      <c r="BM55" s="4"/>
      <c r="BN55" s="50"/>
      <c r="BO55" s="47"/>
      <c r="BP55" s="1"/>
      <c r="BQ55" s="50"/>
      <c r="BR55" s="47"/>
      <c r="BS55" s="4"/>
      <c r="BT55" s="50"/>
      <c r="BU55" s="47"/>
      <c r="BV55" s="1"/>
      <c r="BW55" s="50"/>
      <c r="BX55" s="47"/>
      <c r="BY55" s="4"/>
      <c r="BZ55" s="50"/>
      <c r="CA55" s="47"/>
      <c r="CB55" s="1"/>
      <c r="CC55" s="50"/>
      <c r="CD55" s="47"/>
      <c r="CE55" s="4"/>
      <c r="CF55" s="50"/>
      <c r="CG55" s="47"/>
      <c r="CH55" s="1"/>
      <c r="CI55" s="50"/>
      <c r="CJ55" s="8"/>
      <c r="CK55" s="1"/>
      <c r="CL55" s="1"/>
      <c r="CM55" s="1"/>
      <c r="DD55" s="2"/>
      <c r="DE55" s="2"/>
      <c r="DF55" s="489"/>
      <c r="DG55" s="489"/>
      <c r="DH55" s="489"/>
      <c r="DI55" s="2"/>
      <c r="GP55" s="338"/>
    </row>
    <row r="56" spans="3:198" x14ac:dyDescent="0.2">
      <c r="C56" s="1"/>
      <c r="D56" s="1"/>
      <c r="E56" s="47"/>
      <c r="F56" s="1"/>
      <c r="G56" s="50"/>
      <c r="H56" s="47"/>
      <c r="I56" s="4"/>
      <c r="J56" s="50"/>
      <c r="K56" s="47"/>
      <c r="L56" s="1"/>
      <c r="M56" s="50"/>
      <c r="N56" s="47"/>
      <c r="O56" s="4"/>
      <c r="P56" s="50"/>
      <c r="Q56" s="47"/>
      <c r="R56" s="1"/>
      <c r="S56" s="50"/>
      <c r="T56" s="47"/>
      <c r="U56" s="4"/>
      <c r="V56" s="50"/>
      <c r="W56" s="47"/>
      <c r="X56" s="1"/>
      <c r="Y56" s="50"/>
      <c r="Z56" s="47"/>
      <c r="AA56" s="4"/>
      <c r="AB56" s="50"/>
      <c r="AC56" s="47"/>
      <c r="AD56" s="1"/>
      <c r="AE56" s="50"/>
      <c r="AF56" s="1"/>
      <c r="AG56" s="47"/>
      <c r="AH56" s="1"/>
      <c r="AI56" s="50"/>
      <c r="AJ56" s="47"/>
      <c r="AK56" s="4"/>
      <c r="AL56" s="50"/>
      <c r="AM56" s="47"/>
      <c r="AN56" s="1"/>
      <c r="AO56" s="50"/>
      <c r="AP56" s="47"/>
      <c r="AQ56" s="4"/>
      <c r="AR56" s="50"/>
      <c r="AS56" s="47"/>
      <c r="AT56" s="1"/>
      <c r="AU56" s="50"/>
      <c r="AV56" s="47"/>
      <c r="AW56" s="4"/>
      <c r="AX56" s="50"/>
      <c r="AY56" s="47"/>
      <c r="AZ56" s="1"/>
      <c r="BA56" s="50"/>
      <c r="BB56" s="47"/>
      <c r="BC56" s="4"/>
      <c r="BD56" s="50"/>
      <c r="BE56" s="47"/>
      <c r="BF56" s="1"/>
      <c r="BG56" s="50"/>
      <c r="BH56" s="50"/>
      <c r="BI56" s="47"/>
      <c r="BJ56" s="1"/>
      <c r="BK56" s="50"/>
      <c r="BL56" s="47"/>
      <c r="BM56" s="4"/>
      <c r="BN56" s="50"/>
      <c r="BO56" s="47"/>
      <c r="BP56" s="1"/>
      <c r="BQ56" s="50"/>
      <c r="BR56" s="47"/>
      <c r="BS56" s="4"/>
      <c r="BT56" s="50"/>
      <c r="BU56" s="47"/>
      <c r="BV56" s="1"/>
      <c r="BW56" s="50"/>
      <c r="BX56" s="47"/>
      <c r="BY56" s="4"/>
      <c r="BZ56" s="50"/>
      <c r="CA56" s="47"/>
      <c r="CB56" s="1"/>
      <c r="CC56" s="50"/>
      <c r="CD56" s="47"/>
      <c r="CE56" s="4"/>
      <c r="CF56" s="50"/>
      <c r="CG56" s="47"/>
      <c r="CH56" s="1"/>
      <c r="CI56" s="50"/>
      <c r="CJ56" s="1"/>
      <c r="CK56" s="1"/>
      <c r="CL56" s="1"/>
      <c r="CM56" s="1"/>
      <c r="DD56" s="3"/>
      <c r="DE56" s="3"/>
      <c r="DF56" s="489"/>
      <c r="DG56" s="489"/>
      <c r="DH56" s="489"/>
      <c r="DI56" s="3"/>
      <c r="GP56" s="338"/>
    </row>
    <row r="57" spans="3:198" x14ac:dyDescent="0.2">
      <c r="E57" s="48"/>
      <c r="G57" s="51"/>
      <c r="H57" s="48"/>
      <c r="I57" s="5"/>
      <c r="J57" s="51"/>
      <c r="K57" s="48"/>
      <c r="M57" s="51"/>
      <c r="N57" s="48"/>
      <c r="O57" s="5"/>
      <c r="P57" s="51"/>
      <c r="Q57" s="48"/>
      <c r="S57" s="51"/>
      <c r="T57" s="48"/>
      <c r="U57" s="5"/>
      <c r="V57" s="51"/>
      <c r="W57" s="48"/>
      <c r="Y57" s="51"/>
      <c r="Z57" s="48"/>
      <c r="AA57" s="5"/>
      <c r="AB57" s="51"/>
      <c r="AC57" s="48"/>
      <c r="AE57" s="51"/>
      <c r="AG57" s="48"/>
      <c r="AI57" s="51"/>
      <c r="AJ57" s="48"/>
      <c r="AK57" s="5"/>
      <c r="AL57" s="51"/>
      <c r="AM57" s="48"/>
      <c r="AO57" s="51"/>
      <c r="AP57" s="48"/>
      <c r="AQ57" s="5"/>
      <c r="AR57" s="51"/>
      <c r="AS57" s="48"/>
      <c r="AU57" s="51"/>
      <c r="AV57" s="48"/>
      <c r="AW57" s="5"/>
      <c r="AX57" s="51"/>
      <c r="AY57" s="48"/>
      <c r="BA57" s="51"/>
      <c r="BB57" s="48"/>
      <c r="BC57" s="5"/>
      <c r="BD57" s="51"/>
      <c r="BE57" s="48"/>
      <c r="BG57" s="51"/>
      <c r="BH57" s="51"/>
      <c r="BI57" s="48"/>
      <c r="BK57" s="51"/>
      <c r="BL57" s="48"/>
      <c r="BM57" s="5"/>
      <c r="BN57" s="51"/>
      <c r="BO57" s="48"/>
      <c r="BQ57" s="51"/>
      <c r="BR57" s="48"/>
      <c r="BS57" s="5"/>
      <c r="BT57" s="51"/>
      <c r="BU57" s="48"/>
      <c r="BW57" s="51"/>
      <c r="BX57" s="48"/>
      <c r="BY57" s="5"/>
      <c r="BZ57" s="51"/>
      <c r="CA57" s="48"/>
      <c r="CC57" s="51"/>
      <c r="CD57" s="48"/>
      <c r="CE57" s="5"/>
      <c r="CF57" s="51"/>
      <c r="CG57" s="48"/>
      <c r="CI57" s="51"/>
      <c r="CJ57" s="1"/>
      <c r="CK57" s="1"/>
      <c r="CL57" s="1"/>
      <c r="CM57" s="1"/>
      <c r="DD57" s="3"/>
      <c r="DE57" s="3"/>
      <c r="DF57" s="489"/>
      <c r="DG57" s="489"/>
      <c r="DH57" s="489"/>
      <c r="DI57" s="3"/>
      <c r="GP57" s="338"/>
    </row>
    <row r="58" spans="3:198" x14ac:dyDescent="0.2">
      <c r="E58" s="48"/>
      <c r="G58" s="51"/>
      <c r="H58" s="48"/>
      <c r="I58" s="5"/>
      <c r="J58" s="51"/>
      <c r="K58" s="48"/>
      <c r="M58" s="51"/>
      <c r="N58" s="48"/>
      <c r="O58" s="5"/>
      <c r="P58" s="51"/>
      <c r="Q58" s="48"/>
      <c r="S58" s="51"/>
      <c r="T58" s="48"/>
      <c r="U58" s="5"/>
      <c r="V58" s="51"/>
      <c r="W58" s="48"/>
      <c r="Y58" s="51"/>
      <c r="Z58" s="48"/>
      <c r="AA58" s="5"/>
      <c r="AB58" s="51"/>
      <c r="AC58" s="48"/>
      <c r="AE58" s="51"/>
      <c r="AG58" s="48"/>
      <c r="AI58" s="51"/>
      <c r="AJ58" s="48"/>
      <c r="AK58" s="5"/>
      <c r="AL58" s="51"/>
      <c r="AM58" s="48"/>
      <c r="AO58" s="51"/>
      <c r="AP58" s="48"/>
      <c r="AQ58" s="5"/>
      <c r="AR58" s="51"/>
      <c r="AS58" s="48"/>
      <c r="AU58" s="51"/>
      <c r="AV58" s="48"/>
      <c r="AW58" s="5"/>
      <c r="AX58" s="51"/>
      <c r="AY58" s="48"/>
      <c r="BA58" s="51"/>
      <c r="BB58" s="48"/>
      <c r="BC58" s="5"/>
      <c r="BD58" s="51"/>
      <c r="BE58" s="48"/>
      <c r="BG58" s="51"/>
      <c r="BH58" s="51"/>
      <c r="BI58" s="48"/>
      <c r="BK58" s="51"/>
      <c r="BL58" s="48"/>
      <c r="BM58" s="5"/>
      <c r="BN58" s="51"/>
      <c r="BO58" s="48"/>
      <c r="BQ58" s="51"/>
      <c r="BR58" s="48"/>
      <c r="BS58" s="5"/>
      <c r="BT58" s="51"/>
      <c r="BU58" s="48"/>
      <c r="BW58" s="51"/>
      <c r="BX58" s="48"/>
      <c r="BY58" s="5"/>
      <c r="BZ58" s="51"/>
      <c r="CA58" s="48"/>
      <c r="CC58" s="51"/>
      <c r="CD58" s="48"/>
      <c r="CE58" s="5"/>
      <c r="CF58" s="51"/>
      <c r="CG58" s="48"/>
      <c r="CI58" s="51"/>
      <c r="DD58" s="2"/>
      <c r="DE58" s="2"/>
      <c r="DF58" s="489"/>
      <c r="DG58" s="489"/>
      <c r="DH58" s="489"/>
      <c r="DI58" s="2"/>
      <c r="GP58" s="338"/>
    </row>
    <row r="59" spans="3:198" ht="19" x14ac:dyDescent="0.25">
      <c r="C59" s="24"/>
      <c r="D59" s="24"/>
      <c r="E59" s="61"/>
      <c r="F59" s="24"/>
      <c r="G59" s="62"/>
      <c r="H59" s="61"/>
      <c r="I59" s="46"/>
      <c r="J59" s="62"/>
      <c r="K59" s="61"/>
      <c r="L59" s="24"/>
      <c r="M59" s="62"/>
      <c r="N59" s="61"/>
      <c r="O59" s="46"/>
      <c r="P59" s="62"/>
      <c r="Q59" s="61"/>
      <c r="R59" s="24"/>
      <c r="S59" s="62"/>
      <c r="T59" s="61"/>
      <c r="U59" s="46"/>
      <c r="V59" s="62"/>
      <c r="W59" s="61"/>
      <c r="X59" s="24"/>
      <c r="Y59" s="62"/>
      <c r="Z59" s="61"/>
      <c r="AA59" s="46"/>
      <c r="AB59" s="62"/>
      <c r="AC59" s="61"/>
      <c r="AD59" s="24"/>
      <c r="AE59" s="62"/>
      <c r="AF59" s="24"/>
      <c r="AG59" s="61"/>
      <c r="AH59" s="24"/>
      <c r="AI59" s="62"/>
      <c r="AJ59" s="61"/>
      <c r="AK59" s="46"/>
      <c r="AL59" s="62"/>
      <c r="AM59" s="61"/>
      <c r="AN59" s="24"/>
      <c r="AO59" s="62"/>
      <c r="AP59" s="61"/>
      <c r="AQ59" s="46"/>
      <c r="AR59" s="62"/>
      <c r="AS59" s="61"/>
      <c r="AT59" s="24"/>
      <c r="AU59" s="62"/>
      <c r="AV59" s="61"/>
      <c r="AW59" s="46"/>
      <c r="AX59" s="62"/>
      <c r="AY59" s="61"/>
      <c r="AZ59" s="24"/>
      <c r="BA59" s="62"/>
      <c r="BB59" s="61"/>
      <c r="BC59" s="46"/>
      <c r="BD59" s="62"/>
      <c r="BE59" s="61"/>
      <c r="BF59" s="24"/>
      <c r="BG59" s="62"/>
      <c r="BH59" s="62"/>
      <c r="BI59" s="61"/>
      <c r="BJ59" s="24"/>
      <c r="BK59" s="62"/>
      <c r="BL59" s="61"/>
      <c r="BM59" s="46"/>
      <c r="BN59" s="62"/>
      <c r="BO59" s="61"/>
      <c r="BP59" s="24"/>
      <c r="BQ59" s="62"/>
      <c r="BR59" s="61"/>
      <c r="BS59" s="46"/>
      <c r="BT59" s="62"/>
      <c r="BU59" s="61"/>
      <c r="BV59" s="24"/>
      <c r="BW59" s="62"/>
      <c r="BX59" s="61"/>
      <c r="BY59" s="46"/>
      <c r="BZ59" s="62"/>
      <c r="CA59" s="61"/>
      <c r="CB59" s="24"/>
      <c r="CC59" s="62"/>
      <c r="CD59" s="61"/>
      <c r="CE59" s="46"/>
      <c r="CF59" s="62"/>
      <c r="CG59" s="61"/>
      <c r="CH59" s="24"/>
      <c r="CI59" s="62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24"/>
      <c r="DE59" s="24"/>
      <c r="DF59" s="337"/>
      <c r="DG59" s="337"/>
      <c r="DH59" s="63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GP59" s="338"/>
    </row>
    <row r="60" spans="3:198" x14ac:dyDescent="0.2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 t="s">
        <v>70</v>
      </c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64"/>
      <c r="CK60" s="64"/>
      <c r="CL60" s="64"/>
      <c r="CM60" s="64"/>
      <c r="CN60" s="64"/>
      <c r="CO60" s="64"/>
      <c r="CP60" s="64"/>
      <c r="CQ60" s="64"/>
      <c r="CR60" s="64"/>
      <c r="CS60" s="65"/>
      <c r="CT60" s="64"/>
      <c r="CU60" s="64"/>
      <c r="CV60" s="66"/>
      <c r="CW60" s="66"/>
      <c r="CX60" s="64"/>
      <c r="CY60" s="64"/>
      <c r="CZ60" s="66"/>
      <c r="DA60" s="64"/>
      <c r="DB60" s="66"/>
      <c r="DC60" s="66"/>
      <c r="DD60" s="46"/>
      <c r="DE60" s="46"/>
      <c r="DF60" s="337"/>
      <c r="DG60" s="337"/>
      <c r="DH60" s="6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24"/>
      <c r="DU60" s="24"/>
      <c r="DV60" s="24"/>
      <c r="DW60" s="24"/>
      <c r="DX60" s="24"/>
      <c r="DY60" s="24"/>
      <c r="DZ60" s="24"/>
      <c r="GP60" s="338"/>
    </row>
    <row r="61" spans="3:198" x14ac:dyDescent="0.2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64"/>
      <c r="CK61" s="64"/>
      <c r="CL61" s="64"/>
      <c r="CM61" s="64"/>
      <c r="CN61" s="64"/>
      <c r="CO61" s="64"/>
      <c r="CP61" s="64"/>
      <c r="CQ61" s="64"/>
      <c r="CR61" s="64"/>
      <c r="CS61" s="65"/>
      <c r="CT61" s="64"/>
      <c r="CU61" s="64"/>
      <c r="CV61" s="66"/>
      <c r="CW61" s="66"/>
      <c r="CX61" s="64"/>
      <c r="CY61" s="64"/>
      <c r="CZ61" s="66"/>
      <c r="DA61" s="64"/>
      <c r="DB61" s="66"/>
      <c r="DC61" s="66"/>
      <c r="DD61" s="46"/>
      <c r="DE61" s="46"/>
      <c r="DF61" s="337"/>
      <c r="DG61" s="337"/>
      <c r="DH61" s="6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24"/>
      <c r="DU61" s="24"/>
      <c r="DV61" s="24"/>
      <c r="DW61" s="24"/>
      <c r="DX61" s="24"/>
      <c r="DY61" s="24"/>
      <c r="DZ61" s="24"/>
      <c r="GP61" s="338"/>
    </row>
    <row r="62" spans="3:198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22"/>
      <c r="CK62" s="22"/>
      <c r="CL62" s="22"/>
      <c r="CM62" s="22"/>
      <c r="CN62" s="22"/>
      <c r="CO62" s="22"/>
      <c r="CP62" s="22"/>
      <c r="CQ62" s="22"/>
      <c r="CR62" s="22"/>
      <c r="CS62" s="7"/>
      <c r="CT62" s="22"/>
      <c r="CU62" s="22"/>
      <c r="CV62" s="23"/>
      <c r="CW62" s="23"/>
      <c r="CX62" s="22"/>
      <c r="CY62" s="22"/>
      <c r="CZ62" s="23"/>
      <c r="DA62" s="22"/>
      <c r="DB62" s="23"/>
      <c r="DC62" s="23"/>
      <c r="DD62" s="5"/>
      <c r="DE62" s="5"/>
      <c r="DF62" s="489"/>
      <c r="DG62" s="489"/>
      <c r="DH62" s="23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GP62" s="338"/>
    </row>
    <row r="63" spans="3:198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22"/>
      <c r="CK63" s="22"/>
      <c r="CL63" s="22"/>
      <c r="CM63" s="22"/>
      <c r="CN63" s="22"/>
      <c r="CO63" s="22"/>
      <c r="CP63" s="22"/>
      <c r="CQ63" s="22"/>
      <c r="CR63" s="22"/>
      <c r="CS63" s="7"/>
      <c r="CT63" s="22"/>
      <c r="CU63" s="22"/>
      <c r="CV63" s="23"/>
      <c r="CW63" s="23"/>
      <c r="CX63" s="22"/>
      <c r="CY63" s="22"/>
      <c r="CZ63" s="23"/>
      <c r="DA63" s="22"/>
      <c r="DB63" s="23"/>
      <c r="DC63" s="23"/>
      <c r="DD63" s="5"/>
      <c r="DE63" s="5"/>
      <c r="DF63" s="489"/>
      <c r="DG63" s="489"/>
      <c r="DH63" s="23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GP63" s="338"/>
    </row>
    <row r="64" spans="3:198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22"/>
      <c r="CK64" s="22"/>
      <c r="CL64" s="22"/>
      <c r="CM64" s="22"/>
      <c r="CN64" s="22"/>
      <c r="CO64" s="22"/>
      <c r="CP64" s="22"/>
      <c r="CQ64" s="22"/>
      <c r="CR64" s="22"/>
      <c r="CS64" s="7"/>
      <c r="CT64" s="22"/>
      <c r="CU64" s="22"/>
      <c r="CV64" s="23"/>
      <c r="CW64" s="23"/>
      <c r="CX64" s="22"/>
      <c r="CY64" s="22"/>
      <c r="CZ64" s="23"/>
      <c r="DA64" s="22"/>
      <c r="DB64" s="23"/>
      <c r="DC64" s="23"/>
      <c r="DD64" s="5"/>
      <c r="DE64" s="5"/>
      <c r="DF64" s="489"/>
      <c r="DG64" s="489"/>
      <c r="DH64" s="23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</row>
    <row r="65" spans="3:12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22"/>
      <c r="CK65" s="22"/>
      <c r="CL65" s="22"/>
      <c r="CM65" s="22"/>
      <c r="CN65" s="22"/>
      <c r="CO65" s="22"/>
      <c r="CP65" s="22"/>
      <c r="CQ65" s="22"/>
      <c r="CR65" s="22"/>
      <c r="CS65" s="7"/>
      <c r="CT65" s="22"/>
      <c r="CU65" s="22"/>
      <c r="CV65" s="23"/>
      <c r="CW65" s="23"/>
      <c r="CX65" s="22"/>
      <c r="CY65" s="22"/>
      <c r="CZ65" s="23"/>
      <c r="DA65" s="22"/>
      <c r="DB65" s="23"/>
      <c r="DC65" s="23"/>
      <c r="DD65" s="5"/>
      <c r="DE65" s="5"/>
      <c r="DF65" s="489"/>
      <c r="DG65" s="489"/>
      <c r="DH65" s="23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</row>
    <row r="66" spans="3:123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22"/>
      <c r="CK66" s="22"/>
      <c r="CL66" s="22"/>
      <c r="CM66" s="22"/>
      <c r="CN66" s="22"/>
      <c r="CO66" s="22"/>
      <c r="CP66" s="22"/>
      <c r="CQ66" s="22"/>
      <c r="CR66" s="22"/>
      <c r="CS66" s="7"/>
      <c r="CT66" s="22"/>
      <c r="CU66" s="22"/>
      <c r="CV66" s="23"/>
      <c r="CW66" s="23"/>
      <c r="CX66" s="22"/>
      <c r="CY66" s="22"/>
      <c r="CZ66" s="23"/>
      <c r="DA66" s="22"/>
      <c r="DB66" s="23"/>
      <c r="DC66" s="23"/>
      <c r="DD66" s="5"/>
      <c r="DE66" s="5"/>
      <c r="DF66" s="489"/>
      <c r="DG66" s="489"/>
      <c r="DH66" s="23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</row>
    <row r="67" spans="3:123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22"/>
      <c r="CK67" s="22"/>
      <c r="CL67" s="22"/>
      <c r="CM67" s="22"/>
      <c r="CN67" s="22"/>
      <c r="CO67" s="22"/>
      <c r="CP67" s="22"/>
      <c r="CQ67" s="22"/>
      <c r="CR67" s="22"/>
      <c r="CS67" s="7"/>
      <c r="CT67" s="22"/>
      <c r="CU67" s="22"/>
      <c r="CV67" s="23"/>
      <c r="CW67" s="23"/>
      <c r="CX67" s="22"/>
      <c r="CY67" s="22"/>
      <c r="CZ67" s="23"/>
      <c r="DA67" s="22"/>
      <c r="DB67" s="23"/>
      <c r="DC67" s="23"/>
      <c r="DD67" s="5"/>
      <c r="DE67" s="5"/>
      <c r="DF67" s="489"/>
      <c r="DG67" s="489"/>
      <c r="DH67" s="23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</row>
    <row r="68" spans="3:123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22"/>
      <c r="CK68" s="22"/>
      <c r="CL68" s="22"/>
      <c r="CM68" s="22"/>
      <c r="CN68" s="22"/>
      <c r="CO68" s="22"/>
      <c r="CP68" s="22"/>
      <c r="CQ68" s="22"/>
      <c r="CR68" s="22"/>
      <c r="CS68" s="7"/>
      <c r="CT68" s="22"/>
      <c r="CU68" s="22"/>
      <c r="CV68" s="23"/>
      <c r="CW68" s="23"/>
      <c r="CX68" s="22"/>
      <c r="CY68" s="22"/>
      <c r="CZ68" s="23"/>
      <c r="DA68" s="22"/>
      <c r="DB68" s="23"/>
      <c r="DC68" s="23"/>
      <c r="DD68" s="5"/>
      <c r="DE68" s="5"/>
      <c r="DF68" s="489"/>
      <c r="DG68" s="489"/>
      <c r="DH68" s="23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</row>
    <row r="69" spans="3:12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22"/>
      <c r="CK69" s="22"/>
      <c r="CL69" s="22"/>
      <c r="CM69" s="22"/>
      <c r="CN69" s="22"/>
      <c r="CO69" s="22"/>
      <c r="CP69" s="22"/>
      <c r="CQ69" s="22"/>
      <c r="CR69" s="22"/>
      <c r="CS69" s="7"/>
      <c r="CT69" s="22"/>
      <c r="CU69" s="22"/>
      <c r="CV69" s="23"/>
      <c r="CW69" s="23"/>
      <c r="CX69" s="22"/>
      <c r="CY69" s="22"/>
      <c r="CZ69" s="23"/>
      <c r="DA69" s="22"/>
      <c r="DB69" s="23"/>
      <c r="DC69" s="23"/>
      <c r="DD69" s="5"/>
      <c r="DE69" s="5"/>
      <c r="DF69" s="489"/>
      <c r="DG69" s="489"/>
      <c r="DH69" s="23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</row>
    <row r="70" spans="3:12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22"/>
      <c r="CK70" s="22"/>
      <c r="CL70" s="22"/>
      <c r="CM70" s="22"/>
      <c r="CN70" s="22"/>
      <c r="CO70" s="22"/>
      <c r="CP70" s="22"/>
      <c r="CQ70" s="22"/>
      <c r="CR70" s="22"/>
      <c r="CS70" s="7"/>
      <c r="CT70" s="22"/>
      <c r="CU70" s="22"/>
      <c r="CV70" s="23"/>
      <c r="CW70" s="23"/>
      <c r="CX70" s="22"/>
      <c r="CY70" s="22"/>
      <c r="CZ70" s="23"/>
      <c r="DA70" s="22"/>
      <c r="DB70" s="23"/>
      <c r="DC70" s="23"/>
      <c r="DD70" s="5"/>
      <c r="DE70" s="5"/>
      <c r="DF70" s="5"/>
      <c r="DG70" s="5"/>
      <c r="DH70" s="23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</row>
    <row r="71" spans="3:123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22"/>
      <c r="CK71" s="22"/>
      <c r="CL71" s="22"/>
      <c r="CM71" s="22"/>
      <c r="CN71" s="22"/>
      <c r="CO71" s="22"/>
      <c r="CP71" s="22"/>
      <c r="CQ71" s="22"/>
      <c r="CR71" s="22"/>
      <c r="CS71" s="7"/>
      <c r="CT71" s="22"/>
      <c r="CU71" s="22"/>
      <c r="CV71" s="23"/>
      <c r="CW71" s="23"/>
      <c r="CX71" s="22"/>
      <c r="CY71" s="22"/>
      <c r="CZ71" s="23"/>
      <c r="DA71" s="22"/>
      <c r="DB71" s="23"/>
      <c r="DC71" s="23"/>
      <c r="DD71" s="5"/>
      <c r="DE71" s="5"/>
      <c r="DF71" s="5"/>
      <c r="DG71" s="5"/>
      <c r="DH71" s="23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</row>
    <row r="72" spans="3:12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22"/>
      <c r="CK72" s="22"/>
      <c r="CL72" s="22"/>
      <c r="CM72" s="22"/>
      <c r="CN72" s="22"/>
      <c r="CO72" s="22"/>
      <c r="CP72" s="22"/>
      <c r="CQ72" s="22"/>
      <c r="CR72" s="22"/>
      <c r="CS72" s="7"/>
      <c r="CT72" s="22"/>
      <c r="CU72" s="22"/>
      <c r="CV72" s="23"/>
      <c r="CW72" s="23"/>
      <c r="CX72" s="22"/>
      <c r="CY72" s="22"/>
      <c r="CZ72" s="23"/>
      <c r="DA72" s="22"/>
      <c r="DB72" s="23"/>
      <c r="DC72" s="23"/>
      <c r="DD72" s="5"/>
      <c r="DE72" s="5"/>
      <c r="DF72" s="5"/>
      <c r="DG72" s="5"/>
      <c r="DH72" s="23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</row>
    <row r="73" spans="3:123" x14ac:dyDescent="0.2">
      <c r="CJ73" s="5"/>
      <c r="CK73" s="5"/>
      <c r="CL73" s="423"/>
      <c r="CM73" s="423"/>
      <c r="CN73" s="5"/>
      <c r="CO73" s="5"/>
      <c r="CP73" s="5"/>
      <c r="CQ73" s="5"/>
      <c r="CR73" s="5"/>
      <c r="CS73" s="22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</row>
  </sheetData>
  <dataConsolidate/>
  <mergeCells count="28">
    <mergeCell ref="BO3:BT3"/>
    <mergeCell ref="IK2:IN2"/>
    <mergeCell ref="HH2:HJ2"/>
    <mergeCell ref="BU3:BZ3"/>
    <mergeCell ref="CA3:CF3"/>
    <mergeCell ref="CG3:CI3"/>
    <mergeCell ref="FS2:FU2"/>
    <mergeCell ref="FC2:FF2"/>
    <mergeCell ref="CJ2:CN2"/>
    <mergeCell ref="FG3:FI3"/>
    <mergeCell ref="FK3:FM3"/>
    <mergeCell ref="FO3:FQ3"/>
    <mergeCell ref="CV24:CW24"/>
    <mergeCell ref="C2:D2"/>
    <mergeCell ref="E2:AE2"/>
    <mergeCell ref="AG2:BG2"/>
    <mergeCell ref="BI2:CI2"/>
    <mergeCell ref="E3:J3"/>
    <mergeCell ref="K3:P3"/>
    <mergeCell ref="Q3:V3"/>
    <mergeCell ref="W3:AB3"/>
    <mergeCell ref="AC3:AE3"/>
    <mergeCell ref="AG3:AL3"/>
    <mergeCell ref="AM3:AR3"/>
    <mergeCell ref="AS3:AX3"/>
    <mergeCell ref="AY3:BD3"/>
    <mergeCell ref="BE3:BG3"/>
    <mergeCell ref="BI3:BN3"/>
  </mergeCells>
  <conditionalFormatting sqref="DB4:DB18 GH4:GH18">
    <cfRule type="cellIs" dxfId="14" priority="89" operator="lessThan">
      <formula>0</formula>
    </cfRule>
    <cfRule type="cellIs" dxfId="13" priority="90" operator="greaterThan">
      <formula>0</formula>
    </cfRule>
  </conditionalFormatting>
  <conditionalFormatting sqref="DI5:DI18">
    <cfRule type="cellIs" dxfId="12" priority="70" operator="between">
      <formula>0.19</formula>
      <formula>0.29</formula>
    </cfRule>
    <cfRule type="cellIs" dxfId="11" priority="71" operator="between">
      <formula>0.19</formula>
      <formula>0.29</formula>
    </cfRule>
  </conditionalFormatting>
  <conditionalFormatting sqref="DJ5:DJ18">
    <cfRule type="cellIs" dxfId="10" priority="69" operator="greaterThan">
      <formula>0.05</formula>
    </cfRule>
  </conditionalFormatting>
  <conditionalFormatting sqref="DL5:DL18">
    <cfRule type="cellIs" dxfId="9" priority="67" operator="greaterThan">
      <formula>0.195</formula>
    </cfRule>
  </conditionalFormatting>
  <conditionalFormatting sqref="DO5:DO18">
    <cfRule type="cellIs" dxfId="8" priority="65" operator="between">
      <formula>1.99</formula>
      <formula>10</formula>
    </cfRule>
  </conditionalFormatting>
  <conditionalFormatting sqref="DQ5:DQ18">
    <cfRule type="cellIs" dxfId="7" priority="64" operator="greaterThan">
      <formula>5</formula>
    </cfRule>
  </conditionalFormatting>
  <conditionalFormatting sqref="DK5:DK18">
    <cfRule type="cellIs" dxfId="6" priority="62" operator="between">
      <formula>0.0295</formula>
      <formula>0.08</formula>
    </cfRule>
  </conditionalFormatting>
  <conditionalFormatting sqref="GN28">
    <cfRule type="iconSet" priority="42">
      <iconSet>
        <cfvo type="percent" val="0"/>
        <cfvo type="percent" val="10"/>
        <cfvo type="percent" val="20"/>
      </iconSet>
    </cfRule>
  </conditionalFormatting>
  <conditionalFormatting sqref="GN29:GP29">
    <cfRule type="iconSet" priority="40">
      <iconSet>
        <cfvo type="percent" val="0"/>
        <cfvo type="percent" val="4"/>
        <cfvo type="percent" val="4.4000000000000004"/>
      </iconSet>
    </cfRule>
  </conditionalFormatting>
  <conditionalFormatting sqref="GN30:GP30">
    <cfRule type="iconSet" priority="37">
      <iconSet>
        <cfvo type="percent" val="0"/>
        <cfvo type="num" val="1.8"/>
        <cfvo type="num" val="1.95"/>
      </iconSet>
    </cfRule>
  </conditionalFormatting>
  <conditionalFormatting sqref="GN31:GP31">
    <cfRule type="iconSet" priority="35">
      <iconSet>
        <cfvo type="percent" val="0"/>
        <cfvo type="percent" val="9"/>
        <cfvo type="percent" val="15"/>
      </iconSet>
    </cfRule>
  </conditionalFormatting>
  <conditionalFormatting sqref="GO32">
    <cfRule type="iconSet" priority="32">
      <iconSet>
        <cfvo type="percent" val="0"/>
        <cfvo type="percent" val="1"/>
        <cfvo type="percent" val="2"/>
      </iconSet>
    </cfRule>
  </conditionalFormatting>
  <conditionalFormatting sqref="GO33">
    <cfRule type="iconSet" priority="29">
      <iconSet>
        <cfvo type="percent" val="0"/>
        <cfvo type="percent" val="2"/>
        <cfvo type="percent" val="15"/>
      </iconSet>
    </cfRule>
  </conditionalFormatting>
  <conditionalFormatting sqref="GN34:GP34">
    <cfRule type="iconSet" priority="25">
      <iconSet>
        <cfvo type="percent" val="0"/>
        <cfvo type="percent" val="0.5"/>
        <cfvo type="num" val="1"/>
      </iconSet>
    </cfRule>
  </conditionalFormatting>
  <conditionalFormatting sqref="GN35:GP35">
    <cfRule type="iconSet" priority="24">
      <iconSet>
        <cfvo type="percent" val="0"/>
        <cfvo type="num" val="0.38"/>
        <cfvo type="num" val="0.5"/>
      </iconSet>
    </cfRule>
  </conditionalFormatting>
  <conditionalFormatting sqref="GN36:GP36">
    <cfRule type="iconSet" priority="23">
      <iconSet>
        <cfvo type="percent" val="0"/>
        <cfvo type="num" val="70"/>
        <cfvo type="num" val="99"/>
      </iconSet>
    </cfRule>
  </conditionalFormatting>
  <conditionalFormatting sqref="GN38:GP39">
    <cfRule type="iconSet" priority="19">
      <iconSet>
        <cfvo type="percent" val="0"/>
        <cfvo type="num" val="-50"/>
        <cfvo type="num" val="-20"/>
      </iconSet>
    </cfRule>
  </conditionalFormatting>
  <conditionalFormatting sqref="GN25:GP25">
    <cfRule type="iconSet" priority="18">
      <iconSet>
        <cfvo type="percent" val="0"/>
        <cfvo type="percent" val="50"/>
        <cfvo type="percent" val="67"/>
      </iconSet>
    </cfRule>
  </conditionalFormatting>
  <conditionalFormatting sqref="GN26:GP26">
    <cfRule type="iconSet" priority="16">
      <iconSet>
        <cfvo type="percent" val="0"/>
        <cfvo type="percent" val="33"/>
        <cfvo type="percent" val="40"/>
      </iconSet>
    </cfRule>
  </conditionalFormatting>
  <conditionalFormatting sqref="GN39:GP39">
    <cfRule type="iconSet" priority="13">
      <iconSet>
        <cfvo type="percent" val="0"/>
        <cfvo type="num" val="6"/>
        <cfvo type="num" val="15"/>
      </iconSet>
    </cfRule>
  </conditionalFormatting>
  <conditionalFormatting sqref="DE5:DE18">
    <cfRule type="cellIs" dxfId="5" priority="12" operator="greaterThan">
      <formula>0.54</formula>
    </cfRule>
  </conditionalFormatting>
  <conditionalFormatting sqref="DF5:DF16">
    <cfRule type="cellIs" dxfId="4" priority="11" operator="greaterThan">
      <formula>0.4</formula>
    </cfRule>
  </conditionalFormatting>
  <conditionalFormatting sqref="DG5:DG18">
    <cfRule type="cellIs" dxfId="3" priority="10" operator="greaterThan">
      <formula>0.62</formula>
    </cfRule>
  </conditionalFormatting>
  <conditionalFormatting sqref="DH5:DH16">
    <cfRule type="cellIs" dxfId="2" priority="8" operator="greaterThan">
      <formula>0.08</formula>
    </cfRule>
  </conditionalFormatting>
  <conditionalFormatting sqref="DH18">
    <cfRule type="cellIs" dxfId="1" priority="7" operator="greaterThan">
      <formula>0.08</formula>
    </cfRule>
  </conditionalFormatting>
  <conditionalFormatting sqref="GT4:GT14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T4:GT1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Y4:GZ16 HA4:HA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E4:HF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N4:DN18">
    <cfRule type="cellIs" dxfId="0" priority="1" operator="between">
      <formula>0.03</formula>
      <formula>0.15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8" id="{34AAD553-A73D-2C46-BBF5-B79202D0E817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60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GO27</xm:sqref>
        </x14:conditionalFormatting>
        <x14:conditionalFormatting xmlns:xm="http://schemas.microsoft.com/office/excel/2006/main">
          <x14:cfRule type="iconSet" priority="47" id="{C464834B-2099-A845-B31D-3DACC26AB47D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50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GN27</xm:sqref>
        </x14:conditionalFormatting>
        <x14:conditionalFormatting xmlns:xm="http://schemas.microsoft.com/office/excel/2006/main">
          <x14:cfRule type="iconSet" priority="46" id="{B0EC7C86-42D3-3942-AF5A-5AF93284E420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40</xm:f>
              </x14:cfvo>
              <x14:cfIcon iconSet="3TrafficLights1" iconId="0"/>
              <x14:cfIcon iconSet="3TrafficLights1" iconId="1"/>
              <x14:cfIcon iconSet="3TrafficLights1" iconId="0"/>
            </x14:iconSet>
          </x14:cfRule>
          <xm:sqref>GP27</xm:sqref>
        </x14:conditionalFormatting>
        <x14:conditionalFormatting xmlns:xm="http://schemas.microsoft.com/office/excel/2006/main">
          <x14:cfRule type="iconSet" priority="45" id="{F1BB41A2-0E94-B24E-AB97-B87641AF19CB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40</xm:f>
              </x14:cfvo>
              <x14:cfIcon iconSet="3TrafficLights1" iconId="0"/>
              <x14:cfIcon iconSet="3TrafficLights1" iconId="1"/>
              <x14:cfIcon iconSet="3TrafficLights1" iconId="0"/>
            </x14:iconSet>
          </x14:cfRule>
          <xm:sqref>GP28</xm:sqref>
        </x14:conditionalFormatting>
        <x14:conditionalFormatting xmlns:xm="http://schemas.microsoft.com/office/excel/2006/main">
          <x14:cfRule type="iconSet" priority="44" id="{08BC47E9-4D8F-F74F-B86D-EF193661ECE9}">
            <x14:iconSet custom="1">
              <x14:cfvo type="percent">
                <xm:f>0</xm:f>
              </x14:cfvo>
              <x14:cfvo type="percent">
                <xm:f>20</xm:f>
              </x14:cfvo>
              <x14:cfvo type="percent">
                <xm:f>22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GO28</xm:sqref>
        </x14:conditionalFormatting>
        <x14:conditionalFormatting xmlns:xm="http://schemas.microsoft.com/office/excel/2006/main">
          <x14:cfRule type="iconSet" priority="38" id="{7E85E841-2DF2-6144-9E79-940FE8B72AE3}">
            <x14:iconSet custom="1">
              <x14:cfvo type="percent">
                <xm:f>0</xm:f>
              </x14:cfvo>
              <x14:cfvo type="percent">
                <xm:f>1</xm:f>
              </x14:cfvo>
              <x14:cfvo type="percent">
                <xm:f>4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GP29</xm:sqref>
        </x14:conditionalFormatting>
        <x14:conditionalFormatting xmlns:xm="http://schemas.microsoft.com/office/excel/2006/main">
          <x14:cfRule type="iconSet" priority="33" id="{0F5B8FCF-5A7F-344D-8161-5AFAC362C3FC}">
            <x14:iconSet custom="1">
              <x14:cfvo type="percent">
                <xm:f>0</xm:f>
              </x14:cfvo>
              <x14:cfvo type="percent">
                <xm:f>3</xm:f>
              </x14:cfvo>
              <x14:cfvo type="percent">
                <xm:f>11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GP31</xm:sqref>
        </x14:conditionalFormatting>
        <x14:conditionalFormatting xmlns:xm="http://schemas.microsoft.com/office/excel/2006/main">
          <x14:cfRule type="iconSet" priority="31" id="{85231866-EDDF-8B40-AC3A-B1B0EF820CA5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GN32</xm:sqref>
        </x14:conditionalFormatting>
        <x14:conditionalFormatting xmlns:xm="http://schemas.microsoft.com/office/excel/2006/main">
          <x14:cfRule type="iconSet" priority="30" id="{1223BBF9-3A44-1043-94E9-52801DDE24A0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3TrafficLights1" iconId="0"/>
              <x14:cfIcon iconSet="3TrafficLights1" iconId="1"/>
              <x14:cfIcon iconSet="3TrafficLights1" iconId="0"/>
            </x14:iconSet>
          </x14:cfRule>
          <xm:sqref>GP32</xm:sqref>
        </x14:conditionalFormatting>
        <x14:conditionalFormatting xmlns:xm="http://schemas.microsoft.com/office/excel/2006/main">
          <x14:cfRule type="iconSet" priority="28" id="{9441666A-0405-7A4E-83AB-13C457EFD1F8}">
            <x14:iconSet custom="1">
              <x14:cfvo type="percent">
                <xm:f>0</xm:f>
              </x14:cfvo>
              <x14:cfvo type="percent">
                <xm:f>2</xm:f>
              </x14:cfvo>
              <x14:cfvo type="percent">
                <xm:f>9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GN33</xm:sqref>
        </x14:conditionalFormatting>
        <x14:conditionalFormatting xmlns:xm="http://schemas.microsoft.com/office/excel/2006/main">
          <x14:cfRule type="iconSet" priority="27" id="{29485746-E734-A44C-9BC2-9F6765436491}">
            <x14:iconSet custom="1">
              <x14:cfvo type="percent">
                <xm:f>0</xm:f>
              </x14:cfvo>
              <x14:cfvo type="percent">
                <xm:f>3</xm:f>
              </x14:cfvo>
              <x14:cfvo type="percent">
                <xm:f>9</xm:f>
              </x14:cfvo>
              <x14:cfIcon iconSet="3TrafficLights1" iconId="0"/>
              <x14:cfIcon iconSet="3TrafficLights1" iconId="1"/>
              <x14:cfIcon iconSet="3TrafficLights1" iconId="0"/>
            </x14:iconSet>
          </x14:cfRule>
          <xm:sqref>GP33</xm:sqref>
        </x14:conditionalFormatting>
        <x14:conditionalFormatting xmlns:xm="http://schemas.microsoft.com/office/excel/2006/main">
          <x14:cfRule type="iconSet" priority="20" id="{EF33AADD-B2AF-3C4E-A2B9-0955BBB5C602}">
            <x14:iconSet custom="1">
              <x14:cfvo type="percent">
                <xm:f>0</xm:f>
              </x14:cfvo>
              <x14:cfvo type="percent">
                <xm:f>33</xm:f>
              </x14:cfvo>
              <x14:cfvo type="num">
                <xm:f>130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GN37:GP37</xm:sqref>
        </x14:conditionalFormatting>
        <x14:conditionalFormatting xmlns:xm="http://schemas.microsoft.com/office/excel/2006/main">
          <x14:cfRule type="iconSet" priority="17" id="{FE4B82B2-60E2-C443-9E0B-2D4BA907ADE9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50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GP25</xm:sqref>
        </x14:conditionalFormatting>
        <x14:conditionalFormatting xmlns:xm="http://schemas.microsoft.com/office/excel/2006/main">
          <x14:cfRule type="iconSet" priority="14" id="{C09D0161-4046-7C4B-9BF4-581895CF85C6}">
            <x14:iconSet custom="1">
              <x14:cfvo type="percent">
                <xm:f>0</xm:f>
              </x14:cfvo>
              <x14:cfvo type="percent">
                <xm:f>3</xm:f>
              </x14:cfvo>
              <x14:cfvo type="percent">
                <xm:f>30</xm:f>
              </x14:cfvo>
              <x14:cfIcon iconSet="3TrafficLights1" iconId="0"/>
              <x14:cfIcon iconSet="3TrafficLights1" iconId="1"/>
              <x14:cfIcon iconSet="3TrafficLights1" iconId="1"/>
            </x14:iconSet>
          </x14:cfRule>
          <xm:sqref>GO26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BLANK</vt:lpstr>
      <vt:lpstr>Start</vt:lpstr>
      <vt:lpstr>Sep 6</vt:lpstr>
      <vt:lpstr>Sep 7</vt:lpstr>
      <vt:lpstr>Sep 12</vt:lpstr>
      <vt:lpstr>Sep 13</vt:lpstr>
      <vt:lpstr>Sep 15.1</vt:lpstr>
      <vt:lpstr>Sep 15.2</vt:lpstr>
      <vt:lpstr>Sep 19</vt:lpstr>
      <vt:lpstr>Stop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Logan Dahms</cp:lastModifiedBy>
  <dcterms:created xsi:type="dcterms:W3CDTF">2017-09-22T19:42:16Z</dcterms:created>
  <dcterms:modified xsi:type="dcterms:W3CDTF">2022-09-21T14:00:12Z</dcterms:modified>
</cp:coreProperties>
</file>